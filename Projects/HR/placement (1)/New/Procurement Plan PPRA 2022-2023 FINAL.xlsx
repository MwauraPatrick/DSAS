
<file path=[Content_Types].xml><?xml version="1.0" encoding="utf-8"?>
<Types xmlns="http://schemas.openxmlformats.org/package/2006/content-types">
  <Default Extension="wmf" ContentType="image/x-wm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thumbnail" Target="docProps/thumbnail.wmf"/><Relationship Id="rId4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5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125" windowHeight="12375" activeTab="1"/>
  </bookViews>
  <sheets>
    <sheet name="PROCUREMENT PLAN 2022-2023" sheetId="1" r:id="rId1"/>
    <sheet name="procurement plan2023-2024" sheetId="3" r:id="rId2"/>
    <sheet name="Sheet1" sheetId="2" r:id="rId3"/>
  </sheets>
  <calcPr calcId="144525"/>
</workbook>
</file>

<file path=xl/sharedStrings.xml><?xml version="1.0" encoding="utf-8"?>
<sst xmlns="http://schemas.openxmlformats.org/spreadsheetml/2006/main" count="8818" uniqueCount="1523">
  <si>
    <t>ITEM DESCRIPTION</t>
  </si>
  <si>
    <t>QTY</t>
  </si>
  <si>
    <t>ESTIMATED UNIT PRICE</t>
  </si>
  <si>
    <t>TOTAL ESTIMATED  PRICE</t>
  </si>
  <si>
    <t>USER DEPT</t>
  </si>
  <si>
    <t>PROCUREMENT METHOD</t>
  </si>
  <si>
    <t>SOURCE OF FUNDS</t>
  </si>
  <si>
    <t>YOUTH</t>
  </si>
  <si>
    <t>WOMEN</t>
  </si>
  <si>
    <t>PWD</t>
  </si>
  <si>
    <t>CITIZEN</t>
  </si>
  <si>
    <t>QUARTER REQUIRED</t>
  </si>
  <si>
    <t>1ST</t>
  </si>
  <si>
    <t>2ND</t>
  </si>
  <si>
    <t>3RD</t>
  </si>
  <si>
    <t>4TH</t>
  </si>
  <si>
    <t>1.Advertisement</t>
  </si>
  <si>
    <t>Purchase of Branded macherdize eg umbrella</t>
  </si>
  <si>
    <t xml:space="preserve">PR </t>
  </si>
  <si>
    <t>Quotation</t>
  </si>
  <si>
    <t>GOK</t>
  </si>
  <si>
    <t>√</t>
  </si>
  <si>
    <t>TOTAL</t>
  </si>
  <si>
    <t>2.Cartridges and Toners</t>
  </si>
  <si>
    <t>Toners 05A</t>
  </si>
  <si>
    <t>procurement</t>
  </si>
  <si>
    <t>Toners 17A</t>
  </si>
  <si>
    <t>Toner 19A</t>
  </si>
  <si>
    <t>Tonner 59A</t>
  </si>
  <si>
    <t>Catridges 203</t>
  </si>
  <si>
    <t>3Sets</t>
  </si>
  <si>
    <t>Director</t>
  </si>
  <si>
    <t>CARTRIDGE</t>
  </si>
  <si>
    <t>Repro</t>
  </si>
  <si>
    <t>Printer cartridges</t>
  </si>
  <si>
    <t>Security</t>
  </si>
  <si>
    <t>Toner Hp laser jet print cartridge 05A</t>
  </si>
  <si>
    <t>NCD</t>
  </si>
  <si>
    <r>
      <rPr>
        <sz val="10"/>
        <color theme="1"/>
        <rFont val="Wingdings"/>
        <charset val="2"/>
      </rPr>
      <t>ü</t>
    </r>
    <r>
      <rPr>
        <sz val="7"/>
        <color indexed="8"/>
        <rFont val="Times New Roman"/>
        <charset val="134"/>
      </rPr>
      <t xml:space="preserve">  </t>
    </r>
    <r>
      <rPr>
        <sz val="10"/>
        <color indexed="8"/>
        <rFont val="Calibri"/>
        <charset val="134"/>
      </rPr>
      <t> </t>
    </r>
  </si>
  <si>
    <t>Tonner</t>
  </si>
  <si>
    <t>CBD</t>
  </si>
  <si>
    <t xml:space="preserve">Tonner – Cartridges </t>
  </si>
  <si>
    <t>HR</t>
  </si>
  <si>
    <t>TID</t>
  </si>
  <si>
    <t>3.COMPUTER ACCESSORIES</t>
  </si>
  <si>
    <t>24-port  gigabit Network switches</t>
  </si>
  <si>
    <t>ICT</t>
  </si>
  <si>
    <t>50-piece networking toolkit</t>
  </si>
  <si>
    <t>Wall clips box</t>
  </si>
  <si>
    <t>Cable ties box</t>
  </si>
  <si>
    <t>Roll, CAT 6e ethernet cable</t>
  </si>
  <si>
    <t>RJ45 box</t>
  </si>
  <si>
    <t>RJ45 facewall plate double socket with modules</t>
  </si>
  <si>
    <t>WD40 spray can</t>
  </si>
  <si>
    <t>Extension Cable sollatek</t>
  </si>
  <si>
    <t>External Hard drive 1TB Transcend</t>
  </si>
  <si>
    <t>Kaspersky antivirus 3+1 license</t>
  </si>
  <si>
    <t>Windows 10 Pro OS license</t>
  </si>
  <si>
    <t xml:space="preserve">Kaspersky antivirus </t>
  </si>
  <si>
    <t>Windows 10  Software</t>
  </si>
  <si>
    <t>Transcend ( Flash disk)</t>
  </si>
  <si>
    <t>External hard disk drive 1TB</t>
  </si>
  <si>
    <t>4.COMPUTER HARDWARE</t>
  </si>
  <si>
    <t>5. ADMISSION TICKETS</t>
  </si>
  <si>
    <t>6. Electricals</t>
  </si>
  <si>
    <t>Cable 2.5 mm (East African)</t>
  </si>
  <si>
    <t xml:space="preserve">Physical </t>
  </si>
  <si>
    <t>Cable 1.5 mm (East African)</t>
  </si>
  <si>
    <t>Fluorescent tube 5 ft Philips</t>
  </si>
  <si>
    <t>Fluorescent tube 4 ft Philips</t>
  </si>
  <si>
    <t>Fluorescent tube 2 ft Philips</t>
  </si>
  <si>
    <t>MCB Crab Tree 30 Amp</t>
  </si>
  <si>
    <t>MCB Crab Tree 20 Amp</t>
  </si>
  <si>
    <t>MCB Crab Tree 10 Amp</t>
  </si>
  <si>
    <t>Socket outlet crab tree double</t>
  </si>
  <si>
    <t>Socket outlet crab tree single</t>
  </si>
  <si>
    <t>Top plug 13 A</t>
  </si>
  <si>
    <t>Fuse 13 A</t>
  </si>
  <si>
    <t>Deep Pattress Box</t>
  </si>
  <si>
    <t>Shallow Pattress Box</t>
  </si>
  <si>
    <t>Starters 4-80 w</t>
  </si>
  <si>
    <t>Choke L65w Schwabe</t>
  </si>
  <si>
    <t>Choke L40w Schwabe</t>
  </si>
  <si>
    <t>Choke L18w Schwabe</t>
  </si>
  <si>
    <t xml:space="preserve">Energy saver Osram 20w screw type </t>
  </si>
  <si>
    <t xml:space="preserve">Energy saver Osram 20w pin type </t>
  </si>
  <si>
    <t>Insulating tape Globe red</t>
  </si>
  <si>
    <t>Insulating tape Globe black</t>
  </si>
  <si>
    <t xml:space="preserve">Halogen tube 300w Philips </t>
  </si>
  <si>
    <t>Ordinary bulbs 40 w Philips screw</t>
  </si>
  <si>
    <t>Moonlight fitting 5ft</t>
  </si>
  <si>
    <t>Moonlight fitting 4 ft</t>
  </si>
  <si>
    <t>Moonlight fitting 2 ft</t>
  </si>
  <si>
    <t>Superglue 3 ml Sparko</t>
  </si>
  <si>
    <t>Extension Cable</t>
  </si>
  <si>
    <t>FURNITURE</t>
  </si>
  <si>
    <t>medium back office chair</t>
  </si>
  <si>
    <t>Visitors chairs</t>
  </si>
  <si>
    <t>Executive Swivel Chair</t>
  </si>
  <si>
    <t>Accounts</t>
  </si>
  <si>
    <t>Purchase of Office Desk</t>
  </si>
  <si>
    <t>purchase of Office Seats</t>
  </si>
  <si>
    <t>Purchase of Visitor Seats</t>
  </si>
  <si>
    <t>Lab Chairs (Leather)</t>
  </si>
  <si>
    <t>ASD</t>
  </si>
  <si>
    <t>Office Desk</t>
  </si>
  <si>
    <t>Office chairs</t>
  </si>
  <si>
    <t>Lab chairs</t>
  </si>
  <si>
    <t xml:space="preserve">Lab Cabinets </t>
  </si>
  <si>
    <t>Laboratory  Glassware lock drawers</t>
  </si>
  <si>
    <t xml:space="preserve">Orthopedic chairs </t>
  </si>
  <si>
    <t>Office Chairs</t>
  </si>
  <si>
    <t>File Cabinet</t>
  </si>
  <si>
    <t>Office desk</t>
  </si>
  <si>
    <t xml:space="preserve">Movable lockers </t>
  </si>
  <si>
    <t xml:space="preserve">White Board </t>
  </si>
  <si>
    <t>Notice Board</t>
  </si>
  <si>
    <t xml:space="preserve">Visitors Chairs </t>
  </si>
  <si>
    <t>Arm Chair</t>
  </si>
  <si>
    <t xml:space="preserve">Wheel chair </t>
  </si>
  <si>
    <t xml:space="preserve">Fire proof file cabinets </t>
  </si>
  <si>
    <r>
      <rPr>
        <sz val="12"/>
        <color theme="1"/>
        <rFont val="Calibri"/>
        <charset val="134"/>
        <scheme val="minor"/>
      </rPr>
      <t>Desks / tables (</t>
    </r>
    <r>
      <rPr>
        <b/>
        <sz val="12"/>
        <color theme="1"/>
        <rFont val="Calibri"/>
        <charset val="134"/>
        <scheme val="minor"/>
      </rPr>
      <t xml:space="preserve"> for modern work station</t>
    </r>
    <r>
      <rPr>
        <sz val="12"/>
        <color theme="1"/>
        <rFont val="Calibri"/>
        <charset val="134"/>
        <scheme val="minor"/>
      </rPr>
      <t>)</t>
    </r>
  </si>
  <si>
    <t>Cupboard ( HR and PAO’S OFFICE)</t>
  </si>
  <si>
    <t>LAB CHAIRS</t>
  </si>
  <si>
    <t>8.Motor Vehicle Expenses</t>
  </si>
  <si>
    <t>Petrol for KBL 126G</t>
  </si>
  <si>
    <t>Transport</t>
  </si>
  <si>
    <t>contract</t>
  </si>
  <si>
    <t>Diesel for Bus KBT 506N (staff bus)</t>
  </si>
  <si>
    <t>Petrol for KCT 811Y</t>
  </si>
  <si>
    <t>Diesel for KCP 827K</t>
  </si>
  <si>
    <t>Diesel for KCT 730Y</t>
  </si>
  <si>
    <t>Tyres for KCP 827K</t>
  </si>
  <si>
    <t xml:space="preserve">Tyres for KBL 126G </t>
  </si>
  <si>
    <t>Tyres for KBT 506N</t>
  </si>
  <si>
    <t>Battery MF for KBL 126G</t>
  </si>
  <si>
    <t>Battery MF for KBT 506N( Staff bus)</t>
  </si>
  <si>
    <t>Purchase of Lubricants (oil, greases, etc.) and fluids (Brake fluid, Battery water, etc.)</t>
  </si>
  <si>
    <t>Assorted</t>
  </si>
  <si>
    <t>Servicing &amp; Maintenance of Vehicles:</t>
  </si>
  <si>
    <t>KBL 126G</t>
  </si>
  <si>
    <t xml:space="preserve">Estimated </t>
  </si>
  <si>
    <t>500,000/=</t>
  </si>
  <si>
    <t>KBT 506N ( Staff Bus)</t>
  </si>
  <si>
    <t>Estimated</t>
  </si>
  <si>
    <t>KAL 107U</t>
  </si>
  <si>
    <t>250,000/=</t>
  </si>
  <si>
    <t xml:space="preserve">KAV 274E </t>
  </si>
  <si>
    <t>200,000/=</t>
  </si>
  <si>
    <t>KCP 827K</t>
  </si>
  <si>
    <t>150,000/=</t>
  </si>
  <si>
    <t>KCT 811Y</t>
  </si>
  <si>
    <t>KCT 730Y</t>
  </si>
  <si>
    <t>9.Janitorials</t>
  </si>
  <si>
    <t>Jumbo Tissue</t>
  </si>
  <si>
    <t>IPR</t>
  </si>
  <si>
    <t>Quotations</t>
  </si>
  <si>
    <t>Gok</t>
  </si>
  <si>
    <t>Disposable bags</t>
  </si>
  <si>
    <t>Liquid soap (Teepool)</t>
  </si>
  <si>
    <t>Bathing soap (Protex)</t>
  </si>
  <si>
    <t>Vaseline</t>
  </si>
  <si>
    <t>Yellow Dusters</t>
  </si>
  <si>
    <t>JIK</t>
  </si>
  <si>
    <t>Industrial gloves</t>
  </si>
  <si>
    <t>Air freshner</t>
  </si>
  <si>
    <t>Persil(Machine wash)</t>
  </si>
  <si>
    <t>Omo 1Kg</t>
  </si>
  <si>
    <t>Toilet balls (Coloured)</t>
  </si>
  <si>
    <t>Doom</t>
  </si>
  <si>
    <t>Harpic</t>
  </si>
  <si>
    <t>Pledge</t>
  </si>
  <si>
    <t>Superbrite (Jumbo)</t>
  </si>
  <si>
    <t>Bar soap 1kg</t>
  </si>
  <si>
    <t>Liquid hand wash 5 litres</t>
  </si>
  <si>
    <t>Dustbins</t>
  </si>
  <si>
    <t>Toilet brush</t>
  </si>
  <si>
    <t>Mop buckets</t>
  </si>
  <si>
    <t>Mop heads</t>
  </si>
  <si>
    <t>Windolene</t>
  </si>
  <si>
    <t>Vim</t>
  </si>
  <si>
    <t>Soft broom</t>
  </si>
  <si>
    <t>Hard broom</t>
  </si>
  <si>
    <t>Mop sticks</t>
  </si>
  <si>
    <t>Hand paper towels</t>
  </si>
  <si>
    <t>Climax</t>
  </si>
  <si>
    <t>GLOVES</t>
  </si>
  <si>
    <t>FACE MASKS</t>
  </si>
  <si>
    <t>Liquid soap/detergent Teepol (20L)</t>
  </si>
  <si>
    <t>Hypochlorite (Jik) (5L)</t>
  </si>
  <si>
    <t>Povidone iodine USP (5L)</t>
  </si>
  <si>
    <t>Betadine solution, 5L</t>
  </si>
  <si>
    <t>Surgical spirit (5l)</t>
  </si>
  <si>
    <t>Hibitane 5% (5L)</t>
  </si>
  <si>
    <t>Cidex cold sterilant 5L</t>
  </si>
  <si>
    <t>Savlon (Alguard, 5L)</t>
  </si>
  <si>
    <t>Hydrogen peroxide (5L)</t>
  </si>
  <si>
    <t>Kerol (5L)</t>
  </si>
  <si>
    <t>Doom spray (cans, )</t>
  </si>
  <si>
    <t>Vaseline 100g</t>
  </si>
  <si>
    <t>Protex soap #2</t>
  </si>
  <si>
    <t>Industrial gloves (pairs)</t>
  </si>
  <si>
    <t>Rubber squeezers</t>
  </si>
  <si>
    <t>Soft brooms</t>
  </si>
  <si>
    <t>Hard Brooms</t>
  </si>
  <si>
    <t>Hard brushes</t>
  </si>
  <si>
    <t>Brush/brooms handles</t>
  </si>
  <si>
    <t>Hose pipes</t>
  </si>
  <si>
    <t>Gloves</t>
  </si>
  <si>
    <t>Cotton gauze</t>
  </si>
  <si>
    <t>30 Boxes</t>
  </si>
  <si>
    <t>project</t>
  </si>
  <si>
    <t>10.Printing and duplication</t>
  </si>
  <si>
    <t>Printing of DOF ,GRN and issue note books</t>
  </si>
  <si>
    <t>Voucher printing</t>
  </si>
  <si>
    <t>Printing of  Instituional Brochures</t>
  </si>
  <si>
    <t>Printing of Oloolua Nature trail Brocures</t>
  </si>
  <si>
    <t>Printing of Business cards</t>
  </si>
  <si>
    <t>Motor vehicles log forms</t>
  </si>
  <si>
    <t>12 reams</t>
  </si>
  <si>
    <t>Visitors pass</t>
  </si>
  <si>
    <t>Government Printing staff files</t>
  </si>
  <si>
    <t xml:space="preserve">Leave application forms booklets </t>
  </si>
  <si>
    <t>11. Stationery</t>
  </si>
  <si>
    <t>A4 Envelopes branded</t>
  </si>
  <si>
    <t>A4 Loose leaf pads</t>
  </si>
  <si>
    <t>A5 Envelopes branded</t>
  </si>
  <si>
    <t>Box Files</t>
  </si>
  <si>
    <t xml:space="preserve">Cellotape </t>
  </si>
  <si>
    <t>Counter Books 4 quire</t>
  </si>
  <si>
    <t>Counter books 3 quire</t>
  </si>
  <si>
    <t xml:space="preserve"> stapler</t>
  </si>
  <si>
    <t>Glue Stick</t>
  </si>
  <si>
    <t>HighLighter</t>
  </si>
  <si>
    <t>Marker Pen</t>
  </si>
  <si>
    <t>Masking tape (1”, roll)</t>
  </si>
  <si>
    <t>Note Books A5</t>
  </si>
  <si>
    <t>Pencils HB110</t>
  </si>
  <si>
    <t>Printing papers</t>
  </si>
  <si>
    <t>Ruler</t>
  </si>
  <si>
    <t>Spring Files</t>
  </si>
  <si>
    <t>Yellow stickers</t>
  </si>
  <si>
    <t>Erasers ( rubber)</t>
  </si>
  <si>
    <t>Cashbooks</t>
  </si>
  <si>
    <t>ledger books</t>
  </si>
  <si>
    <t>HP laser jet cartridge P2055</t>
  </si>
  <si>
    <t>HP laser jet cartridge P2014</t>
  </si>
  <si>
    <t>Assorted forms (reams)</t>
  </si>
  <si>
    <t>Yellow file folders (dozen)</t>
  </si>
  <si>
    <t>Pink file folders (dozen)</t>
  </si>
  <si>
    <t>Thump Pins (Packets)</t>
  </si>
  <si>
    <t>Dry cell Batteries (Duracell, D, pairs)</t>
  </si>
  <si>
    <t>Dry cell Batteries (Duracell, AA, pairs)</t>
  </si>
  <si>
    <t>Dry cell batteries (Duracell, C, pairs)</t>
  </si>
  <si>
    <t>Marker pens (permanent with Fine points) pcs</t>
  </si>
  <si>
    <t>Marker pens (permanent with Wedge point) pcs</t>
  </si>
  <si>
    <t xml:space="preserve">Latex personal  files </t>
  </si>
  <si>
    <t xml:space="preserve">Laminating papers </t>
  </si>
  <si>
    <t xml:space="preserve">File holders </t>
  </si>
  <si>
    <t>Filing Cards</t>
  </si>
  <si>
    <t xml:space="preserve">HR rubber stamp </t>
  </si>
  <si>
    <t>12.Maintenance of Buildings</t>
  </si>
  <si>
    <t>office curtains</t>
  </si>
  <si>
    <t>Curtains for Resource Center</t>
  </si>
  <si>
    <t>Reception Curtains</t>
  </si>
  <si>
    <t>13.Cage maintenence</t>
  </si>
  <si>
    <r>
      <rPr>
        <sz val="11"/>
        <color theme="1"/>
        <rFont val="Calibri Light"/>
        <charset val="134"/>
        <scheme val="major"/>
      </rPr>
      <t xml:space="preserve">            </t>
    </r>
    <r>
      <rPr>
        <b/>
        <sz val="11"/>
        <color theme="1"/>
        <rFont val="Calibri Light"/>
        <charset val="134"/>
        <scheme val="major"/>
      </rPr>
      <t>WELDING MATERIALS FOR ANIMAL CAGES AND OTHER FACILITIES</t>
    </r>
  </si>
  <si>
    <t>Round 6  bar 40 ft length</t>
  </si>
  <si>
    <t>100 pcs</t>
  </si>
  <si>
    <t>Round 10  bar 40 ft length</t>
  </si>
  <si>
    <t>16 pcs</t>
  </si>
  <si>
    <t>Angle line 1’’x1’’ 16 G</t>
  </si>
  <si>
    <t>24 pcs</t>
  </si>
  <si>
    <t>Angle line 2’’x2’’ 16 G</t>
  </si>
  <si>
    <t>Angle line 1 ½’’x 1 ½’’ 16 G</t>
  </si>
  <si>
    <t>Flat bar 1 ½’’x 1/8” 18 G</t>
  </si>
  <si>
    <t>12 pcs</t>
  </si>
  <si>
    <t xml:space="preserve">Flat bar 1” 14 G  </t>
  </si>
  <si>
    <t>12pcs</t>
  </si>
  <si>
    <t>Round pipe ½” 16G</t>
  </si>
  <si>
    <t>10 pcs</t>
  </si>
  <si>
    <t>Welding rods 3.2mm (Welrods)</t>
  </si>
  <si>
    <t>24pkts</t>
  </si>
  <si>
    <t>Hacksaw blade (Sandflex)</t>
  </si>
  <si>
    <t>Cutting disk 7”</t>
  </si>
  <si>
    <t>20 pcs</t>
  </si>
  <si>
    <t>Grinding disk 7”</t>
  </si>
  <si>
    <t>Wire mesh heavy gauge 4ft x 8ft</t>
  </si>
  <si>
    <t>24pcs</t>
  </si>
  <si>
    <t>Roll Bolt M 10 (4.8)</t>
  </si>
  <si>
    <t>Roll Bolt M 8 (4.8)</t>
  </si>
  <si>
    <t>5 pcs</t>
  </si>
  <si>
    <t>Roll Bolt M 12 (4.8)</t>
  </si>
  <si>
    <t>Painting brush (Harris) 4”</t>
  </si>
  <si>
    <t>Painting brush (Harris) 5”</t>
  </si>
  <si>
    <t>Painting brush (Harris) 2”</t>
  </si>
  <si>
    <t>Painting brush (Harris) 6”</t>
  </si>
  <si>
    <t>14. Maintenance of monuments</t>
  </si>
  <si>
    <t>Repair of Eagle hide at Oloolua Nature Trail</t>
  </si>
  <si>
    <r>
      <rPr>
        <sz val="11"/>
        <color theme="1"/>
        <rFont val="Calibri"/>
        <charset val="134"/>
        <scheme val="minor"/>
      </rPr>
      <t>T</t>
    </r>
    <r>
      <rPr>
        <b/>
        <sz val="11"/>
        <color theme="1"/>
        <rFont val="Calibri"/>
        <charset val="134"/>
        <scheme val="minor"/>
      </rPr>
      <t>OTAL</t>
    </r>
  </si>
  <si>
    <t>15.Tools and Equipments new</t>
  </si>
  <si>
    <t>UPS</t>
  </si>
  <si>
    <t>Ramtons Kettle</t>
  </si>
  <si>
    <t>Petty cash</t>
  </si>
  <si>
    <t>Telephone set</t>
  </si>
  <si>
    <t>APC UPS 750va</t>
  </si>
  <si>
    <t>Radio handsets</t>
  </si>
  <si>
    <t>4 pieces</t>
  </si>
  <si>
    <t>Electric kettle</t>
  </si>
  <si>
    <t>Rechargeable torches</t>
  </si>
  <si>
    <t>10 pieces</t>
  </si>
  <si>
    <t>Electrical Planing Machine</t>
  </si>
  <si>
    <t>physical</t>
  </si>
  <si>
    <t>Hand saw (Stanley Brand)</t>
  </si>
  <si>
    <t>Edge Trimmer</t>
  </si>
  <si>
    <t>Trowel No.10(Australia)</t>
  </si>
  <si>
    <t>Pointing Trowel(Australia)</t>
  </si>
  <si>
    <t>Steel float(Crown Italy)</t>
  </si>
  <si>
    <t>Plumb Bob steel</t>
  </si>
  <si>
    <t>Spirit level(Germany)</t>
  </si>
  <si>
    <t>Manson Hose Pipe</t>
  </si>
  <si>
    <t>1Roll</t>
  </si>
  <si>
    <t>Cold Chisel</t>
  </si>
  <si>
    <t>String(Building Line)</t>
  </si>
  <si>
    <t>Manson Square</t>
  </si>
  <si>
    <t>Medium spraying machine</t>
  </si>
  <si>
    <t>Acetrine Gas Arc Welding Machine complete with regulator</t>
  </si>
  <si>
    <t>Gas Grider</t>
  </si>
  <si>
    <t>Hand saw 18”Stanley(plastic Handle)</t>
  </si>
  <si>
    <t>Chisels 1”,1/2”,3/4”,1/4” Stanley</t>
  </si>
  <si>
    <t xml:space="preserve">1set </t>
  </si>
  <si>
    <t>Plain cutter</t>
  </si>
  <si>
    <t>Plaining Machine combined</t>
  </si>
  <si>
    <t>Bend Saw</t>
  </si>
  <si>
    <t>Basin spanner ½”x3/4” record Original</t>
  </si>
  <si>
    <t>Projector</t>
  </si>
  <si>
    <t>Projector tripos</t>
  </si>
  <si>
    <t xml:space="preserve"> Screens (for education &amp; outreach)</t>
  </si>
  <si>
    <t>Telephone Headsets</t>
  </si>
  <si>
    <t xml:space="preserve">Laminating machine </t>
  </si>
  <si>
    <t xml:space="preserve">Solar lights </t>
  </si>
  <si>
    <t>Utensils (Lumpsum)</t>
  </si>
  <si>
    <t>Storage boxes 2</t>
  </si>
  <si>
    <t xml:space="preserve">Camping Tents </t>
  </si>
  <si>
    <t>Camping Matresse</t>
  </si>
  <si>
    <t>Telephone Back Up Charge</t>
  </si>
  <si>
    <t>16.Equipments Repairs and Maintenance</t>
  </si>
  <si>
    <t xml:space="preserve">Xenon lamp </t>
  </si>
  <si>
    <t>Annual service of Anaesthetic machine</t>
  </si>
  <si>
    <t>Service of Haematology analyzer, pc</t>
  </si>
  <si>
    <t>Calibration of machines</t>
  </si>
  <si>
    <t>17.First Aid</t>
  </si>
  <si>
    <t xml:space="preserve">First aid kits  </t>
  </si>
  <si>
    <t>18.. Staff Uniforms and protective clothing</t>
  </si>
  <si>
    <t>Dust Coats</t>
  </si>
  <si>
    <t>Dustcoats</t>
  </si>
  <si>
    <t>Beige suits</t>
  </si>
  <si>
    <t>Beige caps</t>
  </si>
  <si>
    <t>White lab coats</t>
  </si>
  <si>
    <t>Green lab coats</t>
  </si>
  <si>
    <t>Overalls</t>
  </si>
  <si>
    <t>Blue lab coats</t>
  </si>
  <si>
    <t>Gum boots, pairs</t>
  </si>
  <si>
    <t>Boots,pairs</t>
  </si>
  <si>
    <t>Bath Towels, pcs</t>
  </si>
  <si>
    <t>Shirts</t>
  </si>
  <si>
    <t>Trousers</t>
  </si>
  <si>
    <t>Rain coat</t>
  </si>
  <si>
    <t>Great coat</t>
  </si>
  <si>
    <t>Military boot</t>
  </si>
  <si>
    <t>10 pairs</t>
  </si>
  <si>
    <t>Socks</t>
  </si>
  <si>
    <t>Sweater</t>
  </si>
  <si>
    <t>Lanyards/whistle</t>
  </si>
  <si>
    <t>Belts</t>
  </si>
  <si>
    <t>Berets</t>
  </si>
  <si>
    <t>Supervisors suits</t>
  </si>
  <si>
    <t>2 pieces</t>
  </si>
  <si>
    <t>Supervisors shoes</t>
  </si>
  <si>
    <t>2 pairs</t>
  </si>
  <si>
    <t>Field Uniforms 6 pairs (Boots, shirts, Trousers &amp; Dark green -Lab coats)</t>
  </si>
  <si>
    <t xml:space="preserve">Dust coats </t>
  </si>
  <si>
    <t>Lab coats</t>
  </si>
  <si>
    <t>19.Food  for Rations</t>
  </si>
  <si>
    <t>20. Air Fares</t>
  </si>
  <si>
    <t>21. Food for Primates</t>
  </si>
  <si>
    <t>Monkey cubes (50Kg, bags)</t>
  </si>
  <si>
    <t>Mice feed (50-70kg, bags)</t>
  </si>
  <si>
    <t>Rabbit pellets (Bags of 50Kg)</t>
  </si>
  <si>
    <t>22. Medical and Surgical supplies</t>
  </si>
  <si>
    <t>Therapy Supplements</t>
  </si>
  <si>
    <t>Multivit injectable (100ml)</t>
  </si>
  <si>
    <t>Iron dextran, 100ml</t>
  </si>
  <si>
    <t>Fruit juice (pineaple, orange etc) (5L) cash</t>
  </si>
  <si>
    <t>Hartmans solution, 500ml</t>
  </si>
  <si>
    <t>Dextrose, 5%, 500ml</t>
  </si>
  <si>
    <t>Normal saline, 500ml (like a blood bag)</t>
  </si>
  <si>
    <t>Lactogen powder, 500g</t>
  </si>
  <si>
    <t>Glucose powder, 500g</t>
  </si>
  <si>
    <t>Analgesics/Emergency drugs</t>
  </si>
  <si>
    <t xml:space="preserve"> </t>
  </si>
  <si>
    <t>Diclofenac injectable 75mg (3ml vials)</t>
  </si>
  <si>
    <t>Adrenaline (30ml vials)</t>
  </si>
  <si>
    <t>Diazepum (3ml vials)</t>
  </si>
  <si>
    <t>Lidocaine (100ml bottle)</t>
  </si>
  <si>
    <t>Dexamethasone (50ml bottle)</t>
  </si>
  <si>
    <t>Furosemide, 2ml</t>
  </si>
  <si>
    <t>Atropin injection, vials</t>
  </si>
  <si>
    <t>Cough mixture, 5L</t>
  </si>
  <si>
    <t>Heparin sodium, 10mg</t>
  </si>
  <si>
    <t>Hyscopan, vials</t>
  </si>
  <si>
    <t>IV Giving sets</t>
  </si>
  <si>
    <t>Infusion sets</t>
  </si>
  <si>
    <t>Stomach tubes</t>
  </si>
  <si>
    <t>Antibiotics</t>
  </si>
  <si>
    <t>Tetracycline wound spray (170ml)</t>
  </si>
  <si>
    <t>PenStrep LA (100ml)</t>
  </si>
  <si>
    <t>Pentomycine penicillin, 100ml</t>
  </si>
  <si>
    <t>Trimethoprim sulphamethoxazole injection, 100ml</t>
  </si>
  <si>
    <t>Septrin oral, 5L</t>
  </si>
  <si>
    <t>Erythromycin injection, 100ml</t>
  </si>
  <si>
    <t>Gentamycin injection, 100ml</t>
  </si>
  <si>
    <t>Oxytetracycline LA (100ml)</t>
  </si>
  <si>
    <t>Cefotaxine inj 1g vials</t>
  </si>
  <si>
    <t>Eye drops (Chloramphenical)</t>
  </si>
  <si>
    <t>Wound powder (Grabacin, 50g)</t>
  </si>
  <si>
    <t>Antihelmintics / Antiprotozoal</t>
  </si>
  <si>
    <t>Albendazole (Valbazen, 10%) (Litres)</t>
  </si>
  <si>
    <t>Ivermectin 1% (100ml)</t>
  </si>
  <si>
    <t>Curefluke plus 5%, 1L</t>
  </si>
  <si>
    <t>Metronidazole 200mg (100ml, bottle)</t>
  </si>
  <si>
    <t>Antifungals</t>
  </si>
  <si>
    <t>Whitefield ointment USP (500g)</t>
  </si>
  <si>
    <t>Ketoconazole tabs, pkt</t>
  </si>
  <si>
    <t>Griseofulvin tabs 500g, pkt</t>
  </si>
  <si>
    <t>Topicals and Dressings</t>
  </si>
  <si>
    <t>Povidone iodine ointment cream (40g)</t>
  </si>
  <si>
    <t>Cotton wool rolls (400g)</t>
  </si>
  <si>
    <t>Gauze swabs 3”×3” ply (pkt)</t>
  </si>
  <si>
    <t>Gauze WOW rolls  (doz)</t>
  </si>
  <si>
    <t>Adhessive plaster, pcs</t>
  </si>
  <si>
    <t>Cotton gauze 36Yd</t>
  </si>
  <si>
    <t>Cotton wool 400g</t>
  </si>
  <si>
    <t>Glycerine, 2.5L</t>
  </si>
  <si>
    <t>Surgicals / Anaesthetics</t>
  </si>
  <si>
    <t>Surgical blades #24 (pkt)</t>
  </si>
  <si>
    <t>Vicryl No. 2.0C (Doz)</t>
  </si>
  <si>
    <t>Vicryl No. 2.0R (Doz)</t>
  </si>
  <si>
    <t>Vicryl No. 3.0R (Doz)</t>
  </si>
  <si>
    <t>Isoflurane (250ml)</t>
  </si>
  <si>
    <t>Ketamine HCL 10% 25 ml vials</t>
  </si>
  <si>
    <t>Euthatal 100ml</t>
  </si>
  <si>
    <t>Lidocaine oral spray, 10%, 500ml</t>
  </si>
  <si>
    <t>None sterile gloves M+S (pkt)</t>
  </si>
  <si>
    <t>Sterile surgical gloves (pkt)</t>
  </si>
  <si>
    <t>Surgical face masks (pkt)</t>
  </si>
  <si>
    <t>N95 masks Pkt of 20</t>
  </si>
  <si>
    <t xml:space="preserve">Autoclave tape (1”, roll) </t>
  </si>
  <si>
    <t>Needles and syringes</t>
  </si>
  <si>
    <t>G25 needles BD (pkt)</t>
  </si>
  <si>
    <t>G23 needles BD (pkt)</t>
  </si>
  <si>
    <t>G21 needles BD (pkt)</t>
  </si>
  <si>
    <t>G21 Vaccutainer needles BD (pkt)</t>
  </si>
  <si>
    <t>G18 Needles, BD, pkt</t>
  </si>
  <si>
    <t>Trocar &amp; canula (pc)</t>
  </si>
  <si>
    <t>Syringes 1mlL detachable BD (pkt)</t>
  </si>
  <si>
    <t>Syringes 2mlL BD (pkt)</t>
  </si>
  <si>
    <t>Syringes 5ml BD (pkt)</t>
  </si>
  <si>
    <t>Syringes 10ml BD (pkt)</t>
  </si>
  <si>
    <t>Syringes 20ml BD (pkt)</t>
  </si>
  <si>
    <t>Syringes 60ml BD (pkt)</t>
  </si>
  <si>
    <t>Swabs+vtm</t>
  </si>
  <si>
    <t>Surgical glasses</t>
  </si>
  <si>
    <t>23. laboratory  Equipment</t>
  </si>
  <si>
    <t>INVERTED MICROSCOPE</t>
  </si>
  <si>
    <t>CO2 INCUBATOR</t>
  </si>
  <si>
    <t>TID, Virology</t>
  </si>
  <si>
    <t>FLOW CYTOMETRY</t>
  </si>
  <si>
    <t>BENCH TOP CENTRIFUGE</t>
  </si>
  <si>
    <t>Virology</t>
  </si>
  <si>
    <t>WEIGHING BALANCES</t>
  </si>
  <si>
    <t>24.Laboratory chemicals and supplies</t>
  </si>
  <si>
    <t>Microscope slides 7105 (pkt)</t>
  </si>
  <si>
    <t>Cover slips (22x22mm, box)</t>
  </si>
  <si>
    <t>Cover slips (24x50mm, box)</t>
  </si>
  <si>
    <t>Specimen containers</t>
  </si>
  <si>
    <t>1L plastic jars</t>
  </si>
  <si>
    <t>4ml EDTA vaccutainers BD (Packs of 100)</t>
  </si>
  <si>
    <t>Histopathology tissue processing</t>
  </si>
  <si>
    <t>Paraplast (Kg)</t>
  </si>
  <si>
    <t>Microtome blades ERMA (pkt)</t>
  </si>
  <si>
    <t>OCT compound (125ml)</t>
  </si>
  <si>
    <t xml:space="preserve">Stains and staining apparatus </t>
  </si>
  <si>
    <t>Giemsa stock, Sigma (1L)</t>
  </si>
  <si>
    <t>Haematoxylin, Sigma (1L)</t>
  </si>
  <si>
    <t>Eosin Y, Sigma (1L)</t>
  </si>
  <si>
    <t>Crystal violet, Sigma (25g)</t>
  </si>
  <si>
    <t>Neutral red, Sigma (25g)</t>
  </si>
  <si>
    <t>Haematology Reagents</t>
  </si>
  <si>
    <t>ACT 5diff Rinse</t>
  </si>
  <si>
    <t>ACT 5diff Hb lyse</t>
  </si>
  <si>
    <t>ACT 5diff Fix</t>
  </si>
  <si>
    <t>ACT 5diff WBC lyse</t>
  </si>
  <si>
    <t>ACT 5diff Diluent</t>
  </si>
  <si>
    <t>Camping gas, cans</t>
  </si>
  <si>
    <t>Wooden applicator sticks, pkt</t>
  </si>
  <si>
    <t>Yellow tips, pkt</t>
  </si>
  <si>
    <t>ANTIBODIES</t>
  </si>
  <si>
    <t>Experiments</t>
  </si>
  <si>
    <t>projects</t>
  </si>
  <si>
    <t>Ethanol AR</t>
  </si>
  <si>
    <t>10 Liter Nalgene containers</t>
  </si>
  <si>
    <t>5 Liter beakers</t>
  </si>
  <si>
    <t>REAGENTS (SALTS)</t>
  </si>
  <si>
    <t>CRYOVIALS</t>
  </si>
  <si>
    <t>15,50 ml tubes</t>
  </si>
  <si>
    <t>400pc</t>
  </si>
  <si>
    <t>ETHANOL GPR</t>
  </si>
  <si>
    <t>80L</t>
  </si>
  <si>
    <t>Solvents and fixatives</t>
  </si>
  <si>
    <t>Formaldehyde 37-40%, 5L</t>
  </si>
  <si>
    <t>Toluene, Pancreac or Fluka AR (2.5L)</t>
  </si>
  <si>
    <t>Xylene,Pancreac or Fluka AR (2.5L)</t>
  </si>
  <si>
    <t>Acetone, Pancreac or Fluka AR (2.5L)</t>
  </si>
  <si>
    <t>Ethanol, Pancreac or Fluka AR (2.5L)</t>
  </si>
  <si>
    <t>Methanol, Pancreac or Fluka AR (2.5L)</t>
  </si>
  <si>
    <t>Di-ethyl-ether GPR, 2.5L</t>
  </si>
  <si>
    <t>DPX mountant, BDH, Pancreac or Fluka AR (500ml)</t>
  </si>
  <si>
    <t>Oil immersion, BDH, Pancreac or Fluka AR (500ml)</t>
  </si>
  <si>
    <t>Salts</t>
  </si>
  <si>
    <t>di-Sodium Hydrogen phosphate, Pancreac or Fluka AR (500g)</t>
  </si>
  <si>
    <t>Sodium diHydrogen phosphate, Pancreac or Fluka AR (500g)</t>
  </si>
  <si>
    <t>Sodium Nitrate, Pancreac or Fluka AR (500g)</t>
  </si>
  <si>
    <t>ELISA KITS</t>
  </si>
  <si>
    <t>25. Conferences/ Retreats/  Training</t>
  </si>
  <si>
    <t>Psycho Education</t>
  </si>
  <si>
    <t>Staff Medical test</t>
  </si>
  <si>
    <t>Short time Training</t>
  </si>
  <si>
    <t>Team Building</t>
  </si>
  <si>
    <t>Staff recognition/Motivation</t>
  </si>
  <si>
    <t xml:space="preserve">CONFERENCE </t>
  </si>
  <si>
    <t>TRAINING FOR DEPT</t>
  </si>
  <si>
    <t>&amp; FACILITATORS</t>
  </si>
  <si>
    <t>26. Gases</t>
  </si>
  <si>
    <t>Refill of large Nitrous gas cylinder</t>
  </si>
  <si>
    <t>Refill of Medical Carbon dioxide gas cylinder</t>
  </si>
  <si>
    <t>Refill of Medical Oxygen gas cylinder</t>
  </si>
  <si>
    <t>LIQUID NITROGEN GAS</t>
  </si>
  <si>
    <t>TID Labs</t>
  </si>
  <si>
    <t>27.Fertilizers</t>
  </si>
  <si>
    <t>28. Library Books / Journals</t>
  </si>
  <si>
    <t>29..Bindery</t>
  </si>
  <si>
    <t>30.Linen</t>
  </si>
  <si>
    <t>31. Colony Supplies</t>
  </si>
  <si>
    <t>Hose reel at Quarantine and Colony.</t>
  </si>
  <si>
    <t>32.Internet</t>
  </si>
  <si>
    <t>33. Multimedia Expenses</t>
  </si>
  <si>
    <t>34.Building  and Hardware Materials</t>
  </si>
  <si>
    <t>Iron sheets 2 ½” metres Gauge 26  (Brick Red  or as per sample)</t>
  </si>
  <si>
    <t>Physical</t>
  </si>
  <si>
    <t>Iron sheets 2 metres Gauge 26 (Brick Red or as sample)</t>
  </si>
  <si>
    <t>Ridges (Brick Red or as per sample)</t>
  </si>
  <si>
    <t>Iron cutter heavy duty</t>
  </si>
  <si>
    <t>Ordinary nails 3” (shiny)</t>
  </si>
  <si>
    <t>25kg</t>
  </si>
  <si>
    <t xml:space="preserve">Plastic cups </t>
  </si>
  <si>
    <t>5 pkts</t>
  </si>
  <si>
    <t>Ceramic floor/Wall Tiles(Assorted)</t>
  </si>
  <si>
    <t>50 Boxes</t>
  </si>
  <si>
    <t xml:space="preserve">PVC Tiles </t>
  </si>
  <si>
    <t>25 Boxes</t>
  </si>
  <si>
    <t>Ceramic Tiles Adhesive in 1x4kgs</t>
  </si>
  <si>
    <t>10pcs</t>
  </si>
  <si>
    <t xml:space="preserve">Door Closers </t>
  </si>
  <si>
    <t>8pcs</t>
  </si>
  <si>
    <t>Chrome pipes Assorted sizes</t>
  </si>
  <si>
    <t>3 lever Mortise locks</t>
  </si>
  <si>
    <t>2 lever Mortise locks</t>
  </si>
  <si>
    <t>Dead locks Viro/Union</t>
  </si>
  <si>
    <t>Pedestal locks</t>
  </si>
  <si>
    <t>Drawer Locks</t>
  </si>
  <si>
    <t>Ballast size ½”x3/4”</t>
  </si>
  <si>
    <t>24 Tonnes</t>
  </si>
  <si>
    <t>Sand Fine Rive Sand)</t>
  </si>
  <si>
    <t>24Tonnes</t>
  </si>
  <si>
    <t>Cement approved Quality</t>
  </si>
  <si>
    <t>80Bags</t>
  </si>
  <si>
    <t>Nails – 4 inch</t>
  </si>
  <si>
    <t>24 kg</t>
  </si>
  <si>
    <t>Nails – 3 inch</t>
  </si>
  <si>
    <t>Nails – 2 inch</t>
  </si>
  <si>
    <t>Nails – 1 ½’ inch</t>
  </si>
  <si>
    <t>24kg</t>
  </si>
  <si>
    <t>Nails – 1 inch</t>
  </si>
  <si>
    <t xml:space="preserve">Roofing nails </t>
  </si>
  <si>
    <t xml:space="preserve">U-nails </t>
  </si>
  <si>
    <t>Louvre frame 7-blade</t>
  </si>
  <si>
    <t>24 pc</t>
  </si>
  <si>
    <t>Louvre frame 8-blade</t>
  </si>
  <si>
    <t>24pc</t>
  </si>
  <si>
    <t>Louvre frame 10-blade</t>
  </si>
  <si>
    <t>20pc</t>
  </si>
  <si>
    <t>Louvre glass 34’’</t>
  </si>
  <si>
    <t>Louvre glass 30’’</t>
  </si>
  <si>
    <t>10 prs</t>
  </si>
  <si>
    <t>Louvre glass 28.5’’</t>
  </si>
  <si>
    <t>Louvre glass 26.5’’</t>
  </si>
  <si>
    <t>5 prs</t>
  </si>
  <si>
    <t>Louvre glass 24.5’’</t>
  </si>
  <si>
    <t xml:space="preserve">MDF Board </t>
  </si>
  <si>
    <t>Silicon tube</t>
  </si>
  <si>
    <t>8 tubes</t>
  </si>
  <si>
    <t>Conta glue</t>
  </si>
  <si>
    <t>20 Litres</t>
  </si>
  <si>
    <t>Timber 4x2 in</t>
  </si>
  <si>
    <t>200 ft</t>
  </si>
  <si>
    <t>Timber 3x2 in</t>
  </si>
  <si>
    <t>Timber 6x1 in</t>
  </si>
  <si>
    <t>250 ft</t>
  </si>
  <si>
    <t>Timber 8x1 in</t>
  </si>
  <si>
    <t>100 ft</t>
  </si>
  <si>
    <t>Timber 10x1 in</t>
  </si>
  <si>
    <t>Plastic composite Planks assorted sizes</t>
  </si>
  <si>
    <t>1000 ft</t>
  </si>
  <si>
    <t xml:space="preserve">Paint soft white (silk) </t>
  </si>
  <si>
    <t>60 lts</t>
  </si>
  <si>
    <t>Paint Brilliant white (silk)</t>
  </si>
  <si>
    <t>40 lts</t>
  </si>
  <si>
    <t>Paint cream(silk)</t>
  </si>
  <si>
    <t>Paint, gun metal</t>
  </si>
  <si>
    <t>80 lts</t>
  </si>
  <si>
    <t>Paint, scotch earth</t>
  </si>
  <si>
    <t>20 lts</t>
  </si>
  <si>
    <t>Paint, mouse grey</t>
  </si>
  <si>
    <t>Paint, undercoat (universal)</t>
  </si>
  <si>
    <t>50 lts</t>
  </si>
  <si>
    <t>Paint, gloss black</t>
  </si>
  <si>
    <t>16 lts</t>
  </si>
  <si>
    <t>White spirit</t>
  </si>
  <si>
    <t>Sand paper P-120</t>
  </si>
  <si>
    <t>1roll</t>
  </si>
  <si>
    <t>Sand paper P-100</t>
  </si>
  <si>
    <t>1 roll</t>
  </si>
  <si>
    <t>Sand paper P-80</t>
  </si>
  <si>
    <t>Sand paper P-60</t>
  </si>
  <si>
    <t>Barbed wire</t>
  </si>
  <si>
    <t>25roll</t>
  </si>
  <si>
    <t>Chain link assorted Heights</t>
  </si>
  <si>
    <t>50 roll</t>
  </si>
  <si>
    <t>Cider posts Assorted Heights</t>
  </si>
  <si>
    <t>100pcs</t>
  </si>
  <si>
    <t>35.Hire of Motor Vehicles</t>
  </si>
  <si>
    <t>36.Community Projects</t>
  </si>
  <si>
    <t>NEW ASSET</t>
  </si>
  <si>
    <t>Desktop computer</t>
  </si>
  <si>
    <t>Water Dispenser</t>
  </si>
  <si>
    <t>Colour printer/Scanner</t>
  </si>
  <si>
    <t>Copier machine</t>
  </si>
  <si>
    <t>Computer</t>
  </si>
  <si>
    <t>LAP TOP</t>
  </si>
  <si>
    <t>Purchase of Computer</t>
  </si>
  <si>
    <t>Purchase of colour Printer</t>
  </si>
  <si>
    <t>Fire extinguishers</t>
  </si>
  <si>
    <t>Computer (desktop)</t>
  </si>
  <si>
    <t>Water dispenser</t>
  </si>
  <si>
    <t>Computers (Desktops)</t>
  </si>
  <si>
    <t>Laptops</t>
  </si>
  <si>
    <t>Photocopier machine (3 in 1)</t>
  </si>
  <si>
    <t xml:space="preserve">Office Desktop computes </t>
  </si>
  <si>
    <t>Lap tops ( PAO’s office)</t>
  </si>
  <si>
    <t>Desktop computer (think center)</t>
  </si>
  <si>
    <t>Laptop computer</t>
  </si>
  <si>
    <t>Lesser Printer (3in1)</t>
  </si>
  <si>
    <t>Chest Freezer (-20)</t>
  </si>
  <si>
    <t>Scanner</t>
  </si>
  <si>
    <t>LAPTOP</t>
  </si>
  <si>
    <t>PLUMBING MATERIALS</t>
  </si>
  <si>
    <t>Purchase of assorted plumbing items (Taps, PVC pipes, Galvanized (GI) pipes, Fittings, Sockets, Bottle Traps, etc)</t>
  </si>
  <si>
    <t>physical operation</t>
  </si>
  <si>
    <t>CONSUMABLE STORES</t>
  </si>
  <si>
    <t>Enrichment materials</t>
  </si>
  <si>
    <t>Hay, Bales</t>
  </si>
  <si>
    <t>Saw dust (Bags)</t>
  </si>
  <si>
    <t>Waste disposal containers</t>
  </si>
  <si>
    <t>Sharps disposal containers (units/boxes)</t>
  </si>
  <si>
    <t>Sieve buckets &amp; holder</t>
  </si>
  <si>
    <t>Bucket (20L)</t>
  </si>
  <si>
    <t>Biohazards bags (large, red and Yellow)</t>
  </si>
  <si>
    <t>Black polythene bags, pkt of 20</t>
  </si>
  <si>
    <t>Home Dry CLeaner</t>
  </si>
  <si>
    <t>Telephone expenses</t>
  </si>
  <si>
    <t>Telephone Bills</t>
  </si>
  <si>
    <t xml:space="preserve">Provision of Sanitary Services </t>
  </si>
  <si>
    <t>per month</t>
  </si>
  <si>
    <t>Contract.</t>
  </si>
  <si>
    <t>Maintanace of Air conditioner</t>
  </si>
  <si>
    <t>Quarterly</t>
  </si>
  <si>
    <t>Maintenance of cold rooms.</t>
  </si>
  <si>
    <t>Collection of garbage and disposal</t>
  </si>
  <si>
    <t>Maintenance of Generator.</t>
  </si>
  <si>
    <t>per year</t>
  </si>
  <si>
    <t>Maintenance of incenerator</t>
  </si>
  <si>
    <t>Service for internet connection</t>
  </si>
  <si>
    <t>Vegetables (4140Kg)</t>
  </si>
  <si>
    <t>DEVELOPMENT PROJECTS</t>
  </si>
  <si>
    <t>PURCHASE OF MOTOR VIHECLES AND EQUIPMENT</t>
  </si>
  <si>
    <t>Car Wash machine</t>
  </si>
  <si>
    <t>Development</t>
  </si>
  <si>
    <t>Motor Bike Yamaha 200 cc. ( for local  errands)</t>
  </si>
  <si>
    <t>Double Cabin Pick-up</t>
  </si>
  <si>
    <t xml:space="preserve">Pick-up </t>
  </si>
  <si>
    <t>Staff buss (33 seater)</t>
  </si>
  <si>
    <t>Saloon car</t>
  </si>
  <si>
    <t>PUBLIC RELATIONS AND MARKETING</t>
  </si>
  <si>
    <t>Construction of Shade at Oloolua Nature Trail</t>
  </si>
  <si>
    <t>Construction of Cottages and Bush Restaurant</t>
  </si>
  <si>
    <t>Tender</t>
  </si>
  <si>
    <t>Repair of Stairs at Oloolua Nature Trail</t>
  </si>
  <si>
    <t>Signage at Oloolua Nature Trail</t>
  </si>
  <si>
    <t>Extension of Oloolua Nature Trail</t>
  </si>
  <si>
    <t>Facelift of Ticketing Office</t>
  </si>
  <si>
    <t>Purchse of additional Behives</t>
  </si>
  <si>
    <t>ADMINISTRATION DEPARTMENT</t>
  </si>
  <si>
    <t>Removal of asbestos and directors house construction</t>
  </si>
  <si>
    <t>ADM</t>
  </si>
  <si>
    <t>Perimeter fence of ololua forest</t>
  </si>
  <si>
    <t>Solar system installlation</t>
  </si>
  <si>
    <t>SECURITY</t>
  </si>
  <si>
    <t>Installation of cctv within the institute and points of entry.</t>
  </si>
  <si>
    <t>Recurrent</t>
  </si>
  <si>
    <t>conservation biology</t>
  </si>
  <si>
    <t>Departmental Toilets constructuction</t>
  </si>
  <si>
    <t xml:space="preserve">Office painting </t>
  </si>
  <si>
    <t>Broken wall repairs</t>
  </si>
  <si>
    <t>DESCRIPTION</t>
  </si>
  <si>
    <t>AMOUNT</t>
  </si>
  <si>
    <t>ADVERTISEMENT</t>
  </si>
  <si>
    <t>CATRIDGES AND TONERS</t>
  </si>
  <si>
    <t>COMPUTER ACCESSORIES</t>
  </si>
  <si>
    <t>CONTRACTED SERVICES</t>
  </si>
  <si>
    <t>ELECTRICALS</t>
  </si>
  <si>
    <t>MOTOR VEHICLE EXPENSES</t>
  </si>
  <si>
    <t>JANITORIAL</t>
  </si>
  <si>
    <t>PRINTING AND DUPLICATION</t>
  </si>
  <si>
    <t>STATIONERIES</t>
  </si>
  <si>
    <t>MAINTENANCE OF BUILDING</t>
  </si>
  <si>
    <t>CAGE MAINTENANCE</t>
  </si>
  <si>
    <t>MAINTAINANCE OF MONUMENT</t>
  </si>
  <si>
    <t>TOOLS $EQUIPMENTS NEW</t>
  </si>
  <si>
    <t>EQUIPMENTS REPAIR $ MAINTAINANCE</t>
  </si>
  <si>
    <t>FIRST AID</t>
  </si>
  <si>
    <t>UNIFORMS $PROTECTIVE CLOTHINGS</t>
  </si>
  <si>
    <t>FOOD FOR PRIMATES</t>
  </si>
  <si>
    <t>MEDICAL$SURGICAL SUPPLIES</t>
  </si>
  <si>
    <t>LABORATORY EQUIPMENTS</t>
  </si>
  <si>
    <t>LABORATORY CHEMICALS$ SUPPLIES</t>
  </si>
  <si>
    <t>CONFERENCE/RETREAT$TRAINING</t>
  </si>
  <si>
    <t>GASES</t>
  </si>
  <si>
    <t>COLONY SUPPLIES</t>
  </si>
  <si>
    <t>BUILDING $HARDWARE MATERIALS</t>
  </si>
  <si>
    <t>NEW ASSETS</t>
  </si>
  <si>
    <t>PLUMBING MATERIAL</t>
  </si>
  <si>
    <t>TELEPHONE EXPENSES</t>
  </si>
  <si>
    <t>WITHOUT DEV.PROJECTS</t>
  </si>
  <si>
    <t>WITHOUT CONTRACT</t>
  </si>
  <si>
    <t>UNIT OF ISSUE</t>
  </si>
  <si>
    <t>TOTAL QTY</t>
  </si>
  <si>
    <t>ESTIMATED  UNIT COST</t>
  </si>
  <si>
    <t>EST.TOTAL COST</t>
  </si>
  <si>
    <t>SOURCES OF FUNDS</t>
  </si>
  <si>
    <t xml:space="preserve">  </t>
  </si>
  <si>
    <t>REMARKS</t>
  </si>
  <si>
    <t>KSHS</t>
  </si>
  <si>
    <t>KSH</t>
  </si>
  <si>
    <t>ksh</t>
  </si>
  <si>
    <t>Advertisement</t>
  </si>
  <si>
    <t>Develop Oloolua Nature Trail Website</t>
  </si>
  <si>
    <t>Bronchures  A5</t>
  </si>
  <si>
    <t>RFQ</t>
  </si>
  <si>
    <t>Posters</t>
  </si>
  <si>
    <t>Bunners</t>
  </si>
  <si>
    <t>Flyers</t>
  </si>
  <si>
    <t>Bussiness cards</t>
  </si>
  <si>
    <t>pcs</t>
  </si>
  <si>
    <t>PR</t>
  </si>
  <si>
    <t>Social media promotions</t>
  </si>
  <si>
    <t>monthly</t>
  </si>
  <si>
    <t>Daily newspaper( nation and standard)</t>
  </si>
  <si>
    <t>Branding of stationeries and merchandise</t>
  </si>
  <si>
    <t>Social  media campaigns</t>
  </si>
  <si>
    <t>CATRIDGE AND TONERS</t>
  </si>
  <si>
    <t>Catridge 85A</t>
  </si>
  <si>
    <t>PCS</t>
  </si>
  <si>
    <t>PR.</t>
  </si>
  <si>
    <t>Tonner cartridge</t>
  </si>
  <si>
    <t>SET</t>
  </si>
  <si>
    <t>DIRECTOR</t>
  </si>
  <si>
    <t>Toners</t>
  </si>
  <si>
    <t>Toner Catridge 85A CE 285A</t>
  </si>
  <si>
    <t>Piece</t>
  </si>
  <si>
    <t>Catridge</t>
  </si>
  <si>
    <t>Computer HDDs, SSDs and RAMS</t>
  </si>
  <si>
    <t>Ups 1.5KVA</t>
  </si>
  <si>
    <t>External Harddisk 2tb</t>
  </si>
  <si>
    <t>_</t>
  </si>
  <si>
    <t>UPS APC 700</t>
  </si>
  <si>
    <t>PC</t>
  </si>
  <si>
    <t>1`</t>
  </si>
  <si>
    <t>Board chairman</t>
  </si>
  <si>
    <t>P.A Chairman</t>
  </si>
  <si>
    <t>Legal Ofice</t>
  </si>
  <si>
    <t>COMPUTER SOFTWARE</t>
  </si>
  <si>
    <t>Accounting Software</t>
  </si>
  <si>
    <t>Finance</t>
  </si>
  <si>
    <t>Reccurent</t>
  </si>
  <si>
    <t>Digital headset</t>
  </si>
  <si>
    <t>Procurement software</t>
  </si>
  <si>
    <t>Anti Virus Software</t>
  </si>
  <si>
    <t>COMPUTER HARDWARE</t>
  </si>
  <si>
    <t>ADMISSION TICKET</t>
  </si>
  <si>
    <t>Cable 2.5mm sq.m (E.A)</t>
  </si>
  <si>
    <t>Rolls</t>
  </si>
  <si>
    <t>Physical Op</t>
  </si>
  <si>
    <t>Cable 1.5mm sq.m (E.A)</t>
  </si>
  <si>
    <t>Flourescent tube 5fts(Philips)</t>
  </si>
  <si>
    <t>Pcs</t>
  </si>
  <si>
    <t>Flourescent tube 4fts(Philips)</t>
  </si>
  <si>
    <t>Flourescent tube 2fts(Philips)</t>
  </si>
  <si>
    <t>MCB CrabTree 30Amps</t>
  </si>
  <si>
    <t>MCB CrabTree 20Amps</t>
  </si>
  <si>
    <t>MCB CrabTree 10Amps</t>
  </si>
  <si>
    <t>Socket out crab Tree double</t>
  </si>
  <si>
    <t>Socket out crab Tree Single</t>
  </si>
  <si>
    <t>Top Plug 13Amps</t>
  </si>
  <si>
    <t>Fuse 13Amps</t>
  </si>
  <si>
    <t>Deep Patress box</t>
  </si>
  <si>
    <t>Shallow patress Box</t>
  </si>
  <si>
    <t>Starters 4-80 Watts</t>
  </si>
  <si>
    <t>Choke L65 watts Schwabe</t>
  </si>
  <si>
    <t>Choke L40 watts Schwabe</t>
  </si>
  <si>
    <t>Choke L18 watts Schwabe</t>
  </si>
  <si>
    <t>Energy Saver bulb Osram 20w Screw Type</t>
  </si>
  <si>
    <t>Energy Saver bulb Osram 20w Pin Type</t>
  </si>
  <si>
    <t>Insulating tape Globe Black</t>
  </si>
  <si>
    <t>Halogen tube 300w Philips</t>
  </si>
  <si>
    <t>Ordinary Bulbs 40w Philips screw Type</t>
  </si>
  <si>
    <t>Moonlight fittings 5ft complete</t>
  </si>
  <si>
    <t>Moonlight fittings 4ft complete</t>
  </si>
  <si>
    <t>Moonlight fittings 2ft complete</t>
  </si>
  <si>
    <t>Super glue 3ml sparko</t>
  </si>
  <si>
    <t>Two Gang Two Way switch</t>
  </si>
  <si>
    <t>Extension Cables</t>
  </si>
  <si>
    <t>Electric cables 50m</t>
  </si>
  <si>
    <t xml:space="preserve">Office Chairs </t>
  </si>
  <si>
    <t>Office tables</t>
  </si>
  <si>
    <t>Desks / tables ( for modern work station)</t>
  </si>
  <si>
    <t>High Back Executive Swivel Chairs</t>
  </si>
  <si>
    <t>Executive Office Desk</t>
  </si>
  <si>
    <t>Desks</t>
  </si>
  <si>
    <t>Cofee table</t>
  </si>
  <si>
    <t>Bulk Cabinet</t>
  </si>
  <si>
    <t>Orthopedic Chair</t>
  </si>
  <si>
    <t>Reccurrent</t>
  </si>
  <si>
    <t>Office desk for Centre Director</t>
  </si>
  <si>
    <t>Office chair for Centre Director</t>
  </si>
  <si>
    <t>Loockable reference book wall shelves</t>
  </si>
  <si>
    <t>Lockable drawers</t>
  </si>
  <si>
    <t>Office Tables</t>
  </si>
  <si>
    <t>Fire proof cabinet</t>
  </si>
  <si>
    <t>executive desk double pedestal U-shaped</t>
  </si>
  <si>
    <t>board chairman</t>
  </si>
  <si>
    <t>Recurrnt</t>
  </si>
  <si>
    <t>Executive arm chair with armrest( leather)</t>
  </si>
  <si>
    <t>Executive book cabinet double door with glass</t>
  </si>
  <si>
    <t>Coffee table with glass top</t>
  </si>
  <si>
    <t>Visitors armrest chairs ( leather)</t>
  </si>
  <si>
    <t>Fire proof filling cabinet</t>
  </si>
  <si>
    <t>Executive  sofa sets( leather)</t>
  </si>
  <si>
    <t>2 door filling cabinet woodenpc</t>
  </si>
  <si>
    <t>Coat Hanger ( wooden)</t>
  </si>
  <si>
    <t>Book shelves with glass cover</t>
  </si>
  <si>
    <t>30 seater executive conference table with melamine</t>
  </si>
  <si>
    <t>boardroom</t>
  </si>
  <si>
    <t>Executive conference chairs with padded chrome armrest</t>
  </si>
  <si>
    <t>pc</t>
  </si>
  <si>
    <t>P.A.chairman</t>
  </si>
  <si>
    <t>Executive desk double pedestal (wooden)</t>
  </si>
  <si>
    <t>legal office</t>
  </si>
  <si>
    <t>High back swivel chair  with armrest( leather)</t>
  </si>
  <si>
    <t>2 drawer cabinet ( wooden)</t>
  </si>
  <si>
    <t xml:space="preserve">Coffee table </t>
  </si>
  <si>
    <t>2 visitors armrest chairs</t>
  </si>
  <si>
    <t>4 drawer metallic cabinet</t>
  </si>
  <si>
    <t>Wall clock</t>
  </si>
  <si>
    <t>JANITORIALS</t>
  </si>
  <si>
    <t>bundles</t>
  </si>
  <si>
    <t>recurrent</t>
  </si>
  <si>
    <t>Table towels</t>
  </si>
  <si>
    <t>Sanitizers</t>
  </si>
  <si>
    <t>litres</t>
  </si>
  <si>
    <t>public relations</t>
  </si>
  <si>
    <t xml:space="preserve">Liquid soap/detergent Teepol </t>
  </si>
  <si>
    <t>20L</t>
  </si>
  <si>
    <t xml:space="preserve">Hypochlorite (Jik) </t>
  </si>
  <si>
    <t>5L</t>
  </si>
  <si>
    <t>Povidone iodine USP</t>
  </si>
  <si>
    <t>Betadine solution</t>
  </si>
  <si>
    <t>Surgical spirit</t>
  </si>
  <si>
    <t>Hibitane 5%</t>
  </si>
  <si>
    <t xml:space="preserve">Cidex cold sterilant </t>
  </si>
  <si>
    <t>Savlon (Alguard)</t>
  </si>
  <si>
    <t>Hydrogen peroxide</t>
  </si>
  <si>
    <t>Kerol</t>
  </si>
  <si>
    <t xml:space="preserve">Harpic </t>
  </si>
  <si>
    <t>500g</t>
  </si>
  <si>
    <t>Vim (tins)</t>
  </si>
  <si>
    <t>400g</t>
  </si>
  <si>
    <t xml:space="preserve">Doom spray </t>
  </si>
  <si>
    <t>170ml</t>
  </si>
  <si>
    <t>Pieces</t>
  </si>
  <si>
    <t>Dettol soap</t>
  </si>
  <si>
    <t>Pairs</t>
  </si>
  <si>
    <t>Supa brite, Large</t>
  </si>
  <si>
    <t>Steel wool, 750g</t>
  </si>
  <si>
    <t>Hand wash soap</t>
  </si>
  <si>
    <t>5ltrer</t>
  </si>
  <si>
    <t>Jik 5liters</t>
  </si>
  <si>
    <t>Liters</t>
  </si>
  <si>
    <t>Vim (tins, 400g)</t>
  </si>
  <si>
    <t>Printing of DOF ,GRN and issue note books,l.p.o</t>
  </si>
  <si>
    <t>Procuremen</t>
  </si>
  <si>
    <t>Printing Vouchers</t>
  </si>
  <si>
    <t>Bunch</t>
  </si>
  <si>
    <t>Imprest</t>
  </si>
  <si>
    <t>printing of biennial report</t>
  </si>
  <si>
    <t>P.Relations</t>
  </si>
  <si>
    <t>Assorted Stationery</t>
  </si>
  <si>
    <t>Rim</t>
  </si>
  <si>
    <t>Counter books</t>
  </si>
  <si>
    <t>Ball Pens</t>
  </si>
  <si>
    <t>Box</t>
  </si>
  <si>
    <t>Stapler</t>
  </si>
  <si>
    <t>Staple Pins</t>
  </si>
  <si>
    <t>Globe Box files</t>
  </si>
  <si>
    <t>Short hand book</t>
  </si>
  <si>
    <t>Pencils</t>
  </si>
  <si>
    <t>Photocopying paper</t>
  </si>
  <si>
    <t>Reams</t>
  </si>
  <si>
    <t>LPO</t>
  </si>
  <si>
    <t>Pens</t>
  </si>
  <si>
    <t>Pkts</t>
  </si>
  <si>
    <t>Marker Pens</t>
  </si>
  <si>
    <t>Dozen</t>
  </si>
  <si>
    <t>Highlighter Marker</t>
  </si>
  <si>
    <t>Paper Punch</t>
  </si>
  <si>
    <t>Writing pad A5</t>
  </si>
  <si>
    <t>Writing pad A4</t>
  </si>
  <si>
    <t>Counter Books</t>
  </si>
  <si>
    <t>Print Catridge 49A</t>
  </si>
  <si>
    <t>Yellow sticker</t>
  </si>
  <si>
    <t>Sprig files</t>
  </si>
  <si>
    <t>Box File</t>
  </si>
  <si>
    <t>Masking tape</t>
  </si>
  <si>
    <t>Celtape</t>
  </si>
  <si>
    <t>Photocopying papers</t>
  </si>
  <si>
    <t xml:space="preserve">Assorted forms </t>
  </si>
  <si>
    <t xml:space="preserve">Spring files </t>
  </si>
  <si>
    <t>Dozens</t>
  </si>
  <si>
    <t xml:space="preserve">Suspension files </t>
  </si>
  <si>
    <t xml:space="preserve">Yellow file folders </t>
  </si>
  <si>
    <t>Pink file folders</t>
  </si>
  <si>
    <t xml:space="preserve">Biro pens </t>
  </si>
  <si>
    <t>Packets</t>
  </si>
  <si>
    <t xml:space="preserve">Pencils </t>
  </si>
  <si>
    <t xml:space="preserve">Rubbers/Erasers </t>
  </si>
  <si>
    <t>Staple pins</t>
  </si>
  <si>
    <t>Paper clips</t>
  </si>
  <si>
    <t>Carbon Papers</t>
  </si>
  <si>
    <t>Highlighter Pens</t>
  </si>
  <si>
    <t xml:space="preserve">Soft Tissues </t>
  </si>
  <si>
    <t>Shorthand notebooks</t>
  </si>
  <si>
    <t xml:space="preserve">Yellow stickers </t>
  </si>
  <si>
    <t xml:space="preserve">A4 envelopes </t>
  </si>
  <si>
    <t xml:space="preserve">A5 envelopes </t>
  </si>
  <si>
    <t xml:space="preserve">Envelopes 4"x8" </t>
  </si>
  <si>
    <t xml:space="preserve">Fullscaps </t>
  </si>
  <si>
    <t>Thump Pins</t>
  </si>
  <si>
    <t xml:space="preserve">Office Pins </t>
  </si>
  <si>
    <t>Dry cell Batteries (Duracell, D)</t>
  </si>
  <si>
    <t>Dry cell Batteries (Duracell, AA)</t>
  </si>
  <si>
    <t>Dry cell batteries (Duracell, C)</t>
  </si>
  <si>
    <t>Notebooks A5</t>
  </si>
  <si>
    <t>2 DOZENS</t>
  </si>
  <si>
    <t xml:space="preserve">Printing papers </t>
  </si>
  <si>
    <t>office glues 90g</t>
  </si>
  <si>
    <t>BIC Biro pens</t>
  </si>
  <si>
    <t>Rubbers/erasers</t>
  </si>
  <si>
    <t>3 packets</t>
  </si>
  <si>
    <t>Spring files</t>
  </si>
  <si>
    <t>stappler</t>
  </si>
  <si>
    <t>Marker pens</t>
  </si>
  <si>
    <t>Permanent markers</t>
  </si>
  <si>
    <t>Rulers</t>
  </si>
  <si>
    <t>Plastic folders</t>
  </si>
  <si>
    <t>highters</t>
  </si>
  <si>
    <t>Paper punch</t>
  </si>
  <si>
    <t>Hand towels</t>
  </si>
  <si>
    <t>Wiping towels</t>
  </si>
  <si>
    <t>A4 counter books</t>
  </si>
  <si>
    <t>A5 counter books</t>
  </si>
  <si>
    <t xml:space="preserve">Clip boards </t>
  </si>
  <si>
    <t>Cartridges</t>
  </si>
  <si>
    <t>Photocopying papers (reams)</t>
  </si>
  <si>
    <t>Spring files (dozen)</t>
  </si>
  <si>
    <t>Biro pens (pkt)</t>
  </si>
  <si>
    <t>Pencils (dozen)</t>
  </si>
  <si>
    <t>Rubbers/Erasers (dozen)</t>
  </si>
  <si>
    <t>Staple pins (pkt)</t>
  </si>
  <si>
    <t>Paper clips (pkt)</t>
  </si>
  <si>
    <t>Carbon Papers (pkt)</t>
  </si>
  <si>
    <t>Highlighter Pens (3 colours)</t>
  </si>
  <si>
    <t>Soft Tissues (Packets)</t>
  </si>
  <si>
    <t>Shorthand notebooks (dozen)</t>
  </si>
  <si>
    <t>Yellow stickers (dozen)</t>
  </si>
  <si>
    <t>A4 envelopes (pkt)</t>
  </si>
  <si>
    <t>A5 envelopes (pkt)</t>
  </si>
  <si>
    <t>Envelopes 4"x8" (pkt)</t>
  </si>
  <si>
    <t>Fullscaps (Reams)</t>
  </si>
  <si>
    <t>Office Pins (pkt)</t>
  </si>
  <si>
    <t>Curtains</t>
  </si>
  <si>
    <t>G.O.K</t>
  </si>
  <si>
    <t>Metres</t>
  </si>
  <si>
    <t>Kitchen Fabrication</t>
  </si>
  <si>
    <t>Works</t>
  </si>
  <si>
    <t>curtains( training hall,old library and conference</t>
  </si>
  <si>
    <t>Public Relations</t>
  </si>
  <si>
    <t>Wall to wall office carpet</t>
  </si>
  <si>
    <t>Wall to wall carpet for the boardroom</t>
  </si>
  <si>
    <t>Welding  Materials for Animal Cages and  other Facilities</t>
  </si>
  <si>
    <t>Round solid bar 6mm each 40 ft</t>
  </si>
  <si>
    <t>No</t>
  </si>
  <si>
    <t>Round solid bar 10mm  each 40 ft</t>
  </si>
  <si>
    <t>Angle line bars 1"x1"x16G</t>
  </si>
  <si>
    <t>Angle line bars 2"x2"x16G</t>
  </si>
  <si>
    <t>Angle line bars 3"x3"x16G</t>
  </si>
  <si>
    <t>Angle line bars 11/2"x1/8"x16G</t>
  </si>
  <si>
    <t>Flat  bars 11/2"x2"x16G</t>
  </si>
  <si>
    <t>Flat  bars 1"x14G</t>
  </si>
  <si>
    <t>Welding Rods 3.2mm(weldrod)</t>
  </si>
  <si>
    <t>Pks</t>
  </si>
  <si>
    <t>Cutting discs assorted sizes</t>
  </si>
  <si>
    <t>Grinding discs assorted sizes</t>
  </si>
  <si>
    <t>Hacksaw blades sandflex</t>
  </si>
  <si>
    <t xml:space="preserve">Heavy gauge wire mesh 50x50mm </t>
  </si>
  <si>
    <t>Roll Bolt M10(4.8)</t>
  </si>
  <si>
    <t>Roll Bolt M8(4.8)</t>
  </si>
  <si>
    <t>Roll Bolt M12(4.8)</t>
  </si>
  <si>
    <t>Paint brush assorted sizes 4",5", 2" and 6"</t>
  </si>
  <si>
    <t>Checkered plate size 8'x4'x14G</t>
  </si>
  <si>
    <t>Square tubes size 11/2"x11/2"x16G</t>
  </si>
  <si>
    <t>Square tubes size 1"x1"x16G</t>
  </si>
  <si>
    <t>NEW TOOLS AND EQUIPMENTS</t>
  </si>
  <si>
    <t>Bensaw power machine</t>
  </si>
  <si>
    <t>Angle Circle saw</t>
  </si>
  <si>
    <t>Jig saw</t>
  </si>
  <si>
    <t>Router Machine</t>
  </si>
  <si>
    <t>Stanley plain Nos. 4 &amp; 5</t>
  </si>
  <si>
    <t>Combined gauge plaining &amp; Cutting machine</t>
  </si>
  <si>
    <t>Circular saw</t>
  </si>
  <si>
    <t>Light Gauge power drill</t>
  </si>
  <si>
    <t>Rechargable battery Drill</t>
  </si>
  <si>
    <t>No.</t>
  </si>
  <si>
    <t>Electrical plain No.5</t>
  </si>
  <si>
    <t>Carpenter set tool box</t>
  </si>
  <si>
    <t>Claw hammer and ball pain hammer each 2 No.</t>
  </si>
  <si>
    <t>Blind pop rivet gun</t>
  </si>
  <si>
    <t>Silicon Gun</t>
  </si>
  <si>
    <t>Pipe wrench record Original Nos. 24,18,14,10 &amp; 8</t>
  </si>
  <si>
    <t>Water pump pliers size No.12</t>
  </si>
  <si>
    <t>Ball pain hammmer big size</t>
  </si>
  <si>
    <t>Pliers heavy duty</t>
  </si>
  <si>
    <t>Hacksaw frame</t>
  </si>
  <si>
    <t>Adjustable  wrench No. 12,10,8</t>
  </si>
  <si>
    <t>Combijned screw driver set</t>
  </si>
  <si>
    <t>Basin spanner size 1/2"x3/4" record original</t>
  </si>
  <si>
    <t>Stock &amp; Die upto 4" cutting machine</t>
  </si>
  <si>
    <t>Electric jointing machine upto 3 PPR " pipe</t>
  </si>
  <si>
    <t>pieces</t>
  </si>
  <si>
    <t>piece</t>
  </si>
  <si>
    <t>Camping Matresses</t>
  </si>
  <si>
    <t>GPS</t>
  </si>
  <si>
    <t>Cameras</t>
  </si>
  <si>
    <t>Binoculars</t>
  </si>
  <si>
    <t>Rangefinders</t>
  </si>
  <si>
    <t>Camera traps</t>
  </si>
  <si>
    <t>Stool collecting tubes</t>
  </si>
  <si>
    <t>9 packets</t>
  </si>
  <si>
    <t>Deep Freezer for sample storage</t>
  </si>
  <si>
    <t>Walking talking</t>
  </si>
  <si>
    <t>Rechargeable headlights</t>
  </si>
  <si>
    <t>Measuring tape</t>
  </si>
  <si>
    <t>Generator</t>
  </si>
  <si>
    <t>white board</t>
  </si>
  <si>
    <t>EQUIPMENTS REPAIR AND MAINTENANCE</t>
  </si>
  <si>
    <t>Deep heat</t>
  </si>
  <si>
    <t>Rob</t>
  </si>
  <si>
    <t>Paracetamol</t>
  </si>
  <si>
    <t>UNIFORMS AND PROTECTIVE CLOTHING</t>
  </si>
  <si>
    <t>Gum boots</t>
  </si>
  <si>
    <t>Boots</t>
  </si>
  <si>
    <t>Bath Towels</t>
  </si>
  <si>
    <t>Field Uniforms 12 pairs (Boots, shirts, Trousers &amp; Dark green -Lab coats)</t>
  </si>
  <si>
    <t>Set</t>
  </si>
  <si>
    <t>pairs</t>
  </si>
  <si>
    <t>FOOD FOR RATION</t>
  </si>
  <si>
    <t>AIR FARES</t>
  </si>
  <si>
    <t>International &amp; Local Travel</t>
  </si>
  <si>
    <t>Admin</t>
  </si>
  <si>
    <t>Food for Primates</t>
  </si>
  <si>
    <t>Monkey cubes (50Kg)</t>
  </si>
  <si>
    <t>Bags</t>
  </si>
  <si>
    <t>Package</t>
  </si>
  <si>
    <t>Mice feed (50kg)</t>
  </si>
  <si>
    <r>
      <rPr>
        <sz val="12"/>
        <color theme="1"/>
        <rFont val="Times New Roman"/>
        <charset val="134"/>
      </rPr>
      <t xml:space="preserve"> </t>
    </r>
    <r>
      <rPr>
        <b/>
        <sz val="12"/>
        <color theme="1"/>
        <rFont val="Times New Roman"/>
        <charset val="134"/>
      </rPr>
      <t>Medical and Surgical supplies</t>
    </r>
  </si>
  <si>
    <t>Multivit injectable</t>
  </si>
  <si>
    <t>100ml</t>
  </si>
  <si>
    <t>Iron dextran</t>
  </si>
  <si>
    <t xml:space="preserve">Fruit juice (pineaple, orange etc) </t>
  </si>
  <si>
    <t>5 L</t>
  </si>
  <si>
    <t>500ml</t>
  </si>
  <si>
    <t>Dextrose, 5%</t>
  </si>
  <si>
    <t>Normal saline</t>
  </si>
  <si>
    <t>Lactogen powder</t>
  </si>
  <si>
    <t>Glucose powder</t>
  </si>
  <si>
    <t xml:space="preserve">Diclofenac injectable 75mg </t>
  </si>
  <si>
    <t>3ml</t>
  </si>
  <si>
    <t xml:space="preserve">Adrenaline </t>
  </si>
  <si>
    <t>30ml</t>
  </si>
  <si>
    <t>Diazepum</t>
  </si>
  <si>
    <t xml:space="preserve">Lidocaine </t>
  </si>
  <si>
    <t xml:space="preserve">Dexamethasone </t>
  </si>
  <si>
    <t>50ml</t>
  </si>
  <si>
    <t>Furosemide</t>
  </si>
  <si>
    <t>2ml</t>
  </si>
  <si>
    <t>Atropin injection</t>
  </si>
  <si>
    <t>Cough mixture</t>
  </si>
  <si>
    <t>5ml</t>
  </si>
  <si>
    <t>Hyscopan</t>
  </si>
  <si>
    <t>1L</t>
  </si>
  <si>
    <t>400ml</t>
  </si>
  <si>
    <t>Tetracycline wound spray</t>
  </si>
  <si>
    <t>PenStrep LA</t>
  </si>
  <si>
    <t>Pentomycine penicillin</t>
  </si>
  <si>
    <t>Trimethoprim sulphamethoxazole injection</t>
  </si>
  <si>
    <t>Erythromycin injection</t>
  </si>
  <si>
    <t>Gentamycin injection</t>
  </si>
  <si>
    <t xml:space="preserve">Oxytetracycline LA </t>
  </si>
  <si>
    <t xml:space="preserve">Cefotaxine inj 1g </t>
  </si>
  <si>
    <t>vials</t>
  </si>
  <si>
    <t>Wound powder (Grabacin)</t>
  </si>
  <si>
    <t>10g</t>
  </si>
  <si>
    <t xml:space="preserve">Ivermectin 1% </t>
  </si>
  <si>
    <t>Levimazole (Nilzan plus)</t>
  </si>
  <si>
    <t>Metronidazole 200mg</t>
  </si>
  <si>
    <t>Whitefield ointment USP</t>
  </si>
  <si>
    <t>Ketoconazole tabs</t>
  </si>
  <si>
    <t>Griseofulvin tabs 500mg</t>
  </si>
  <si>
    <t>Povidone iodine ointment cream</t>
  </si>
  <si>
    <t>15g</t>
  </si>
  <si>
    <t>Sevin powder</t>
  </si>
  <si>
    <t>200g</t>
  </si>
  <si>
    <t xml:space="preserve">Gauze swabs 3”×3” ply </t>
  </si>
  <si>
    <t xml:space="preserve">Gauze WOW rolls </t>
  </si>
  <si>
    <t>Adhessive plaster</t>
  </si>
  <si>
    <t>Masking tape (1”)</t>
  </si>
  <si>
    <t xml:space="preserve">Autoclave tape (1”) </t>
  </si>
  <si>
    <t>Glycerine</t>
  </si>
  <si>
    <t>2.5L</t>
  </si>
  <si>
    <t xml:space="preserve">Surgical blades #24 </t>
  </si>
  <si>
    <t xml:space="preserve">Vicryl No. 2.0C </t>
  </si>
  <si>
    <t xml:space="preserve">Vicryl No. 2.0R </t>
  </si>
  <si>
    <t xml:space="preserve">Vicryl No. 3.0R </t>
  </si>
  <si>
    <t>Isoflurane</t>
  </si>
  <si>
    <t>250 ml</t>
  </si>
  <si>
    <t xml:space="preserve">Ketamine HCL 10% </t>
  </si>
  <si>
    <t>25 ml</t>
  </si>
  <si>
    <t xml:space="preserve">Euthatal </t>
  </si>
  <si>
    <t>100 ml</t>
  </si>
  <si>
    <t xml:space="preserve">Lidocaine oral spray, 10%, </t>
  </si>
  <si>
    <t>500 ml</t>
  </si>
  <si>
    <t>TB testing</t>
  </si>
  <si>
    <t xml:space="preserve">Tuberculin PPD, </t>
  </si>
  <si>
    <t xml:space="preserve">G25 needles BD </t>
  </si>
  <si>
    <t>G23 needles BD</t>
  </si>
  <si>
    <t>G21 needles BD</t>
  </si>
  <si>
    <t xml:space="preserve">G21 Vaccutainer needles BD </t>
  </si>
  <si>
    <t>G18 Needles, BD</t>
  </si>
  <si>
    <t>Trocar &amp; canula</t>
  </si>
  <si>
    <t>Syringes 1mlL detachable BD</t>
  </si>
  <si>
    <t>Syringes 2mlL BD</t>
  </si>
  <si>
    <t xml:space="preserve">Syringes 5ml BD </t>
  </si>
  <si>
    <t xml:space="preserve">Syringes 10ml BD </t>
  </si>
  <si>
    <t xml:space="preserve">Syringes 20ml BD </t>
  </si>
  <si>
    <t>Syringes 60ml BD</t>
  </si>
  <si>
    <t>laboratory  Equipment</t>
  </si>
  <si>
    <t>Flow cytometry</t>
  </si>
  <si>
    <t>Inverted microscope</t>
  </si>
  <si>
    <t>CO2 Incubator</t>
  </si>
  <si>
    <t>Bench Top Centifuge</t>
  </si>
  <si>
    <t>Weighing Balances</t>
  </si>
  <si>
    <t>Giemsa stock, Sigma</t>
  </si>
  <si>
    <t>Haematoxylin, Sigma</t>
  </si>
  <si>
    <t xml:space="preserve">Eosin Y, Sigma </t>
  </si>
  <si>
    <t>Crystal violet, Sigma</t>
  </si>
  <si>
    <t>25g</t>
  </si>
  <si>
    <t>Neutral red, Sigma</t>
  </si>
  <si>
    <t>Service Machines</t>
  </si>
  <si>
    <t>Service of Haematology analyzer</t>
  </si>
  <si>
    <t xml:space="preserve">CO2 Incubator </t>
  </si>
  <si>
    <t>Microscopes</t>
  </si>
  <si>
    <t>Antibodies</t>
  </si>
  <si>
    <t>Elisa Kit</t>
  </si>
  <si>
    <t>Reagents ( Salts)</t>
  </si>
  <si>
    <t>Bacteria identification reagents</t>
  </si>
  <si>
    <t>API 20E (25 tests)</t>
  </si>
  <si>
    <t>Kits</t>
  </si>
  <si>
    <t>API 20  Strep (25 tests)</t>
  </si>
  <si>
    <t>API Staph (25 tests)</t>
  </si>
  <si>
    <t>API Coryne (25 tests)</t>
  </si>
  <si>
    <t>Zym A</t>
  </si>
  <si>
    <t xml:space="preserve">Zym B </t>
  </si>
  <si>
    <t>NIT 1+ NIT 2</t>
  </si>
  <si>
    <t>NIN</t>
  </si>
  <si>
    <t xml:space="preserve">API 20 E reagent </t>
  </si>
  <si>
    <t>BCP</t>
  </si>
  <si>
    <t>XYL</t>
  </si>
  <si>
    <t>HER</t>
  </si>
  <si>
    <t>API suspension medium (pkt of 100)</t>
  </si>
  <si>
    <t>Camping gas</t>
  </si>
  <si>
    <t>Cans</t>
  </si>
  <si>
    <t>Wooden applicator sticks</t>
  </si>
  <si>
    <t>Yellow tips</t>
  </si>
  <si>
    <t xml:space="preserve">Marker pens (permanent with Fine points) </t>
  </si>
  <si>
    <t xml:space="preserve">Marker pens (permanent with Wedge point) </t>
  </si>
  <si>
    <t>Bacteriology culture media/consumables</t>
  </si>
  <si>
    <t>Biphasic media, BioMereux (pack of 12 bottles)</t>
  </si>
  <si>
    <t xml:space="preserve">MacConckey agar base, Oxoid </t>
  </si>
  <si>
    <t xml:space="preserve">Mueller Hinton, Oxoid </t>
  </si>
  <si>
    <t>Anaerobic gas packs Oxoid</t>
  </si>
  <si>
    <t>Sabouraud  Dextrose agar Oxoid</t>
  </si>
  <si>
    <t>Sheep blood, 100ml</t>
  </si>
  <si>
    <t>Antibiotic sensitivity discs (pkt of 250)</t>
  </si>
  <si>
    <t>Sterile cotton swabs (pkt of 100)</t>
  </si>
  <si>
    <t>Paraplast</t>
  </si>
  <si>
    <t>1Kg</t>
  </si>
  <si>
    <t xml:space="preserve">Microtome blades ERMA </t>
  </si>
  <si>
    <t>Embedding rings, pkt of 500</t>
  </si>
  <si>
    <t>Embedding cassettes, pkt of 500</t>
  </si>
  <si>
    <t>OCT compound</t>
  </si>
  <si>
    <t>125ml</t>
  </si>
  <si>
    <t xml:space="preserve"> DISPOSABLE PROTECTIVE CONSUMABLE</t>
  </si>
  <si>
    <t xml:space="preserve">None sterile gloves M+S </t>
  </si>
  <si>
    <t xml:space="preserve">Sterile surgical gloves </t>
  </si>
  <si>
    <t>Surgical face masks</t>
  </si>
  <si>
    <t>MEDICAL GASES</t>
  </si>
  <si>
    <t>Liquid nitrogenous gas</t>
  </si>
  <si>
    <t>100litresx12</t>
  </si>
  <si>
    <t>Administration sets</t>
  </si>
  <si>
    <t xml:space="preserve">Infusion sets, G21 </t>
  </si>
  <si>
    <t xml:space="preserve">Infusion sets, G23 </t>
  </si>
  <si>
    <t>Endotracheal tubes, 6.5''</t>
  </si>
  <si>
    <t xml:space="preserve">Endotracheal tubes, 7.5'' </t>
  </si>
  <si>
    <t>ENRICHMENT MATERIAL</t>
  </si>
  <si>
    <t>Hay</t>
  </si>
  <si>
    <t>Bales</t>
  </si>
  <si>
    <t>Saw dust</t>
  </si>
  <si>
    <t>Groungnuts with husks</t>
  </si>
  <si>
    <t>Kg</t>
  </si>
  <si>
    <t xml:space="preserve">Sharps disposal containers </t>
  </si>
  <si>
    <t>Waste bins with foot pedal, 30L</t>
  </si>
  <si>
    <t>Biohazard waste Bin</t>
  </si>
  <si>
    <t>Sharp Containers</t>
  </si>
  <si>
    <t>Waste bins</t>
  </si>
  <si>
    <t>Laboratory salts</t>
  </si>
  <si>
    <t xml:space="preserve">di-Sodium Hydrogen phosphate, Merck AR </t>
  </si>
  <si>
    <t>Sodium diHydrogen phosphate, Merck AR</t>
  </si>
  <si>
    <t>Sodium Nitrate, Pancreac or Fluka AR</t>
  </si>
  <si>
    <t>Glassware</t>
  </si>
  <si>
    <t xml:space="preserve">Microscope slides 7105 </t>
  </si>
  <si>
    <t>Cover slips (22x22mm)</t>
  </si>
  <si>
    <t>Formaldehyde 37-40%</t>
  </si>
  <si>
    <t xml:space="preserve">Toluene, Pancreac or Fluka AR </t>
  </si>
  <si>
    <t>Xylene,Pancreac or Fluka AR</t>
  </si>
  <si>
    <t xml:space="preserve">Acetone, Pancreac or Fluka AR </t>
  </si>
  <si>
    <t xml:space="preserve">Ethanol, Pancreac or Fluka AR </t>
  </si>
  <si>
    <t xml:space="preserve">Methanol, Pancreac or Fluka AR </t>
  </si>
  <si>
    <t>Di-ethyl-ether GPR</t>
  </si>
  <si>
    <t>DPX mountant, BDH, Pancreac or Fluka AR</t>
  </si>
  <si>
    <t>Oil immersion, BDH, Pancreac or Fluka AR</t>
  </si>
  <si>
    <t>Ethanol 20liters</t>
  </si>
  <si>
    <t>5litres</t>
  </si>
  <si>
    <t>Ethanol</t>
  </si>
  <si>
    <t>Conferences/ Retreats/  Training</t>
  </si>
  <si>
    <t>DP</t>
  </si>
  <si>
    <t>Staff Training</t>
  </si>
  <si>
    <t>Travel to international &amp; local  Conference</t>
  </si>
  <si>
    <t>Primate surveillance in potential habitats</t>
  </si>
  <si>
    <t>Facilitation for Capacity building of staff</t>
  </si>
  <si>
    <t>repro</t>
  </si>
  <si>
    <t>Conference attendance</t>
  </si>
  <si>
    <t>Workshop attendance</t>
  </si>
  <si>
    <t>PPL</t>
  </si>
  <si>
    <t>Training for department and facilitator</t>
  </si>
  <si>
    <t>.</t>
  </si>
  <si>
    <t>15 ml tubes Corning (pack of 50)</t>
  </si>
  <si>
    <t>50 ml tubes Corning (pack of 25)</t>
  </si>
  <si>
    <t>10 liters nalgene containers</t>
  </si>
  <si>
    <t>Fertilizers</t>
  </si>
  <si>
    <t>NEWS PAPER SUBSCRIPTION</t>
  </si>
  <si>
    <t>Newspaper Subscription</t>
  </si>
  <si>
    <t>Library Books / Journals</t>
  </si>
  <si>
    <t>Manuscript publication fee in peer review journals</t>
  </si>
  <si>
    <t>SUBSCRIPTIONS</t>
  </si>
  <si>
    <t>ICPAK Subscriptions</t>
  </si>
  <si>
    <t>Subscription</t>
  </si>
  <si>
    <t>Research Permits</t>
  </si>
  <si>
    <t>Renewal fee for professional group membership</t>
  </si>
  <si>
    <t>SUBSCRIPTIONS FOR PROCUREMENT STAFF</t>
  </si>
  <si>
    <t>PPLE</t>
  </si>
  <si>
    <t>PROCURENT</t>
  </si>
  <si>
    <t>.Bindery</t>
  </si>
  <si>
    <t>Linen</t>
  </si>
  <si>
    <t>Colony Supplies</t>
  </si>
  <si>
    <t>lpo</t>
  </si>
  <si>
    <t>INTERNET</t>
  </si>
  <si>
    <t>Install a new Fortigate firewall server with policy,routing,nat,dhcp,antispam &amp; antivirus,webfilter,app filter,etc capabilities</t>
  </si>
  <si>
    <t>Overwhole Network Infrastructure Optimization</t>
  </si>
  <si>
    <t>Install a 150mbps dedicated  ISP (Preferrably safaricom or Telecom)</t>
  </si>
  <si>
    <t>Cat. 6 pure copper cable outdoor</t>
  </si>
  <si>
    <t>roll</t>
  </si>
  <si>
    <t>Cat. 6 UTP indoor</t>
  </si>
  <si>
    <t>carton</t>
  </si>
  <si>
    <t>CAT 6 RJ45</t>
  </si>
  <si>
    <t xml:space="preserve">Cable ties </t>
  </si>
  <si>
    <t>RJ45 faceplate</t>
  </si>
  <si>
    <t>Clips</t>
  </si>
  <si>
    <t>Zuku Internet Services (Wananchi)</t>
  </si>
  <si>
    <t>Email ,Web &amp; Domain Hosting</t>
  </si>
  <si>
    <t>MULTI MEDIA EXPENSES</t>
  </si>
  <si>
    <t>BUILDING AND HARDWARE MATERIALS</t>
  </si>
  <si>
    <t xml:space="preserve">Corrugated Iron sheets 2.5metres Gauge 30 </t>
  </si>
  <si>
    <t xml:space="preserve">Corrugated Iron sheets 2.0metres Gauge 30 </t>
  </si>
  <si>
    <t>IT5 roofing sheets 2.5metres Gauge 26( As per sample)</t>
  </si>
  <si>
    <t>IT5  roofing sheets 2.0metres Gauge 26(As per samples)</t>
  </si>
  <si>
    <t xml:space="preserve">Ridge cap standard size 1.5m </t>
  </si>
  <si>
    <t>Ordinary nails 3" (shiny)</t>
  </si>
  <si>
    <t>Plastic caps</t>
  </si>
  <si>
    <t>Ceramis floor tiles APS</t>
  </si>
  <si>
    <t>Boxes</t>
  </si>
  <si>
    <t>Ceramis wall  tiles APS</t>
  </si>
  <si>
    <t>PVC floor  tiles APS</t>
  </si>
  <si>
    <t>Ceramis tiels adhesive1x4Kgs</t>
  </si>
  <si>
    <t>Door Closers Heavy duty</t>
  </si>
  <si>
    <t>Chrome pieps assorted sizes</t>
  </si>
  <si>
    <t>3 lever mortise locks</t>
  </si>
  <si>
    <t>2 lever mortise locks</t>
  </si>
  <si>
    <t>Dead lock viro or Union</t>
  </si>
  <si>
    <t>Pedestral locks</t>
  </si>
  <si>
    <t>Drawer locks</t>
  </si>
  <si>
    <t>Ballast size 1/2"x1/4"</t>
  </si>
  <si>
    <t>Ton</t>
  </si>
  <si>
    <t>Fine river sand</t>
  </si>
  <si>
    <t>Bamburi cement or equal and approved</t>
  </si>
  <si>
    <t>Nails 4"</t>
  </si>
  <si>
    <t>Nails 3"</t>
  </si>
  <si>
    <t>Nails 2"</t>
  </si>
  <si>
    <t>Nails 11/2"</t>
  </si>
  <si>
    <t>Nails 1"</t>
  </si>
  <si>
    <t>Roofing Nails</t>
  </si>
  <si>
    <t>U-Nails</t>
  </si>
  <si>
    <t>Louvred frame blade 7</t>
  </si>
  <si>
    <t>Louvred frame blade 8</t>
  </si>
  <si>
    <t>Louvred frame blade 10</t>
  </si>
  <si>
    <t>Louvred glass 34"</t>
  </si>
  <si>
    <t>Louvred glass 30"</t>
  </si>
  <si>
    <t>Louvred glass 28.5""</t>
  </si>
  <si>
    <t>Louvred glass 26.5"</t>
  </si>
  <si>
    <t>Louvred glass 24.5"</t>
  </si>
  <si>
    <t>MDF Boards</t>
  </si>
  <si>
    <t>Silicon Tubes</t>
  </si>
  <si>
    <t>Conta Glue</t>
  </si>
  <si>
    <t>Lts</t>
  </si>
  <si>
    <t>Timber size 4"x2"</t>
  </si>
  <si>
    <t>Fts</t>
  </si>
  <si>
    <t>Timber size 3"x2"</t>
  </si>
  <si>
    <t>Timber size 6"x1"</t>
  </si>
  <si>
    <t>Timber size 8"x1"</t>
  </si>
  <si>
    <t>Timber size 10"x1"</t>
  </si>
  <si>
    <t>Plastic composite planks Assorted sizes</t>
  </si>
  <si>
    <t>Silk vinyl soft white(crown )in 1X4Lts Tin</t>
  </si>
  <si>
    <t>Silk vinyl Brilliant white(crown) in 1X4Lts</t>
  </si>
  <si>
    <t xml:space="preserve">No. </t>
  </si>
  <si>
    <t>Silk vinyl cream (crown) in 1x4lts</t>
  </si>
  <si>
    <t>Gloss gun metal paint (crown) in 1x4lts</t>
  </si>
  <si>
    <t>Silk vinyl Scotch earth (crown) in 1X4Lts</t>
  </si>
  <si>
    <t>Alluminium Zinc paint(crown) in 1x4lts</t>
  </si>
  <si>
    <t>Gloss black paint (crown) in 1x4lts</t>
  </si>
  <si>
    <t>Undercoat paint universal(Crown) in 1x4Lts Tins</t>
  </si>
  <si>
    <t>White spirit in 1x5Lts Tins(Crown)</t>
  </si>
  <si>
    <t>Roll</t>
  </si>
  <si>
    <t>Barbed wire No. 610</t>
  </si>
  <si>
    <t>Cider posts assorted Heights</t>
  </si>
  <si>
    <t>HIRE OF MOTOR VEHICLES</t>
  </si>
  <si>
    <t>COMMUNITY PROJECT</t>
  </si>
  <si>
    <t>COMPUTER</t>
  </si>
  <si>
    <t>Biometrics Machine</t>
  </si>
  <si>
    <t>CCTV Installation Phase 1</t>
  </si>
  <si>
    <t>database Server Installation Phase 1</t>
  </si>
  <si>
    <t>Purchase of  Computers (Phase 1)</t>
  </si>
  <si>
    <t>2 sets</t>
  </si>
  <si>
    <t>Computer Servicing toolkits</t>
  </si>
  <si>
    <t>2 Sets</t>
  </si>
  <si>
    <t>Network Servicing toolkits</t>
  </si>
  <si>
    <t>Library Printer (MFI)</t>
  </si>
  <si>
    <t>Benchtop Centrifuge</t>
  </si>
  <si>
    <t>High resolution Computer sets</t>
  </si>
  <si>
    <t>Coloured Printer</t>
  </si>
  <si>
    <t>HP laserjet Printer</t>
  </si>
  <si>
    <t>Laptop</t>
  </si>
  <si>
    <t>Printer coloured</t>
  </si>
  <si>
    <t>Ecosys Printer</t>
  </si>
  <si>
    <t>Desktops</t>
  </si>
  <si>
    <t>Think center lenovo desktop computer</t>
  </si>
  <si>
    <t>Freezer -45</t>
  </si>
  <si>
    <t>Laser Printer (3 in 1)</t>
  </si>
  <si>
    <t>Laptop Thinkpad</t>
  </si>
  <si>
    <t>ALL</t>
  </si>
  <si>
    <t>Printers</t>
  </si>
  <si>
    <t>Freezer for field samples</t>
  </si>
  <si>
    <t>Microwave</t>
  </si>
  <si>
    <t>Fridge</t>
  </si>
  <si>
    <t>Computer (Desktop)</t>
  </si>
  <si>
    <t>Benchtop Centriguge</t>
  </si>
  <si>
    <t>Printer and Scanner</t>
  </si>
  <si>
    <t>Lap tops</t>
  </si>
  <si>
    <t>Atem switch and accessories( video straming equipment</t>
  </si>
  <si>
    <t>Pointer</t>
  </si>
  <si>
    <t>Printer</t>
  </si>
  <si>
    <t>Fridge ( Samsung)</t>
  </si>
  <si>
    <t>43INCH  SONY TELEVISION BRAVIA</t>
  </si>
  <si>
    <t>24inch iMAC with retina 4.5 display with USB,magic mouse and USB charge</t>
  </si>
  <si>
    <t>HP color laserjet PRO MFP Printer</t>
  </si>
  <si>
    <t>LCD Projector</t>
  </si>
  <si>
    <t xml:space="preserve">Laptop </t>
  </si>
  <si>
    <t>65 Inch sony bravia TV</t>
  </si>
  <si>
    <t xml:space="preserve">24000BTU Aircondition cool/warm </t>
  </si>
  <si>
    <t>Complete Public Address system</t>
  </si>
  <si>
    <t>P.A.board chairman</t>
  </si>
  <si>
    <t>Secretarial telephone headset</t>
  </si>
  <si>
    <t>43 Inch sony television bravia</t>
  </si>
  <si>
    <t xml:space="preserve">All in one desktop computer </t>
  </si>
  <si>
    <t>HP Colour laserjet PRO MFP printer</t>
  </si>
  <si>
    <t>pettycash</t>
  </si>
  <si>
    <t>Legal Office</t>
  </si>
  <si>
    <t>Yellow dusters</t>
  </si>
  <si>
    <t>Box (12pcs)</t>
  </si>
  <si>
    <t>Pckts</t>
  </si>
  <si>
    <t>Waste bags</t>
  </si>
  <si>
    <t>Office door labels</t>
  </si>
  <si>
    <t>1 dozens</t>
  </si>
  <si>
    <t xml:space="preserve">pcs </t>
  </si>
  <si>
    <t>Camera batteries</t>
  </si>
  <si>
    <t>boxes</t>
  </si>
  <si>
    <t>Cryvials</t>
  </si>
  <si>
    <t>General office consumables</t>
  </si>
  <si>
    <t>P.A.Chairman</t>
  </si>
  <si>
    <t>imprest</t>
  </si>
  <si>
    <t>MISCELLENEOUS EXPENSES</t>
  </si>
  <si>
    <t>Airtime</t>
  </si>
  <si>
    <t>Tea Imprest</t>
  </si>
  <si>
    <t>Miscelleaneous items</t>
  </si>
  <si>
    <t>Dispenser bottles</t>
  </si>
  <si>
    <t>Install VoIP telephony for the whole institute using new PABX</t>
  </si>
  <si>
    <t>CONTRACTS</t>
  </si>
  <si>
    <t>BOARD CHAIRMAN,PERSONAL ASSISTANT,LEGAL OFFICE AND BOARDROOM</t>
  </si>
  <si>
    <t>Partitioning and renovation of board chairman office and personal assistant</t>
  </si>
  <si>
    <t>SURV Veehicle</t>
  </si>
  <si>
    <t>VXL Prado Vehicle</t>
  </si>
  <si>
    <t>Board room repairs and elecrical works</t>
  </si>
  <si>
    <t>Renovation of the office of legal officer</t>
  </si>
  <si>
    <t>Legal office</t>
  </si>
  <si>
    <t>LOT</t>
  </si>
  <si>
    <t>IPR/Contract</t>
  </si>
  <si>
    <t>Proposed construction of main gate &amp; Administration Parking</t>
  </si>
  <si>
    <t>Proposed office partitions At Mezzannine floor of One Health Center</t>
  </si>
  <si>
    <t>Proposed Proposed Renovations &amp; Construction of Housing units at IPR</t>
  </si>
  <si>
    <t>Proposed construction of Boundary Wall at Institute of Primate Research(Phase 2)</t>
  </si>
  <si>
    <t>Proposed stainless steel animal cages at IPR</t>
  </si>
  <si>
    <t>Proposed Ablution Block at IPR nature Trail</t>
  </si>
  <si>
    <t>Proposed Extension of 3No. Offices at Administration</t>
  </si>
  <si>
    <t>Install 3 central-printing Units within the institution (Contract with MFI)</t>
  </si>
  <si>
    <t>proposed construction of administration block</t>
  </si>
  <si>
    <t>furniture for 27 scientist offices</t>
  </si>
  <si>
    <t>Centre construction</t>
  </si>
  <si>
    <t>Directors and departmental offices</t>
  </si>
  <si>
    <t>Laboratory</t>
  </si>
  <si>
    <t>Store</t>
  </si>
  <si>
    <t>Field vehicles</t>
  </si>
  <si>
    <t>WELDING MATERIALS FOR ANIMAL CAGES &amp; OTHER FACILITIES</t>
  </si>
  <si>
    <t>NEW TOOL AND EQUIPMENT</t>
  </si>
  <si>
    <t xml:space="preserve">FIRST AID KIT </t>
  </si>
  <si>
    <t>UNIFORM &amp; PROTECTIVE CLOTHING</t>
  </si>
  <si>
    <t>MEDICAL &amp; SURGICAL SUPPLIES</t>
  </si>
  <si>
    <t>LABORATORY REAGENTS &amp; CHEMICALS</t>
  </si>
  <si>
    <t>LABORATORY EQUIPMENT</t>
  </si>
  <si>
    <t>MAINTENANCE OF EQUIPMENT</t>
  </si>
  <si>
    <t xml:space="preserve">WASTE DISPOSAL   </t>
  </si>
  <si>
    <t>LABORATORY SUPPLIES NON-CONSUMABLES</t>
  </si>
  <si>
    <t>CONFERENCE /RETREAT &amp; TRAINING</t>
  </si>
  <si>
    <t xml:space="preserve">NEWSPAPER SUBSCRIPTION </t>
  </si>
  <si>
    <t xml:space="preserve">LIBRARY BOOKS AND JOURNALS </t>
  </si>
  <si>
    <t>INTERNET SERVICES</t>
  </si>
  <si>
    <t xml:space="preserve">NEW MOTOR VEHICLE </t>
  </si>
</sst>
</file>

<file path=xl/styles.xml><?xml version="1.0" encoding="utf-8"?>
<styleSheet xmlns="http://schemas.openxmlformats.org/spreadsheetml/2006/main">
  <numFmts count="7">
    <numFmt numFmtId="42" formatCode="_(&quot;$&quot;* #,##0_);_(&quot;$&quot;* \(#,##0\);_(&quot;$&quot;* &quot;-&quot;_);_(@_)"/>
    <numFmt numFmtId="176" formatCode="_-* #,##0.00_-;\-* #,##0.00_-;_-* &quot;-&quot;??_-;_-@_-"/>
    <numFmt numFmtId="177" formatCode="_ * #,##0_ ;_ * \-#,##0_ ;_ * &quot;-&quot;_ ;_ @_ "/>
    <numFmt numFmtId="44" formatCode="_(&quot;$&quot;* #,##0.00_);_(&quot;$&quot;* \(#,##0.00\);_(&quot;$&quot;* &quot;-&quot;??_);_(@_)"/>
    <numFmt numFmtId="178" formatCode="_-* #,##0_-;\-* #,##0_-;_-* &quot;-&quot;??_-;_-@_-"/>
    <numFmt numFmtId="179" formatCode="&quot; &quot;#,##0&quot; &quot;;&quot;-&quot;#,##0&quot; &quot;;&quot; -&quot;00&quot; &quot;;&quot; &quot;@&quot; &quot;"/>
    <numFmt numFmtId="180" formatCode="_(* #,##0_);_(* \(#,##0\);_(* &quot;-&quot;??_);_(@_)"/>
  </numFmts>
  <fonts count="63">
    <font>
      <sz val="11"/>
      <color theme="1"/>
      <name val="Calibri"/>
      <charset val="134"/>
      <scheme val="minor"/>
    </font>
    <font>
      <sz val="12"/>
      <color theme="1"/>
      <name val="Calibri"/>
      <charset val="134"/>
      <scheme val="minor"/>
    </font>
    <font>
      <sz val="12"/>
      <color theme="1"/>
      <name val="Times New Roman"/>
      <charset val="134"/>
    </font>
    <font>
      <b/>
      <sz val="12"/>
      <color theme="1"/>
      <name val="Times New Roman"/>
      <charset val="134"/>
    </font>
    <font>
      <sz val="12"/>
      <name val="Times New Roman"/>
      <charset val="134"/>
    </font>
    <font>
      <sz val="12"/>
      <color theme="1"/>
      <name val="Arial Narrow"/>
      <charset val="134"/>
    </font>
    <font>
      <sz val="12"/>
      <color rgb="FF000000"/>
      <name val="Times New Roman"/>
      <charset val="134"/>
    </font>
    <font>
      <sz val="12"/>
      <color theme="9"/>
      <name val="Times New Roman"/>
      <charset val="134"/>
    </font>
    <font>
      <sz val="12"/>
      <color theme="0"/>
      <name val="Times New Roman"/>
      <charset val="134"/>
    </font>
    <font>
      <b/>
      <i/>
      <sz val="12"/>
      <color theme="1"/>
      <name val="Times New Roman"/>
      <charset val="134"/>
    </font>
    <font>
      <b/>
      <sz val="12"/>
      <color rgb="FF000000"/>
      <name val="Times New Roman"/>
      <charset val="134"/>
    </font>
    <font>
      <b/>
      <sz val="12"/>
      <color theme="1"/>
      <name val="Arial Narrow"/>
      <charset val="134"/>
    </font>
    <font>
      <b/>
      <sz val="11"/>
      <color theme="1"/>
      <name val="Times New Roman"/>
      <charset val="134"/>
    </font>
    <font>
      <b/>
      <sz val="11"/>
      <color rgb="FF000000"/>
      <name val="Times New Roman"/>
      <charset val="134"/>
    </font>
    <font>
      <b/>
      <sz val="11"/>
      <color theme="1"/>
      <name val="Calibri"/>
      <charset val="134"/>
      <scheme val="minor"/>
    </font>
    <font>
      <sz val="10"/>
      <color theme="1"/>
      <name val="Times New Roman"/>
      <charset val="134"/>
    </font>
    <font>
      <sz val="9"/>
      <color theme="1"/>
      <name val="Arial Narrow"/>
      <charset val="134"/>
    </font>
    <font>
      <b/>
      <sz val="12"/>
      <color theme="1"/>
      <name val="Calibri"/>
      <charset val="134"/>
      <scheme val="minor"/>
    </font>
    <font>
      <sz val="12"/>
      <color rgb="FFFF0000"/>
      <name val="Times New Roman"/>
      <charset val="134"/>
    </font>
    <font>
      <sz val="11"/>
      <color rgb="FF000000"/>
      <name val="Calibri"/>
      <charset val="1"/>
    </font>
    <font>
      <sz val="11"/>
      <color theme="1"/>
      <name val="Times New Roman"/>
      <charset val="134"/>
    </font>
    <font>
      <sz val="9"/>
      <color theme="1"/>
      <name val="Calibri"/>
      <charset val="134"/>
      <scheme val="minor"/>
    </font>
    <font>
      <sz val="12"/>
      <color theme="1"/>
      <name val="Calibri Light"/>
      <charset val="134"/>
      <scheme val="major"/>
    </font>
    <font>
      <sz val="10"/>
      <color theme="1"/>
      <name val="Calibri"/>
      <charset val="134"/>
      <scheme val="minor"/>
    </font>
    <font>
      <sz val="9"/>
      <color theme="1"/>
      <name val="Times New Roman"/>
      <charset val="134"/>
    </font>
    <font>
      <sz val="10"/>
      <color theme="1"/>
      <name val="Wingdings"/>
      <charset val="2"/>
    </font>
    <font>
      <sz val="11"/>
      <color theme="1"/>
      <name val="Calibri"/>
      <charset val="134"/>
    </font>
    <font>
      <sz val="12"/>
      <name val="Calibri"/>
      <charset val="134"/>
      <scheme val="minor"/>
    </font>
    <font>
      <sz val="12"/>
      <color theme="9"/>
      <name val="Calibri"/>
      <charset val="134"/>
      <scheme val="minor"/>
    </font>
    <font>
      <b/>
      <sz val="10"/>
      <color theme="1"/>
      <name val="Calibri"/>
      <charset val="134"/>
      <scheme val="minor"/>
    </font>
    <font>
      <sz val="11"/>
      <name val="Calibri"/>
      <charset val="134"/>
      <scheme val="minor"/>
    </font>
    <font>
      <sz val="11"/>
      <color theme="0"/>
      <name val="Calibri"/>
      <charset val="134"/>
      <scheme val="minor"/>
    </font>
    <font>
      <sz val="11"/>
      <color theme="9"/>
      <name val="Calibri"/>
      <charset val="134"/>
      <scheme val="minor"/>
    </font>
    <font>
      <b/>
      <i/>
      <sz val="11"/>
      <color theme="1"/>
      <name val="Calibri"/>
      <charset val="134"/>
      <scheme val="minor"/>
    </font>
    <font>
      <b/>
      <sz val="9"/>
      <color theme="1"/>
      <name val="Times New Roman"/>
      <charset val="134"/>
    </font>
    <font>
      <b/>
      <sz val="9"/>
      <color theme="1"/>
      <name val="Calibri"/>
      <charset val="134"/>
      <scheme val="minor"/>
    </font>
    <font>
      <sz val="11"/>
      <color theme="1"/>
      <name val="Calibri Light"/>
      <charset val="134"/>
      <scheme val="major"/>
    </font>
    <font>
      <b/>
      <sz val="12"/>
      <color theme="1"/>
      <name val="Calibri Light"/>
      <charset val="134"/>
      <scheme val="major"/>
    </font>
    <font>
      <sz val="12"/>
      <name val="Calibri Light"/>
      <charset val="134"/>
      <scheme val="major"/>
    </font>
    <font>
      <sz val="12"/>
      <color theme="9"/>
      <name val="Calibri Light"/>
      <charset val="134"/>
      <scheme val="major"/>
    </font>
    <font>
      <u/>
      <sz val="11"/>
      <color rgb="FF0000FF"/>
      <name val="Calibri"/>
      <charset val="0"/>
      <scheme val="minor"/>
    </font>
    <font>
      <sz val="11"/>
      <color rgb="FFFF0000"/>
      <name val="Calibri"/>
      <charset val="0"/>
      <scheme val="minor"/>
    </font>
    <font>
      <sz val="11"/>
      <color theme="1"/>
      <name val="Calibri"/>
      <charset val="0"/>
      <scheme val="minor"/>
    </font>
    <font>
      <sz val="11"/>
      <color theme="0"/>
      <name val="Calibri"/>
      <charset val="0"/>
      <scheme val="minor"/>
    </font>
    <font>
      <b/>
      <sz val="11"/>
      <color theme="3"/>
      <name val="Calibri"/>
      <charset val="134"/>
      <scheme val="minor"/>
    </font>
    <font>
      <sz val="12"/>
      <color theme="1"/>
      <name val="Arial"/>
      <charset val="134"/>
    </font>
    <font>
      <i/>
      <sz val="11"/>
      <color rgb="FF7F7F7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b/>
      <sz val="13"/>
      <color theme="3"/>
      <name val="Calibri"/>
      <charset val="134"/>
      <scheme val="minor"/>
    </font>
    <font>
      <b/>
      <sz val="11"/>
      <color rgb="FFFA7D00"/>
      <name val="Calibri"/>
      <charset val="0"/>
      <scheme val="minor"/>
    </font>
    <font>
      <sz val="11"/>
      <color rgb="FF0061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sz val="11"/>
      <color rgb="FFFA7D00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5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7"/>
      <color indexed="8"/>
      <name val="Times New Roman"/>
      <charset val="134"/>
    </font>
    <font>
      <sz val="10"/>
      <color indexed="8"/>
      <name val="Calibri"/>
      <charset val="134"/>
    </font>
    <font>
      <b/>
      <sz val="11"/>
      <color theme="1"/>
      <name val="Calibri Light"/>
      <charset val="134"/>
      <scheme val="major"/>
    </font>
  </fonts>
  <fills count="3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0499893185216834"/>
        <bgColor indexed="64"/>
      </patternFill>
    </fill>
    <fill>
      <patternFill patternType="solid">
        <fgColor theme="0"/>
        <bgColor rgb="FF000000"/>
      </patternFill>
    </fill>
    <fill>
      <patternFill patternType="solid">
        <fgColor rgb="FFFFFFCC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</fills>
  <borders count="1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medium">
        <color theme="4" tint="0.499984740745262"/>
      </bottom>
      <diagonal/>
    </border>
    <border>
      <left/>
      <right/>
      <top/>
      <bottom style="medium">
        <color theme="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double">
        <color rgb="FFFF8001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/>
    <xf numFmtId="0" fontId="42" fillId="9" borderId="0" applyNumberFormat="0" applyBorder="0" applyAlignment="0" applyProtection="0">
      <alignment vertical="center"/>
    </xf>
    <xf numFmtId="176" fontId="0" fillId="0" borderId="0" applyFont="0" applyFill="0" applyBorder="0" applyAlignment="0" applyProtection="0"/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/>
    <xf numFmtId="0" fontId="40" fillId="0" borderId="0" applyNumberFormat="0" applyFill="0" applyBorder="0" applyAlignment="0" applyProtection="0">
      <alignment vertical="center"/>
    </xf>
    <xf numFmtId="0" fontId="43" fillId="15" borderId="0" applyNumberFormat="0" applyBorder="0" applyAlignment="0" applyProtection="0">
      <alignment vertical="center"/>
    </xf>
    <xf numFmtId="0" fontId="47" fillId="0" borderId="0" applyNumberFormat="0" applyFill="0" applyBorder="0" applyAlignment="0" applyProtection="0">
      <alignment vertical="center"/>
    </xf>
    <xf numFmtId="0" fontId="48" fillId="18" borderId="10" applyNumberFormat="0" applyAlignment="0" applyProtection="0">
      <alignment vertical="center"/>
    </xf>
    <xf numFmtId="0" fontId="49" fillId="0" borderId="12" applyNumberFormat="0" applyFill="0" applyAlignment="0" applyProtection="0">
      <alignment vertical="center"/>
    </xf>
    <xf numFmtId="0" fontId="0" fillId="5" borderId="9" applyNumberFormat="0" applyFont="0" applyAlignment="0" applyProtection="0">
      <alignment vertical="center"/>
    </xf>
    <xf numFmtId="0" fontId="42" fillId="19" borderId="0" applyNumberFormat="0" applyBorder="0" applyAlignment="0" applyProtection="0">
      <alignment vertical="center"/>
    </xf>
    <xf numFmtId="0" fontId="41" fillId="0" borderId="0" applyNumberFormat="0" applyFill="0" applyBorder="0" applyAlignment="0" applyProtection="0">
      <alignment vertical="center"/>
    </xf>
    <xf numFmtId="0" fontId="42" fillId="23" borderId="0" applyNumberFormat="0" applyBorder="0" applyAlignment="0" applyProtection="0">
      <alignment vertical="center"/>
    </xf>
    <xf numFmtId="0" fontId="52" fillId="0" borderId="0" applyNumberFormat="0" applyFill="0" applyBorder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55" fillId="0" borderId="12" applyNumberFormat="0" applyFill="0" applyAlignment="0" applyProtection="0">
      <alignment vertical="center"/>
    </xf>
    <xf numFmtId="0" fontId="44" fillId="0" borderId="11" applyNumberFormat="0" applyFill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56" fillId="27" borderId="13" applyNumberFormat="0" applyAlignment="0" applyProtection="0">
      <alignment vertical="center"/>
    </xf>
    <xf numFmtId="0" fontId="43" fillId="30" borderId="0" applyNumberFormat="0" applyBorder="0" applyAlignment="0" applyProtection="0">
      <alignment vertical="center"/>
    </xf>
    <xf numFmtId="0" fontId="51" fillId="22" borderId="0" applyNumberFormat="0" applyBorder="0" applyAlignment="0" applyProtection="0">
      <alignment vertical="center"/>
    </xf>
    <xf numFmtId="0" fontId="54" fillId="20" borderId="15" applyNumberFormat="0" applyAlignment="0" applyProtection="0">
      <alignment vertical="center"/>
    </xf>
    <xf numFmtId="0" fontId="42" fillId="21" borderId="0" applyNumberFormat="0" applyBorder="0" applyAlignment="0" applyProtection="0">
      <alignment vertical="center"/>
    </xf>
    <xf numFmtId="0" fontId="50" fillId="20" borderId="13" applyNumberFormat="0" applyAlignment="0" applyProtection="0">
      <alignment vertical="center"/>
    </xf>
    <xf numFmtId="0" fontId="53" fillId="0" borderId="14" applyNumberFormat="0" applyFill="0" applyAlignment="0" applyProtection="0">
      <alignment vertical="center"/>
    </xf>
    <xf numFmtId="0" fontId="57" fillId="0" borderId="16" applyNumberFormat="0" applyFill="0" applyAlignment="0" applyProtection="0">
      <alignment vertical="center"/>
    </xf>
    <xf numFmtId="0" fontId="58" fillId="33" borderId="0" applyNumberFormat="0" applyBorder="0" applyAlignment="0" applyProtection="0">
      <alignment vertical="center"/>
    </xf>
    <xf numFmtId="0" fontId="59" fillId="34" borderId="0" applyNumberFormat="0" applyBorder="0" applyAlignment="0" applyProtection="0">
      <alignment vertical="center"/>
    </xf>
    <xf numFmtId="0" fontId="43" fillId="32" borderId="0" applyNumberFormat="0" applyBorder="0" applyAlignment="0" applyProtection="0">
      <alignment vertical="center"/>
    </xf>
    <xf numFmtId="0" fontId="45" fillId="0" borderId="0"/>
    <xf numFmtId="0" fontId="42" fillId="35" borderId="0" applyNumberFormat="0" applyBorder="0" applyAlignment="0" applyProtection="0">
      <alignment vertical="center"/>
    </xf>
    <xf numFmtId="0" fontId="43" fillId="26" borderId="0" applyNumberFormat="0" applyBorder="0" applyAlignment="0" applyProtection="0">
      <alignment vertical="center"/>
    </xf>
    <xf numFmtId="0" fontId="43" fillId="8" borderId="0" applyNumberFormat="0" applyBorder="0" applyAlignment="0" applyProtection="0">
      <alignment vertical="center"/>
    </xf>
    <xf numFmtId="0" fontId="42" fillId="25" borderId="0" applyNumberFormat="0" applyBorder="0" applyAlignment="0" applyProtection="0">
      <alignment vertical="center"/>
    </xf>
    <xf numFmtId="0" fontId="42" fillId="13" borderId="0" applyNumberFormat="0" applyBorder="0" applyAlignment="0" applyProtection="0">
      <alignment vertical="center"/>
    </xf>
    <xf numFmtId="0" fontId="43" fillId="17" borderId="0" applyNumberFormat="0" applyBorder="0" applyAlignment="0" applyProtection="0">
      <alignment vertical="center"/>
    </xf>
    <xf numFmtId="0" fontId="43" fillId="7" borderId="0" applyNumberFormat="0" applyBorder="0" applyAlignment="0" applyProtection="0">
      <alignment vertical="center"/>
    </xf>
    <xf numFmtId="0" fontId="42" fillId="31" borderId="0" applyNumberFormat="0" applyBorder="0" applyAlignment="0" applyProtection="0">
      <alignment vertical="center"/>
    </xf>
    <xf numFmtId="0" fontId="43" fillId="12" borderId="0" applyNumberFormat="0" applyBorder="0" applyAlignment="0" applyProtection="0">
      <alignment vertical="center"/>
    </xf>
    <xf numFmtId="0" fontId="42" fillId="6" borderId="0" applyNumberFormat="0" applyBorder="0" applyAlignment="0" applyProtection="0">
      <alignment vertical="center"/>
    </xf>
    <xf numFmtId="0" fontId="42" fillId="24" borderId="0" applyNumberFormat="0" applyBorder="0" applyAlignment="0" applyProtection="0">
      <alignment vertical="center"/>
    </xf>
    <xf numFmtId="0" fontId="43" fillId="29" borderId="0" applyNumberFormat="0" applyBorder="0" applyAlignment="0" applyProtection="0">
      <alignment vertical="center"/>
    </xf>
    <xf numFmtId="0" fontId="42" fillId="16" borderId="0" applyNumberFormat="0" applyBorder="0" applyAlignment="0" applyProtection="0">
      <alignment vertical="center"/>
    </xf>
    <xf numFmtId="0" fontId="43" fillId="11" borderId="0" applyNumberFormat="0" applyBorder="0" applyAlignment="0" applyProtection="0">
      <alignment vertical="center"/>
    </xf>
    <xf numFmtId="0" fontId="43" fillId="14" borderId="0" applyNumberFormat="0" applyBorder="0" applyAlignment="0" applyProtection="0">
      <alignment vertical="center"/>
    </xf>
    <xf numFmtId="0" fontId="42" fillId="10" borderId="0" applyNumberFormat="0" applyBorder="0" applyAlignment="0" applyProtection="0">
      <alignment vertical="center"/>
    </xf>
    <xf numFmtId="0" fontId="43" fillId="28" borderId="0" applyNumberFormat="0" applyBorder="0" applyAlignment="0" applyProtection="0">
      <alignment vertical="center"/>
    </xf>
  </cellStyleXfs>
  <cellXfs count="425">
    <xf numFmtId="0" fontId="0" fillId="0" borderId="0" xfId="0"/>
    <xf numFmtId="0" fontId="0" fillId="0" borderId="1" xfId="0" applyBorder="1"/>
    <xf numFmtId="0" fontId="0" fillId="0" borderId="2" xfId="0" applyBorder="1" applyAlignment="1">
      <alignment wrapText="1"/>
    </xf>
    <xf numFmtId="0" fontId="0" fillId="0" borderId="2" xfId="0" applyBorder="1"/>
    <xf numFmtId="0" fontId="0" fillId="0" borderId="2" xfId="0" applyFill="1" applyBorder="1" applyAlignment="1">
      <alignment wrapText="1"/>
    </xf>
    <xf numFmtId="0" fontId="0" fillId="0" borderId="2" xfId="0" applyBorder="1" applyAlignment="1">
      <alignment horizontal="right" wrapText="1"/>
    </xf>
    <xf numFmtId="0" fontId="1" fillId="0" borderId="1" xfId="0" applyFont="1" applyBorder="1"/>
    <xf numFmtId="0" fontId="1" fillId="0" borderId="2" xfId="0" applyFont="1" applyBorder="1" applyAlignment="1">
      <alignment wrapText="1"/>
    </xf>
    <xf numFmtId="0" fontId="1" fillId="0" borderId="2" xfId="0" applyFont="1" applyBorder="1"/>
    <xf numFmtId="0" fontId="1" fillId="0" borderId="2" xfId="0" applyFont="1" applyBorder="1" applyAlignment="1">
      <alignment horizontal="right" wrapText="1"/>
    </xf>
    <xf numFmtId="0" fontId="1" fillId="0" borderId="2" xfId="0" applyFont="1" applyBorder="1" applyAlignment="1">
      <alignment horizontal="left" wrapText="1"/>
    </xf>
    <xf numFmtId="0" fontId="2" fillId="0" borderId="3" xfId="0" applyFont="1" applyBorder="1"/>
    <xf numFmtId="0" fontId="3" fillId="0" borderId="3" xfId="0" applyFont="1" applyBorder="1"/>
    <xf numFmtId="0" fontId="2" fillId="0" borderId="3" xfId="0" applyFont="1" applyBorder="1" applyAlignment="1">
      <alignment horizontal="left"/>
    </xf>
    <xf numFmtId="0" fontId="2" fillId="0" borderId="3" xfId="0" applyFont="1" applyBorder="1" applyAlignment="1">
      <alignment horizontal="right"/>
    </xf>
    <xf numFmtId="0" fontId="2" fillId="0" borderId="3" xfId="0" applyFont="1" applyBorder="1" applyAlignment="1"/>
    <xf numFmtId="0" fontId="2" fillId="0" borderId="3" xfId="0" applyFont="1" applyBorder="1" applyAlignment="1">
      <alignment horizontal="left" vertical="center" wrapText="1"/>
    </xf>
    <xf numFmtId="0" fontId="2" fillId="0" borderId="3" xfId="0" applyFont="1" applyBorder="1" applyAlignment="1">
      <alignment horizontal="right" vertical="center"/>
    </xf>
    <xf numFmtId="176" fontId="2" fillId="0" borderId="3" xfId="2" applyFont="1" applyBorder="1" applyAlignment="1">
      <alignment vertical="center" wrapText="1"/>
    </xf>
    <xf numFmtId="0" fontId="1" fillId="0" borderId="3" xfId="0" applyFont="1" applyBorder="1"/>
    <xf numFmtId="0" fontId="1" fillId="0" borderId="3" xfId="0" applyFont="1" applyBorder="1" applyAlignment="1">
      <alignment horizontal="right"/>
    </xf>
    <xf numFmtId="0" fontId="1" fillId="0" borderId="3" xfId="0" applyFont="1" applyBorder="1" applyAlignment="1"/>
    <xf numFmtId="0" fontId="1" fillId="0" borderId="3" xfId="0" applyFont="1" applyBorder="1" applyAlignment="1">
      <alignment horizontal="left"/>
    </xf>
    <xf numFmtId="0" fontId="2" fillId="0" borderId="3" xfId="0" applyFont="1" applyBorder="1" applyAlignment="1">
      <alignment vertical="center"/>
    </xf>
    <xf numFmtId="176" fontId="2" fillId="0" borderId="3" xfId="2" applyNumberFormat="1" applyFont="1" applyBorder="1" applyAlignment="1">
      <alignment vertical="center" wrapText="1"/>
    </xf>
    <xf numFmtId="176" fontId="3" fillId="0" borderId="3" xfId="2" applyFont="1" applyBorder="1" applyAlignment="1"/>
    <xf numFmtId="176" fontId="3" fillId="0" borderId="3" xfId="0" applyNumberFormat="1" applyFont="1" applyBorder="1" applyAlignment="1"/>
    <xf numFmtId="0" fontId="3" fillId="0" borderId="3" xfId="0" applyFont="1" applyBorder="1" applyAlignment="1"/>
    <xf numFmtId="0" fontId="4" fillId="0" borderId="3" xfId="0" applyFont="1" applyBorder="1" applyAlignment="1">
      <alignment horizontal="left" wrapText="1"/>
    </xf>
    <xf numFmtId="176" fontId="2" fillId="0" borderId="3" xfId="2" applyFont="1" applyBorder="1" applyAlignment="1"/>
    <xf numFmtId="0" fontId="4" fillId="0" borderId="3" xfId="0" applyFont="1" applyBorder="1" applyAlignment="1">
      <alignment horizontal="left"/>
    </xf>
    <xf numFmtId="0" fontId="5" fillId="0" borderId="3" xfId="0" applyFont="1" applyBorder="1" applyAlignment="1">
      <alignment horizontal="left" wrapText="1"/>
    </xf>
    <xf numFmtId="0" fontId="2" fillId="0" borderId="3" xfId="0" applyFont="1" applyBorder="1" applyAlignment="1">
      <alignment vertical="center" wrapText="1"/>
    </xf>
    <xf numFmtId="0" fontId="2" fillId="0" borderId="3" xfId="0" applyFont="1" applyFill="1" applyBorder="1" applyAlignment="1">
      <alignment horizontal="right"/>
    </xf>
    <xf numFmtId="4" fontId="2" fillId="2" borderId="3" xfId="0" applyNumberFormat="1" applyFont="1" applyFill="1" applyBorder="1" applyAlignment="1"/>
    <xf numFmtId="0" fontId="2" fillId="2" borderId="3" xfId="0" applyFont="1" applyFill="1" applyBorder="1" applyAlignment="1">
      <alignment horizontal="left"/>
    </xf>
    <xf numFmtId="0" fontId="2" fillId="0" borderId="0" xfId="0" applyFont="1" applyAlignment="1">
      <alignment horizontal="left"/>
    </xf>
    <xf numFmtId="0" fontId="2" fillId="0" borderId="3" xfId="0" applyFont="1" applyBorder="1" applyAlignment="1">
      <alignment horizontal="right" vertical="center" wrapText="1"/>
    </xf>
    <xf numFmtId="0" fontId="2" fillId="0" borderId="3" xfId="0" applyFont="1" applyBorder="1" applyAlignment="1">
      <alignment wrapText="1"/>
    </xf>
    <xf numFmtId="0" fontId="2" fillId="0" borderId="3" xfId="0" applyFont="1" applyBorder="1" applyAlignment="1">
      <alignment horizontal="left" wrapText="1"/>
    </xf>
    <xf numFmtId="4" fontId="2" fillId="0" borderId="3" xfId="0" applyNumberFormat="1" applyFont="1" applyBorder="1" applyAlignment="1"/>
    <xf numFmtId="0" fontId="5" fillId="0" borderId="3" xfId="0" applyFont="1" applyBorder="1" applyAlignment="1">
      <alignment wrapText="1"/>
    </xf>
    <xf numFmtId="0" fontId="5" fillId="0" borderId="3" xfId="0" applyFont="1" applyBorder="1" applyAlignment="1">
      <alignment horizontal="right"/>
    </xf>
    <xf numFmtId="176" fontId="5" fillId="0" borderId="3" xfId="2" applyFont="1" applyBorder="1" applyAlignment="1"/>
    <xf numFmtId="4" fontId="5" fillId="0" borderId="3" xfId="0" applyNumberFormat="1" applyFont="1" applyBorder="1" applyAlignment="1"/>
    <xf numFmtId="3" fontId="2" fillId="0" borderId="3" xfId="0" applyNumberFormat="1" applyFont="1" applyBorder="1" applyAlignment="1"/>
    <xf numFmtId="0" fontId="3" fillId="0" borderId="3" xfId="0" applyFont="1" applyBorder="1" applyAlignment="1">
      <alignment horizontal="left"/>
    </xf>
    <xf numFmtId="0" fontId="3" fillId="0" borderId="3" xfId="0" applyFont="1" applyBorder="1" applyAlignment="1">
      <alignment horizontal="right"/>
    </xf>
    <xf numFmtId="0" fontId="6" fillId="0" borderId="3" xfId="0" applyFont="1" applyBorder="1" applyAlignment="1">
      <alignment horizontal="left" vertical="center"/>
    </xf>
    <xf numFmtId="0" fontId="2" fillId="0" borderId="3" xfId="0" applyFont="1" applyBorder="1" applyAlignment="1">
      <alignment horizontal="left" vertical="center"/>
    </xf>
    <xf numFmtId="4" fontId="2" fillId="0" borderId="3" xfId="0" applyNumberFormat="1" applyFont="1" applyBorder="1" applyAlignment="1">
      <alignment vertical="center"/>
    </xf>
    <xf numFmtId="178" fontId="2" fillId="0" borderId="3" xfId="2" applyNumberFormat="1" applyFont="1" applyBorder="1" applyAlignment="1"/>
    <xf numFmtId="176" fontId="5" fillId="0" borderId="3" xfId="2" applyFont="1" applyBorder="1" applyAlignment="1">
      <alignment wrapText="1"/>
    </xf>
    <xf numFmtId="4" fontId="3" fillId="0" borderId="3" xfId="0" applyNumberFormat="1" applyFont="1" applyBorder="1" applyAlignment="1"/>
    <xf numFmtId="176" fontId="2" fillId="0" borderId="3" xfId="2" applyFont="1" applyBorder="1" applyAlignment="1">
      <alignment wrapText="1"/>
    </xf>
    <xf numFmtId="4" fontId="2" fillId="0" borderId="3" xfId="0" applyNumberFormat="1" applyFont="1" applyBorder="1" applyAlignment="1">
      <alignment wrapText="1"/>
    </xf>
    <xf numFmtId="3" fontId="2" fillId="0" borderId="3" xfId="0" applyNumberFormat="1" applyFont="1" applyBorder="1" applyAlignment="1">
      <alignment horizontal="right"/>
    </xf>
    <xf numFmtId="0" fontId="2" fillId="0" borderId="4" xfId="0" applyFont="1" applyBorder="1" applyAlignment="1">
      <alignment vertical="top"/>
    </xf>
    <xf numFmtId="0" fontId="2" fillId="0" borderId="4" xfId="0" applyFont="1" applyBorder="1" applyAlignment="1">
      <alignment wrapText="1"/>
    </xf>
    <xf numFmtId="0" fontId="2" fillId="0" borderId="3" xfId="0" applyFont="1" applyBorder="1" applyAlignment="1">
      <alignment horizontal="left" vertical="top" wrapText="1"/>
    </xf>
    <xf numFmtId="0" fontId="2" fillId="0" borderId="3" xfId="0" applyFont="1" applyBorder="1" applyAlignment="1">
      <alignment horizontal="right" vertical="top" wrapText="1"/>
    </xf>
    <xf numFmtId="176" fontId="2" fillId="0" borderId="3" xfId="2" applyFont="1" applyBorder="1" applyAlignment="1">
      <alignment vertical="top" wrapText="1"/>
    </xf>
    <xf numFmtId="4" fontId="2" fillId="0" borderId="3" xfId="0" applyNumberFormat="1" applyFont="1" applyBorder="1" applyAlignment="1">
      <alignment vertical="top" wrapText="1"/>
    </xf>
    <xf numFmtId="4" fontId="2" fillId="0" borderId="3" xfId="0" applyNumberFormat="1" applyFont="1" applyBorder="1" applyAlignment="1">
      <alignment vertical="top"/>
    </xf>
    <xf numFmtId="0" fontId="0" fillId="0" borderId="5" xfId="0" applyBorder="1" applyAlignment="1">
      <alignment horizontal="center" wrapText="1"/>
    </xf>
    <xf numFmtId="0" fontId="0" fillId="0" borderId="6" xfId="0" applyBorder="1" applyAlignment="1">
      <alignment horizontal="center" wrapText="1"/>
    </xf>
    <xf numFmtId="0" fontId="1" fillId="0" borderId="5" xfId="0" applyFont="1" applyBorder="1" applyAlignment="1">
      <alignment horizontal="center" wrapText="1"/>
    </xf>
    <xf numFmtId="0" fontId="1" fillId="0" borderId="6" xfId="0" applyFont="1" applyBorder="1" applyAlignment="1">
      <alignment horizontal="center" wrapText="1"/>
    </xf>
    <xf numFmtId="0" fontId="2" fillId="0" borderId="3" xfId="0" applyNumberFormat="1" applyFont="1" applyBorder="1" applyAlignment="1">
      <alignment horizontal="right" vertical="center"/>
    </xf>
    <xf numFmtId="4" fontId="2" fillId="0" borderId="3" xfId="0" applyNumberFormat="1" applyFont="1" applyBorder="1" applyAlignment="1">
      <alignment horizontal="right" vertical="center" wrapText="1"/>
    </xf>
    <xf numFmtId="0" fontId="2" fillId="0" borderId="3" xfId="0" applyNumberFormat="1" applyFont="1" applyBorder="1" applyAlignment="1">
      <alignment horizontal="right" vertical="center" wrapText="1"/>
    </xf>
    <xf numFmtId="179" fontId="4" fillId="0" borderId="3" xfId="2" applyNumberFormat="1" applyFont="1" applyBorder="1" applyAlignment="1">
      <alignment horizontal="right" wrapText="1"/>
    </xf>
    <xf numFmtId="4" fontId="5" fillId="0" borderId="3" xfId="0" applyNumberFormat="1" applyFont="1" applyBorder="1" applyAlignment="1">
      <alignment horizontal="right" wrapText="1"/>
    </xf>
    <xf numFmtId="0" fontId="2" fillId="2" borderId="3" xfId="0" applyFont="1" applyFill="1" applyBorder="1" applyAlignment="1">
      <alignment horizontal="right" vertical="center" wrapText="1"/>
    </xf>
    <xf numFmtId="180" fontId="2" fillId="0" borderId="3" xfId="2" applyNumberFormat="1" applyFont="1" applyBorder="1" applyAlignment="1">
      <alignment horizontal="right"/>
    </xf>
    <xf numFmtId="4" fontId="2" fillId="0" borderId="3" xfId="0" applyNumberFormat="1" applyFont="1" applyBorder="1" applyAlignment="1">
      <alignment horizontal="right" wrapText="1"/>
    </xf>
    <xf numFmtId="180" fontId="5" fillId="0" borderId="3" xfId="2" applyNumberFormat="1" applyFont="1" applyBorder="1" applyAlignment="1">
      <alignment horizontal="right"/>
    </xf>
    <xf numFmtId="0" fontId="2" fillId="2" borderId="3" xfId="0" applyFont="1" applyFill="1" applyBorder="1" applyAlignment="1">
      <alignment horizontal="right"/>
    </xf>
    <xf numFmtId="3" fontId="2" fillId="2" borderId="3" xfId="0" applyNumberFormat="1" applyFont="1" applyFill="1" applyBorder="1" applyAlignment="1">
      <alignment horizontal="right"/>
    </xf>
    <xf numFmtId="180" fontId="5" fillId="0" borderId="3" xfId="2" applyNumberFormat="1" applyFont="1" applyBorder="1" applyAlignment="1">
      <alignment horizontal="right" wrapText="1"/>
    </xf>
    <xf numFmtId="0" fontId="5" fillId="0" borderId="3" xfId="0" applyNumberFormat="1" applyFont="1" applyBorder="1" applyAlignment="1">
      <alignment horizontal="right"/>
    </xf>
    <xf numFmtId="180" fontId="2" fillId="0" borderId="3" xfId="2" applyNumberFormat="1" applyFont="1" applyBorder="1" applyAlignment="1">
      <alignment horizontal="right" wrapText="1"/>
    </xf>
    <xf numFmtId="0" fontId="2" fillId="0" borderId="3" xfId="0" applyFont="1" applyBorder="1" applyAlignment="1">
      <alignment horizontal="right" wrapText="1"/>
    </xf>
    <xf numFmtId="0" fontId="2" fillId="0" borderId="3" xfId="0" applyNumberFormat="1" applyFont="1" applyBorder="1" applyAlignment="1">
      <alignment horizontal="right"/>
    </xf>
    <xf numFmtId="0" fontId="2" fillId="0" borderId="3" xfId="0" applyNumberFormat="1" applyFont="1" applyBorder="1" applyAlignment="1">
      <alignment horizontal="right" wrapText="1"/>
    </xf>
    <xf numFmtId="0" fontId="4" fillId="2" borderId="3" xfId="0" applyFont="1" applyFill="1" applyBorder="1" applyAlignment="1">
      <alignment horizontal="right"/>
    </xf>
    <xf numFmtId="0" fontId="2" fillId="2" borderId="3" xfId="0" applyFont="1" applyFill="1" applyBorder="1" applyAlignment="1">
      <alignment horizontal="right" wrapText="1"/>
    </xf>
    <xf numFmtId="0" fontId="4" fillId="2" borderId="3" xfId="0" applyFont="1" applyFill="1" applyBorder="1" applyAlignment="1">
      <alignment horizontal="right" wrapText="1"/>
    </xf>
    <xf numFmtId="0" fontId="0" fillId="0" borderId="7" xfId="0" applyBorder="1" applyAlignment="1">
      <alignment horizontal="center" wrapText="1"/>
    </xf>
    <xf numFmtId="0" fontId="1" fillId="0" borderId="7" xfId="0" applyFont="1" applyBorder="1" applyAlignment="1">
      <alignment horizontal="center" wrapText="1"/>
    </xf>
    <xf numFmtId="0" fontId="1" fillId="0" borderId="0" xfId="0" applyFont="1"/>
    <xf numFmtId="179" fontId="2" fillId="2" borderId="3" xfId="2" applyNumberFormat="1" applyFont="1" applyFill="1" applyBorder="1" applyAlignment="1">
      <alignment horizontal="right" wrapText="1"/>
    </xf>
    <xf numFmtId="0" fontId="2" fillId="0" borderId="3" xfId="0" applyFont="1" applyBorder="1" applyAlignment="1">
      <alignment vertical="top" wrapText="1"/>
    </xf>
    <xf numFmtId="0" fontId="2" fillId="0" borderId="2" xfId="0" applyFont="1" applyFill="1" applyBorder="1" applyAlignment="1">
      <alignment horizontal="left" vertical="top" wrapText="1"/>
    </xf>
    <xf numFmtId="0" fontId="5" fillId="0" borderId="3" xfId="0" applyFont="1" applyBorder="1" applyAlignment="1">
      <alignment horizontal="right" wrapText="1"/>
    </xf>
    <xf numFmtId="0" fontId="2" fillId="0" borderId="3" xfId="0" applyFont="1" applyFill="1" applyBorder="1" applyAlignment="1">
      <alignment horizontal="left" vertical="center" wrapText="1"/>
    </xf>
    <xf numFmtId="3" fontId="2" fillId="0" borderId="3" xfId="0" applyNumberFormat="1" applyFont="1" applyBorder="1" applyAlignment="1">
      <alignment vertical="center"/>
    </xf>
    <xf numFmtId="3" fontId="2" fillId="0" borderId="3" xfId="0" applyNumberFormat="1" applyFont="1" applyBorder="1" applyAlignment="1">
      <alignment vertical="top"/>
    </xf>
    <xf numFmtId="176" fontId="2" fillId="0" borderId="3" xfId="2" applyFont="1" applyBorder="1" applyAlignment="1">
      <alignment vertical="top"/>
    </xf>
    <xf numFmtId="4" fontId="2" fillId="3" borderId="3" xfId="0" applyNumberFormat="1" applyFont="1" applyFill="1" applyBorder="1" applyAlignment="1"/>
    <xf numFmtId="4" fontId="2" fillId="3" borderId="3" xfId="0" applyNumberFormat="1" applyFont="1" applyFill="1" applyBorder="1" applyAlignment="1">
      <alignment vertical="top"/>
    </xf>
    <xf numFmtId="4" fontId="2" fillId="2" borderId="3" xfId="0" applyNumberFormat="1" applyFont="1" applyFill="1" applyBorder="1" applyAlignment="1">
      <alignment vertical="top"/>
    </xf>
    <xf numFmtId="0" fontId="1" fillId="0" borderId="2" xfId="0" applyFont="1" applyFill="1" applyBorder="1"/>
    <xf numFmtId="0" fontId="1" fillId="2" borderId="3" xfId="0" applyFont="1" applyFill="1" applyBorder="1"/>
    <xf numFmtId="0" fontId="1" fillId="2" borderId="3" xfId="0" applyFont="1" applyFill="1" applyBorder="1" applyAlignment="1">
      <alignment horizontal="right"/>
    </xf>
    <xf numFmtId="4" fontId="1" fillId="2" borderId="3" xfId="0" applyNumberFormat="1" applyFont="1" applyFill="1" applyBorder="1" applyAlignment="1"/>
    <xf numFmtId="0" fontId="7" fillId="2" borderId="3" xfId="0" applyFont="1" applyFill="1" applyBorder="1" applyAlignment="1">
      <alignment horizontal="right"/>
    </xf>
    <xf numFmtId="0" fontId="8" fillId="2" borderId="3" xfId="0" applyFont="1" applyFill="1" applyBorder="1" applyAlignment="1">
      <alignment horizontal="right"/>
    </xf>
    <xf numFmtId="4" fontId="2" fillId="0" borderId="3" xfId="0" applyNumberFormat="1" applyFont="1" applyBorder="1" applyAlignment="1">
      <alignment horizontal="right" vertical="center"/>
    </xf>
    <xf numFmtId="0" fontId="3" fillId="0" borderId="3" xfId="0" applyNumberFormat="1" applyFont="1" applyBorder="1" applyAlignment="1">
      <alignment horizontal="right" vertical="center"/>
    </xf>
    <xf numFmtId="4" fontId="3" fillId="0" borderId="3" xfId="0" applyNumberFormat="1" applyFont="1" applyBorder="1" applyAlignment="1">
      <alignment horizontal="right" vertical="center" wrapText="1"/>
    </xf>
    <xf numFmtId="3" fontId="2" fillId="0" borderId="3" xfId="0" applyNumberFormat="1" applyFont="1" applyBorder="1" applyAlignment="1">
      <alignment horizontal="right" vertical="center"/>
    </xf>
    <xf numFmtId="3" fontId="2" fillId="0" borderId="3" xfId="0" applyNumberFormat="1" applyFont="1" applyBorder="1" applyAlignment="1">
      <alignment horizontal="right" vertical="top" wrapText="1"/>
    </xf>
    <xf numFmtId="0" fontId="5" fillId="0" borderId="3" xfId="0" applyNumberFormat="1" applyFont="1" applyBorder="1" applyAlignment="1">
      <alignment horizontal="right" wrapText="1"/>
    </xf>
    <xf numFmtId="3" fontId="2" fillId="2" borderId="3" xfId="0" applyNumberFormat="1" applyFont="1" applyFill="1" applyBorder="1" applyAlignment="1">
      <alignment horizontal="right" vertical="center" wrapText="1"/>
    </xf>
    <xf numFmtId="0" fontId="0" fillId="0" borderId="3" xfId="0" applyBorder="1"/>
    <xf numFmtId="0" fontId="3" fillId="0" borderId="3" xfId="0" applyFont="1" applyBorder="1" applyAlignment="1">
      <alignment vertical="center" wrapText="1"/>
    </xf>
    <xf numFmtId="176" fontId="3" fillId="0" borderId="3" xfId="2" applyFont="1" applyBorder="1" applyAlignment="1">
      <alignment horizontal="right"/>
    </xf>
    <xf numFmtId="4" fontId="3" fillId="0" borderId="3" xfId="0" applyNumberFormat="1" applyFont="1" applyBorder="1" applyAlignment="1">
      <alignment horizontal="right"/>
    </xf>
    <xf numFmtId="176" fontId="2" fillId="0" borderId="3" xfId="2" applyFont="1" applyBorder="1" applyAlignment="1">
      <alignment horizontal="right"/>
    </xf>
    <xf numFmtId="0" fontId="2" fillId="0" borderId="3" xfId="0" applyNumberFormat="1" applyFont="1" applyBorder="1"/>
    <xf numFmtId="3" fontId="2" fillId="0" borderId="3" xfId="0" applyNumberFormat="1" applyFont="1" applyBorder="1" applyAlignment="1">
      <alignment horizontal="left" vertical="center" wrapText="1"/>
    </xf>
    <xf numFmtId="3" fontId="2" fillId="0" borderId="3" xfId="0" applyNumberFormat="1" applyFont="1" applyBorder="1" applyAlignment="1">
      <alignment horizontal="right" vertical="center" wrapText="1"/>
    </xf>
    <xf numFmtId="0" fontId="9" fillId="0" borderId="3" xfId="0" applyFont="1" applyBorder="1" applyAlignment="1">
      <alignment vertical="center" wrapText="1"/>
    </xf>
    <xf numFmtId="3" fontId="3" fillId="0" borderId="3" xfId="0" applyNumberFormat="1" applyFont="1" applyBorder="1" applyAlignment="1">
      <alignment horizontal="left" vertical="center" wrapText="1"/>
    </xf>
    <xf numFmtId="3" fontId="3" fillId="0" borderId="3" xfId="0" applyNumberFormat="1" applyFont="1" applyBorder="1" applyAlignment="1">
      <alignment horizontal="right" vertical="center" wrapText="1"/>
    </xf>
    <xf numFmtId="3" fontId="3" fillId="0" borderId="3" xfId="0" applyNumberFormat="1" applyFont="1" applyBorder="1" applyAlignment="1">
      <alignment horizontal="right"/>
    </xf>
    <xf numFmtId="0" fontId="2" fillId="0" borderId="3" xfId="0" applyFont="1" applyFill="1" applyBorder="1" applyAlignment="1">
      <alignment horizontal="right" vertical="center" wrapText="1"/>
    </xf>
    <xf numFmtId="0" fontId="2" fillId="0" borderId="0" xfId="0" applyFont="1" applyBorder="1" applyAlignment="1">
      <alignment horizontal="left"/>
    </xf>
    <xf numFmtId="0" fontId="2" fillId="0" borderId="3" xfId="0" applyFont="1" applyFill="1" applyBorder="1"/>
    <xf numFmtId="0" fontId="2" fillId="4" borderId="3" xfId="0" applyFont="1" applyFill="1" applyBorder="1" applyAlignment="1">
      <alignment horizontal="right"/>
    </xf>
    <xf numFmtId="3" fontId="2" fillId="4" borderId="3" xfId="0" applyNumberFormat="1" applyFont="1" applyFill="1" applyBorder="1" applyAlignment="1">
      <alignment horizontal="right"/>
    </xf>
    <xf numFmtId="4" fontId="2" fillId="0" borderId="3" xfId="0" applyNumberFormat="1" applyFont="1" applyBorder="1" applyAlignment="1">
      <alignment horizontal="right"/>
    </xf>
    <xf numFmtId="0" fontId="2" fillId="0" borderId="0" xfId="0" applyFont="1"/>
    <xf numFmtId="176" fontId="5" fillId="0" borderId="3" xfId="2" applyFont="1" applyBorder="1" applyAlignment="1">
      <alignment horizontal="right"/>
    </xf>
    <xf numFmtId="4" fontId="5" fillId="0" borderId="3" xfId="0" applyNumberFormat="1" applyFont="1" applyBorder="1" applyAlignment="1">
      <alignment horizontal="right"/>
    </xf>
    <xf numFmtId="4" fontId="1" fillId="2" borderId="3" xfId="0" applyNumberFormat="1" applyFont="1" applyFill="1" applyBorder="1" applyAlignment="1">
      <alignment horizontal="right"/>
    </xf>
    <xf numFmtId="0" fontId="5" fillId="2" borderId="3" xfId="0" applyFont="1" applyFill="1" applyBorder="1" applyAlignment="1">
      <alignment wrapText="1"/>
    </xf>
    <xf numFmtId="4" fontId="2" fillId="2" borderId="3" xfId="0" applyNumberFormat="1" applyFont="1" applyFill="1" applyBorder="1" applyAlignment="1">
      <alignment horizontal="right" wrapText="1"/>
    </xf>
    <xf numFmtId="3" fontId="2" fillId="0" borderId="3" xfId="0" applyNumberFormat="1" applyFont="1" applyFill="1" applyBorder="1" applyAlignment="1">
      <alignment horizontal="right"/>
    </xf>
    <xf numFmtId="180" fontId="5" fillId="2" borderId="3" xfId="2" applyNumberFormat="1" applyFont="1" applyFill="1" applyBorder="1" applyAlignment="1">
      <alignment horizontal="right"/>
    </xf>
    <xf numFmtId="4" fontId="5" fillId="2" borderId="3" xfId="0" applyNumberFormat="1" applyFont="1" applyFill="1" applyBorder="1" applyAlignment="1">
      <alignment horizontal="right" wrapText="1"/>
    </xf>
    <xf numFmtId="0" fontId="5" fillId="2" borderId="3" xfId="0" applyFont="1" applyFill="1" applyBorder="1" applyAlignment="1">
      <alignment horizontal="right"/>
    </xf>
    <xf numFmtId="179" fontId="4" fillId="0" borderId="0" xfId="2" applyNumberFormat="1" applyFont="1" applyBorder="1" applyAlignment="1">
      <alignment horizontal="right" wrapText="1"/>
    </xf>
    <xf numFmtId="0" fontId="2" fillId="0" borderId="0" xfId="0" applyFont="1" applyAlignment="1">
      <alignment horizontal="right"/>
    </xf>
    <xf numFmtId="0" fontId="3" fillId="2" borderId="3" xfId="0" applyFont="1" applyFill="1" applyBorder="1" applyAlignment="1">
      <alignment vertical="center" wrapText="1"/>
    </xf>
    <xf numFmtId="0" fontId="3" fillId="2" borderId="3" xfId="0" applyFont="1" applyFill="1" applyBorder="1" applyAlignment="1">
      <alignment horizontal="right" vertical="center" wrapText="1"/>
    </xf>
    <xf numFmtId="0" fontId="3" fillId="2" borderId="3" xfId="0" applyFont="1" applyFill="1" applyBorder="1" applyAlignment="1">
      <alignment horizontal="right"/>
    </xf>
    <xf numFmtId="176" fontId="3" fillId="2" borderId="3" xfId="2" applyFont="1" applyFill="1" applyBorder="1" applyAlignment="1">
      <alignment horizontal="right" vertical="center" wrapText="1"/>
    </xf>
    <xf numFmtId="3" fontId="4" fillId="0" borderId="3" xfId="0" applyNumberFormat="1" applyFont="1" applyBorder="1" applyAlignment="1">
      <alignment horizontal="right" wrapText="1"/>
    </xf>
    <xf numFmtId="4" fontId="2" fillId="2" borderId="3" xfId="0" applyNumberFormat="1" applyFont="1" applyFill="1" applyBorder="1" applyAlignment="1">
      <alignment horizontal="right"/>
    </xf>
    <xf numFmtId="0" fontId="4" fillId="0" borderId="3" xfId="0" applyFont="1" applyBorder="1"/>
    <xf numFmtId="0" fontId="4" fillId="0" borderId="3" xfId="0" applyFont="1" applyBorder="1" applyAlignment="1">
      <alignment horizontal="right"/>
    </xf>
    <xf numFmtId="4" fontId="2" fillId="3" borderId="3" xfId="0" applyNumberFormat="1" applyFont="1" applyFill="1" applyBorder="1" applyAlignment="1">
      <alignment horizontal="right"/>
    </xf>
    <xf numFmtId="176" fontId="2" fillId="0" borderId="3" xfId="2" applyFont="1" applyBorder="1" applyAlignment="1">
      <alignment horizontal="right" vertical="top" wrapText="1"/>
    </xf>
    <xf numFmtId="0" fontId="2" fillId="2" borderId="3" xfId="0" applyFont="1" applyFill="1" applyBorder="1" applyAlignment="1">
      <alignment horizontal="left" wrapText="1"/>
    </xf>
    <xf numFmtId="0" fontId="2" fillId="2" borderId="3" xfId="0" applyFont="1" applyFill="1" applyBorder="1" applyAlignment="1">
      <alignment wrapText="1"/>
    </xf>
    <xf numFmtId="0" fontId="2" fillId="2" borderId="3" xfId="0" applyFont="1" applyFill="1" applyBorder="1"/>
    <xf numFmtId="4" fontId="3" fillId="2" borderId="3" xfId="0" applyNumberFormat="1" applyFont="1" applyFill="1" applyBorder="1"/>
    <xf numFmtId="4" fontId="3" fillId="2" borderId="3" xfId="0" applyNumberFormat="1" applyFont="1" applyFill="1" applyBorder="1" applyAlignment="1">
      <alignment horizontal="right"/>
    </xf>
    <xf numFmtId="176" fontId="3" fillId="2" borderId="3" xfId="2" applyFont="1" applyFill="1" applyBorder="1" applyAlignment="1">
      <alignment horizontal="right"/>
    </xf>
    <xf numFmtId="176" fontId="2" fillId="0" borderId="3" xfId="2" applyFont="1" applyBorder="1" applyAlignment="1">
      <alignment horizontal="right" wrapText="1"/>
    </xf>
    <xf numFmtId="176" fontId="2" fillId="0" borderId="3" xfId="2" applyFont="1" applyBorder="1" applyAlignment="1">
      <alignment horizontal="left" vertical="top" wrapText="1"/>
    </xf>
    <xf numFmtId="0" fontId="2" fillId="0" borderId="4" xfId="0" applyFont="1" applyBorder="1" applyAlignment="1">
      <alignment vertical="top" wrapText="1"/>
    </xf>
    <xf numFmtId="4" fontId="2" fillId="0" borderId="3" xfId="0" applyNumberFormat="1" applyFont="1" applyBorder="1" applyAlignment="1">
      <alignment horizontal="right" vertical="top"/>
    </xf>
    <xf numFmtId="4" fontId="2" fillId="0" borderId="8" xfId="0" applyNumberFormat="1" applyFont="1" applyBorder="1" applyAlignment="1">
      <alignment horizontal="right"/>
    </xf>
    <xf numFmtId="4" fontId="2" fillId="2" borderId="3" xfId="0" applyNumberFormat="1" applyFont="1" applyFill="1" applyBorder="1" applyAlignment="1">
      <alignment wrapText="1"/>
    </xf>
    <xf numFmtId="3" fontId="2" fillId="2" borderId="3" xfId="0" applyNumberFormat="1" applyFont="1" applyFill="1" applyBorder="1"/>
    <xf numFmtId="3" fontId="2" fillId="0" borderId="3" xfId="0" applyNumberFormat="1" applyFont="1" applyFill="1" applyBorder="1"/>
    <xf numFmtId="4" fontId="2" fillId="2" borderId="3" xfId="0" applyNumberFormat="1" applyFont="1" applyFill="1" applyBorder="1"/>
    <xf numFmtId="3" fontId="2" fillId="0" borderId="3" xfId="0" applyNumberFormat="1" applyFont="1" applyBorder="1"/>
    <xf numFmtId="3" fontId="1" fillId="0" borderId="3" xfId="0" applyNumberFormat="1" applyFont="1" applyBorder="1"/>
    <xf numFmtId="0" fontId="1" fillId="0" borderId="3" xfId="0" applyFont="1" applyFill="1" applyBorder="1"/>
    <xf numFmtId="176" fontId="3" fillId="0" borderId="3" xfId="0" applyNumberFormat="1" applyFont="1" applyBorder="1"/>
    <xf numFmtId="4" fontId="2" fillId="0" borderId="3" xfId="0" applyNumberFormat="1" applyFont="1" applyFill="1" applyBorder="1"/>
    <xf numFmtId="0" fontId="3" fillId="2" borderId="3" xfId="0" applyFont="1" applyFill="1" applyBorder="1"/>
    <xf numFmtId="0" fontId="3" fillId="0" borderId="3" xfId="0" applyFont="1" applyBorder="1" applyAlignment="1">
      <alignment horizontal="right" vertical="center" wrapText="1"/>
    </xf>
    <xf numFmtId="176" fontId="2" fillId="0" borderId="3" xfId="2" applyFont="1" applyBorder="1"/>
    <xf numFmtId="176" fontId="3" fillId="0" borderId="3" xfId="2" applyFont="1" applyBorder="1"/>
    <xf numFmtId="176" fontId="2" fillId="0" borderId="3" xfId="0" applyNumberFormat="1" applyFont="1" applyBorder="1"/>
    <xf numFmtId="0" fontId="1" fillId="0" borderId="2" xfId="0" applyFont="1" applyFill="1" applyBorder="1" applyAlignment="1">
      <alignment horizontal="right"/>
    </xf>
    <xf numFmtId="0" fontId="1" fillId="0" borderId="0" xfId="0" applyFont="1" applyAlignment="1">
      <alignment horizontal="right"/>
    </xf>
    <xf numFmtId="0" fontId="1" fillId="0" borderId="3" xfId="0" applyFont="1" applyFill="1" applyBorder="1" applyAlignment="1">
      <alignment wrapText="1"/>
    </xf>
    <xf numFmtId="0" fontId="2" fillId="3" borderId="3" xfId="0" applyFont="1" applyFill="1" applyBorder="1"/>
    <xf numFmtId="3" fontId="2" fillId="3" borderId="3" xfId="0" applyNumberFormat="1" applyFont="1" applyFill="1" applyBorder="1" applyAlignment="1">
      <alignment horizontal="right"/>
    </xf>
    <xf numFmtId="4" fontId="2" fillId="3" borderId="3" xfId="0" applyNumberFormat="1" applyFont="1" applyFill="1" applyBorder="1"/>
    <xf numFmtId="0" fontId="5" fillId="0" borderId="3" xfId="0" applyFont="1" applyBorder="1" applyAlignment="1">
      <alignment horizontal="left"/>
    </xf>
    <xf numFmtId="176" fontId="5" fillId="0" borderId="3" xfId="2" applyFont="1" applyBorder="1" applyAlignment="1">
      <alignment horizontal="left"/>
    </xf>
    <xf numFmtId="0" fontId="1" fillId="3" borderId="3" xfId="0" applyFont="1" applyFill="1" applyBorder="1"/>
    <xf numFmtId="4" fontId="1" fillId="3" borderId="3" xfId="0" applyNumberFormat="1" applyFont="1" applyFill="1" applyBorder="1"/>
    <xf numFmtId="4" fontId="1" fillId="2" borderId="3" xfId="0" applyNumberFormat="1" applyFont="1" applyFill="1" applyBorder="1"/>
    <xf numFmtId="0" fontId="2" fillId="2" borderId="0" xfId="0" applyFont="1" applyFill="1"/>
    <xf numFmtId="4" fontId="3" fillId="0" borderId="3" xfId="0" applyNumberFormat="1" applyFont="1" applyBorder="1"/>
    <xf numFmtId="0" fontId="2" fillId="2" borderId="2" xfId="0" applyFont="1" applyFill="1" applyBorder="1" applyAlignment="1">
      <alignment wrapText="1"/>
    </xf>
    <xf numFmtId="0" fontId="1" fillId="3" borderId="3" xfId="0" applyFont="1" applyFill="1" applyBorder="1" applyAlignment="1">
      <alignment horizontal="right"/>
    </xf>
    <xf numFmtId="0" fontId="10" fillId="4" borderId="3" xfId="0" applyFont="1" applyFill="1" applyBorder="1"/>
    <xf numFmtId="3" fontId="10" fillId="4" borderId="3" xfId="0" applyNumberFormat="1" applyFont="1" applyFill="1" applyBorder="1"/>
    <xf numFmtId="0" fontId="2" fillId="4" borderId="3" xfId="0" applyFont="1" applyFill="1" applyBorder="1"/>
    <xf numFmtId="3" fontId="2" fillId="4" borderId="3" xfId="0" applyNumberFormat="1" applyFont="1" applyFill="1" applyBorder="1"/>
    <xf numFmtId="0" fontId="2" fillId="2" borderId="3" xfId="32" applyFont="1" applyFill="1" applyBorder="1" applyAlignment="1">
      <alignment vertical="center" wrapText="1"/>
    </xf>
    <xf numFmtId="0" fontId="10" fillId="4" borderId="3" xfId="0" applyFont="1" applyFill="1" applyBorder="1" applyAlignment="1">
      <alignment horizontal="right"/>
    </xf>
    <xf numFmtId="3" fontId="10" fillId="4" borderId="3" xfId="0" applyNumberFormat="1" applyFont="1" applyFill="1" applyBorder="1" applyAlignment="1">
      <alignment horizontal="right"/>
    </xf>
    <xf numFmtId="0" fontId="10" fillId="2" borderId="3" xfId="0" applyFont="1" applyFill="1" applyBorder="1"/>
    <xf numFmtId="3" fontId="10" fillId="2" borderId="3" xfId="0" applyNumberFormat="1" applyFont="1" applyFill="1" applyBorder="1"/>
    <xf numFmtId="0" fontId="2" fillId="2" borderId="2" xfId="0" applyFont="1" applyFill="1" applyBorder="1"/>
    <xf numFmtId="176" fontId="2" fillId="2" borderId="3" xfId="2" applyFont="1" applyFill="1" applyBorder="1"/>
    <xf numFmtId="3" fontId="3" fillId="0" borderId="3" xfId="0" applyNumberFormat="1" applyFont="1" applyBorder="1"/>
    <xf numFmtId="3" fontId="10" fillId="2" borderId="3" xfId="0" applyNumberFormat="1" applyFont="1" applyFill="1" applyBorder="1" applyAlignment="1">
      <alignment horizontal="right"/>
    </xf>
    <xf numFmtId="0" fontId="10" fillId="2" borderId="3" xfId="0" applyFont="1" applyFill="1" applyBorder="1" applyAlignment="1">
      <alignment horizontal="right"/>
    </xf>
    <xf numFmtId="4" fontId="2" fillId="4" borderId="3" xfId="0" applyNumberFormat="1" applyFont="1" applyFill="1" applyBorder="1"/>
    <xf numFmtId="4" fontId="10" fillId="4" borderId="3" xfId="0" applyNumberFormat="1" applyFont="1" applyFill="1" applyBorder="1"/>
    <xf numFmtId="4" fontId="3" fillId="0" borderId="3" xfId="0" applyNumberFormat="1" applyFont="1" applyFill="1" applyBorder="1" applyAlignment="1">
      <alignment horizontal="right"/>
    </xf>
    <xf numFmtId="0" fontId="2" fillId="2" borderId="3" xfId="0" applyFont="1" applyFill="1" applyBorder="1" applyAlignment="1">
      <alignment vertical="center" wrapText="1"/>
    </xf>
    <xf numFmtId="176" fontId="5" fillId="2" borderId="3" xfId="2" applyFont="1" applyFill="1" applyBorder="1" applyAlignment="1">
      <alignment horizontal="left"/>
    </xf>
    <xf numFmtId="4" fontId="5" fillId="2" borderId="3" xfId="0" applyNumberFormat="1" applyFont="1" applyFill="1" applyBorder="1" applyAlignment="1"/>
    <xf numFmtId="0" fontId="5" fillId="2" borderId="3" xfId="0" applyFont="1" applyFill="1" applyBorder="1" applyAlignment="1">
      <alignment horizontal="left" wrapText="1"/>
    </xf>
    <xf numFmtId="0" fontId="11" fillId="0" borderId="3" xfId="0" applyFont="1" applyBorder="1" applyAlignment="1">
      <alignment wrapText="1"/>
    </xf>
    <xf numFmtId="176" fontId="11" fillId="0" borderId="3" xfId="2" applyFont="1" applyBorder="1" applyAlignment="1">
      <alignment horizontal="left"/>
    </xf>
    <xf numFmtId="4" fontId="11" fillId="0" borderId="3" xfId="0" applyNumberFormat="1" applyFont="1" applyBorder="1" applyAlignment="1"/>
    <xf numFmtId="4" fontId="5" fillId="0" borderId="3" xfId="0" applyNumberFormat="1" applyFont="1" applyBorder="1" applyAlignment="1">
      <alignment horizontal="left"/>
    </xf>
    <xf numFmtId="0" fontId="3" fillId="4" borderId="3" xfId="0" applyFont="1" applyFill="1" applyBorder="1"/>
    <xf numFmtId="3" fontId="3" fillId="4" borderId="3" xfId="0" applyNumberFormat="1" applyFont="1" applyFill="1" applyBorder="1"/>
    <xf numFmtId="0" fontId="1" fillId="2" borderId="3" xfId="0" applyFont="1" applyFill="1" applyBorder="1" applyAlignment="1"/>
    <xf numFmtId="0" fontId="2" fillId="2" borderId="3" xfId="0" applyFont="1" applyFill="1" applyBorder="1" applyAlignment="1">
      <alignment horizontal="left" vertical="top" wrapText="1"/>
    </xf>
    <xf numFmtId="3" fontId="2" fillId="0" borderId="3" xfId="0" applyNumberFormat="1" applyFont="1" applyBorder="1" applyAlignment="1">
      <alignment vertical="center" wrapText="1"/>
    </xf>
    <xf numFmtId="176" fontId="2" fillId="0" borderId="3" xfId="2" applyFont="1" applyBorder="1" applyAlignment="1">
      <alignment horizontal="left"/>
    </xf>
    <xf numFmtId="0" fontId="0" fillId="0" borderId="2" xfId="0" applyFill="1" applyBorder="1"/>
    <xf numFmtId="4" fontId="1" fillId="3" borderId="3" xfId="0" applyNumberFormat="1" applyFont="1" applyFill="1" applyBorder="1" applyAlignment="1">
      <alignment horizontal="right"/>
    </xf>
    <xf numFmtId="3" fontId="2" fillId="0" borderId="0" xfId="0" applyNumberFormat="1" applyFont="1" applyBorder="1"/>
    <xf numFmtId="0" fontId="12" fillId="0" borderId="3" xfId="0" applyFont="1" applyBorder="1"/>
    <xf numFmtId="4" fontId="2" fillId="0" borderId="3" xfId="0" applyNumberFormat="1" applyFont="1" applyFill="1" applyBorder="1" applyAlignment="1">
      <alignment horizontal="right"/>
    </xf>
    <xf numFmtId="0" fontId="13" fillId="4" borderId="3" xfId="0" applyFont="1" applyFill="1" applyBorder="1"/>
    <xf numFmtId="0" fontId="6" fillId="2" borderId="3" xfId="0" applyFont="1" applyFill="1" applyBorder="1"/>
    <xf numFmtId="3" fontId="2" fillId="2" borderId="3" xfId="0" applyNumberFormat="1" applyFont="1" applyFill="1" applyBorder="1" applyAlignment="1"/>
    <xf numFmtId="4" fontId="2" fillId="0" borderId="3" xfId="0" applyNumberFormat="1" applyFont="1" applyBorder="1" applyAlignment="1">
      <alignment horizontal="left" wrapText="1"/>
    </xf>
    <xf numFmtId="0" fontId="14" fillId="0" borderId="0" xfId="0" applyFont="1"/>
    <xf numFmtId="0" fontId="0" fillId="0" borderId="0" xfId="0" applyFont="1"/>
    <xf numFmtId="3" fontId="1" fillId="0" borderId="0" xfId="0" applyNumberFormat="1" applyFont="1"/>
    <xf numFmtId="0" fontId="15" fillId="0" borderId="3" xfId="0" applyFont="1" applyBorder="1"/>
    <xf numFmtId="176" fontId="2" fillId="0" borderId="3" xfId="2" applyFont="1" applyBorder="1" applyAlignment="1">
      <alignment horizontal="right" vertical="center" wrapText="1"/>
    </xf>
    <xf numFmtId="0" fontId="5" fillId="0" borderId="3" xfId="0" applyFont="1" applyBorder="1" applyAlignment="1">
      <alignment horizontal="left" vertical="center" wrapText="1"/>
    </xf>
    <xf numFmtId="176" fontId="2" fillId="0" borderId="3" xfId="2" applyNumberFormat="1" applyFont="1" applyBorder="1" applyAlignment="1">
      <alignment horizontal="right" vertical="center" wrapText="1"/>
    </xf>
    <xf numFmtId="3" fontId="2" fillId="0" borderId="3" xfId="0" applyNumberFormat="1" applyFont="1" applyBorder="1" applyAlignment="1">
      <alignment horizontal="left" vertical="center"/>
    </xf>
    <xf numFmtId="0" fontId="2" fillId="0" borderId="3" xfId="0" applyFont="1" applyFill="1" applyBorder="1" applyAlignment="1">
      <alignment horizontal="left" vertical="center"/>
    </xf>
    <xf numFmtId="0" fontId="2" fillId="0" borderId="3" xfId="0" applyFont="1" applyFill="1" applyBorder="1" applyAlignment="1">
      <alignment horizontal="right" vertical="center"/>
    </xf>
    <xf numFmtId="180" fontId="2" fillId="0" borderId="3" xfId="2" applyNumberFormat="1" applyFont="1" applyBorder="1" applyAlignment="1">
      <alignment horizontal="right" vertical="center" wrapText="1"/>
    </xf>
    <xf numFmtId="0" fontId="16" fillId="0" borderId="4" xfId="0" applyFont="1" applyFill="1" applyBorder="1" applyAlignment="1">
      <alignment vertical="top"/>
    </xf>
    <xf numFmtId="0" fontId="5" fillId="0" borderId="4" xfId="0" applyFont="1" applyFill="1" applyBorder="1" applyAlignment="1">
      <alignment vertical="top" wrapText="1"/>
    </xf>
    <xf numFmtId="0" fontId="16" fillId="0" borderId="3" xfId="0" applyFont="1" applyFill="1" applyBorder="1" applyAlignment="1">
      <alignment vertical="top" wrapText="1"/>
    </xf>
    <xf numFmtId="0" fontId="16" fillId="0" borderId="3" xfId="0" applyFont="1" applyFill="1" applyBorder="1" applyAlignment="1">
      <alignment horizontal="left" vertical="top" wrapText="1"/>
    </xf>
    <xf numFmtId="0" fontId="5" fillId="0" borderId="4" xfId="0" applyFont="1" applyFill="1" applyBorder="1" applyAlignment="1">
      <alignment wrapText="1"/>
    </xf>
    <xf numFmtId="0" fontId="5" fillId="0" borderId="3" xfId="0" applyFont="1" applyBorder="1" applyAlignment="1">
      <alignment vertical="top" wrapText="1"/>
    </xf>
    <xf numFmtId="0" fontId="5" fillId="0" borderId="3" xfId="0" applyFont="1" applyBorder="1" applyAlignment="1">
      <alignment horizontal="left" vertical="top" wrapText="1"/>
    </xf>
    <xf numFmtId="176" fontId="5" fillId="0" borderId="3" xfId="2" applyFont="1" applyBorder="1" applyAlignment="1">
      <alignment horizontal="left" vertical="top" wrapText="1"/>
    </xf>
    <xf numFmtId="0" fontId="3" fillId="0" borderId="4" xfId="0" applyFont="1" applyBorder="1" applyAlignment="1">
      <alignment vertical="top" wrapText="1"/>
    </xf>
    <xf numFmtId="0" fontId="4" fillId="0" borderId="3" xfId="0" applyFont="1" applyBorder="1" applyAlignment="1">
      <alignment horizontal="right" wrapText="1"/>
    </xf>
    <xf numFmtId="176" fontId="2" fillId="0" borderId="3" xfId="2" applyFont="1" applyBorder="1" applyAlignment="1">
      <alignment horizontal="left" vertical="center" wrapText="1"/>
    </xf>
    <xf numFmtId="4" fontId="2" fillId="0" borderId="3" xfId="0" applyNumberFormat="1" applyFont="1" applyBorder="1" applyAlignment="1">
      <alignment vertical="center" wrapText="1"/>
    </xf>
    <xf numFmtId="176" fontId="2" fillId="0" borderId="3" xfId="2" applyFont="1" applyBorder="1" applyAlignment="1">
      <alignment vertical="center"/>
    </xf>
    <xf numFmtId="0" fontId="2" fillId="0" borderId="3" xfId="0" applyFont="1" applyBorder="1" applyAlignment="1">
      <alignment horizontal="center" vertical="center"/>
    </xf>
    <xf numFmtId="0" fontId="2" fillId="2" borderId="3" xfId="0" applyFont="1" applyFill="1" applyBorder="1" applyAlignment="1"/>
    <xf numFmtId="0" fontId="2" fillId="2" borderId="3" xfId="0" applyFont="1" applyFill="1" applyBorder="1" applyAlignment="1">
      <alignment horizontal="left" vertical="center" wrapText="1"/>
    </xf>
    <xf numFmtId="176" fontId="2" fillId="2" borderId="3" xfId="2" applyFont="1" applyFill="1" applyBorder="1" applyAlignment="1">
      <alignment horizontal="left" wrapText="1"/>
    </xf>
    <xf numFmtId="176" fontId="2" fillId="0" borderId="3" xfId="2" applyFont="1" applyBorder="1" applyAlignment="1">
      <alignment horizontal="left" wrapText="1"/>
    </xf>
    <xf numFmtId="176" fontId="5" fillId="0" borderId="3" xfId="2" applyFont="1" applyBorder="1" applyAlignment="1">
      <alignment horizontal="left" wrapText="1"/>
    </xf>
    <xf numFmtId="180" fontId="2" fillId="0" borderId="3" xfId="2" applyNumberFormat="1" applyFont="1" applyBorder="1" applyAlignment="1">
      <alignment horizontal="right" vertical="center"/>
    </xf>
    <xf numFmtId="0" fontId="4" fillId="2" borderId="3" xfId="0" applyFont="1" applyFill="1" applyBorder="1" applyAlignment="1">
      <alignment horizontal="left"/>
    </xf>
    <xf numFmtId="180" fontId="2" fillId="2" borderId="3" xfId="2" applyNumberFormat="1" applyFont="1" applyFill="1" applyBorder="1" applyAlignment="1">
      <alignment horizontal="right" wrapText="1"/>
    </xf>
    <xf numFmtId="4" fontId="5" fillId="2" borderId="3" xfId="0" applyNumberFormat="1" applyFont="1" applyFill="1" applyBorder="1" applyAlignment="1">
      <alignment horizontal="right"/>
    </xf>
    <xf numFmtId="0" fontId="5" fillId="2" borderId="3" xfId="0" applyFont="1" applyFill="1" applyBorder="1" applyAlignment="1">
      <alignment horizontal="right" wrapText="1"/>
    </xf>
    <xf numFmtId="0" fontId="3" fillId="0" borderId="3" xfId="0" applyFont="1" applyFill="1" applyBorder="1"/>
    <xf numFmtId="4" fontId="3" fillId="0" borderId="3" xfId="0" applyNumberFormat="1" applyFont="1" applyFill="1" applyBorder="1"/>
    <xf numFmtId="176" fontId="2" fillId="2" borderId="3" xfId="0" applyNumberFormat="1" applyFont="1" applyFill="1" applyBorder="1" applyAlignment="1"/>
    <xf numFmtId="0" fontId="17" fillId="0" borderId="3" xfId="0" applyFont="1" applyBorder="1"/>
    <xf numFmtId="4" fontId="17" fillId="0" borderId="3" xfId="0" applyNumberFormat="1" applyFont="1" applyBorder="1"/>
    <xf numFmtId="4" fontId="2" fillId="0" borderId="3" xfId="0" applyNumberFormat="1" applyFont="1" applyBorder="1" applyAlignment="1">
      <alignment horizontal="left"/>
    </xf>
    <xf numFmtId="3" fontId="4" fillId="2" borderId="3" xfId="0" applyNumberFormat="1" applyFont="1" applyFill="1" applyBorder="1" applyAlignment="1">
      <alignment horizontal="right"/>
    </xf>
    <xf numFmtId="0" fontId="2" fillId="0" borderId="2" xfId="0" applyFont="1" applyFill="1" applyBorder="1"/>
    <xf numFmtId="0" fontId="3" fillId="0" borderId="0" xfId="0" applyFont="1"/>
    <xf numFmtId="0" fontId="3" fillId="0" borderId="0" xfId="0" applyFont="1" applyAlignment="1">
      <alignment horizontal="left"/>
    </xf>
    <xf numFmtId="0" fontId="2" fillId="0" borderId="0" xfId="0" applyFont="1" applyBorder="1" applyAlignment="1">
      <alignment horizontal="left" vertical="center" wrapText="1"/>
    </xf>
    <xf numFmtId="0" fontId="3" fillId="0" borderId="0" xfId="0" applyFont="1" applyBorder="1" applyAlignment="1">
      <alignment horizontal="left" vertical="center" wrapText="1"/>
    </xf>
    <xf numFmtId="176" fontId="3" fillId="0" borderId="3" xfId="2" applyFont="1" applyBorder="1" applyAlignment="1">
      <alignment vertical="center" wrapText="1"/>
    </xf>
    <xf numFmtId="0" fontId="3" fillId="0" borderId="3" xfId="0" applyFont="1" applyFill="1" applyBorder="1" applyAlignment="1">
      <alignment horizontal="right"/>
    </xf>
    <xf numFmtId="3" fontId="3" fillId="0" borderId="0" xfId="0" applyNumberFormat="1" applyFont="1"/>
    <xf numFmtId="178" fontId="2" fillId="0" borderId="3" xfId="2" applyNumberFormat="1" applyFont="1" applyBorder="1"/>
    <xf numFmtId="0" fontId="3" fillId="0" borderId="0" xfId="0" applyFont="1" applyAlignment="1">
      <alignment wrapText="1"/>
    </xf>
    <xf numFmtId="0" fontId="2" fillId="0" borderId="0" xfId="0" applyFont="1" applyAlignment="1">
      <alignment wrapText="1"/>
    </xf>
    <xf numFmtId="0" fontId="18" fillId="0" borderId="3" xfId="0" applyFont="1" applyBorder="1" applyAlignment="1">
      <alignment wrapText="1"/>
    </xf>
    <xf numFmtId="0" fontId="18" fillId="0" borderId="3" xfId="0" applyFont="1" applyBorder="1" applyAlignment="1">
      <alignment horizontal="center" wrapText="1"/>
    </xf>
    <xf numFmtId="0" fontId="3" fillId="0" borderId="3" xfId="0" applyFont="1" applyBorder="1" applyAlignment="1">
      <alignment wrapText="1"/>
    </xf>
    <xf numFmtId="178" fontId="3" fillId="0" borderId="3" xfId="2" applyNumberFormat="1" applyFont="1" applyBorder="1"/>
    <xf numFmtId="4" fontId="2" fillId="0" borderId="3" xfId="0" applyNumberFormat="1" applyFont="1" applyBorder="1" applyAlignment="1">
      <alignment horizontal="left" vertical="top"/>
    </xf>
    <xf numFmtId="176" fontId="2" fillId="0" borderId="3" xfId="2" applyNumberFormat="1" applyFont="1" applyBorder="1" applyAlignment="1">
      <alignment horizontal="left" vertical="top" wrapText="1"/>
    </xf>
    <xf numFmtId="4" fontId="2" fillId="0" borderId="3" xfId="0" applyNumberFormat="1" applyFont="1" applyBorder="1"/>
    <xf numFmtId="0" fontId="18" fillId="0" borderId="3" xfId="0" applyFont="1" applyBorder="1" applyAlignment="1">
      <alignment horizontal="right"/>
    </xf>
    <xf numFmtId="0" fontId="2" fillId="0" borderId="8" xfId="0" applyFont="1" applyBorder="1" applyAlignment="1">
      <alignment horizontal="right"/>
    </xf>
    <xf numFmtId="4" fontId="2" fillId="0" borderId="0" xfId="0" applyNumberFormat="1" applyFont="1"/>
    <xf numFmtId="0" fontId="19" fillId="0" borderId="0" xfId="0" applyFont="1"/>
    <xf numFmtId="3" fontId="2" fillId="0" borderId="0" xfId="0" applyNumberFormat="1" applyFont="1"/>
    <xf numFmtId="176" fontId="2" fillId="0" borderId="0" xfId="2" applyFont="1"/>
    <xf numFmtId="176" fontId="3" fillId="0" borderId="0" xfId="2" applyFont="1"/>
    <xf numFmtId="4" fontId="1" fillId="0" borderId="0" xfId="0" applyNumberFormat="1" applyFont="1"/>
    <xf numFmtId="4" fontId="0" fillId="0" borderId="0" xfId="0" applyNumberFormat="1"/>
    <xf numFmtId="3" fontId="19" fillId="0" borderId="0" xfId="0" applyNumberFormat="1" applyFont="1"/>
    <xf numFmtId="4" fontId="19" fillId="0" borderId="0" xfId="0" applyNumberFormat="1" applyFont="1"/>
    <xf numFmtId="0" fontId="14" fillId="0" borderId="3" xfId="0" applyFont="1" applyBorder="1"/>
    <xf numFmtId="0" fontId="0" fillId="0" borderId="3" xfId="0" applyBorder="1" applyAlignment="1">
      <alignment wrapText="1"/>
    </xf>
    <xf numFmtId="0" fontId="0" fillId="0" borderId="3" xfId="0" applyBorder="1" applyAlignment="1">
      <alignment horizontal="right"/>
    </xf>
    <xf numFmtId="176" fontId="14" fillId="0" borderId="3" xfId="2" applyFont="1" applyBorder="1"/>
    <xf numFmtId="176" fontId="0" fillId="0" borderId="3" xfId="2" applyFont="1" applyBorder="1"/>
    <xf numFmtId="0" fontId="20" fillId="0" borderId="3" xfId="0" applyFont="1" applyBorder="1" applyAlignment="1">
      <alignment vertical="center" wrapText="1"/>
    </xf>
    <xf numFmtId="0" fontId="20" fillId="0" borderId="3" xfId="0" applyFont="1" applyBorder="1" applyAlignment="1">
      <alignment horizontal="right" vertical="center" wrapText="1"/>
    </xf>
    <xf numFmtId="0" fontId="0" fillId="0" borderId="3" xfId="0" applyFill="1" applyBorder="1"/>
    <xf numFmtId="3" fontId="20" fillId="0" borderId="3" xfId="0" applyNumberFormat="1" applyFont="1" applyBorder="1" applyAlignment="1">
      <alignment vertical="center" wrapText="1"/>
    </xf>
    <xf numFmtId="0" fontId="0" fillId="0" borderId="3" xfId="0" applyBorder="1" applyAlignment="1">
      <alignment vertical="center" wrapText="1"/>
    </xf>
    <xf numFmtId="0" fontId="0" fillId="0" borderId="3" xfId="0" applyBorder="1" applyAlignment="1">
      <alignment horizontal="right" vertical="center" wrapText="1"/>
    </xf>
    <xf numFmtId="4" fontId="0" fillId="2" borderId="3" xfId="0" applyNumberFormat="1" applyFont="1" applyFill="1" applyBorder="1"/>
    <xf numFmtId="0" fontId="21" fillId="2" borderId="3" xfId="0" applyFont="1" applyFill="1" applyBorder="1" applyAlignment="1">
      <alignment horizontal="right"/>
    </xf>
    <xf numFmtId="3" fontId="0" fillId="0" borderId="3" xfId="0" applyNumberFormat="1" applyBorder="1"/>
    <xf numFmtId="0" fontId="22" fillId="0" borderId="3" xfId="0" applyFont="1" applyBorder="1" applyAlignment="1">
      <alignment horizontal="right"/>
    </xf>
    <xf numFmtId="0" fontId="1" fillId="0" borderId="3" xfId="0" applyFont="1" applyBorder="1" applyAlignment="1">
      <alignment vertical="center" wrapText="1"/>
    </xf>
    <xf numFmtId="0" fontId="23" fillId="0" borderId="3" xfId="0" applyFont="1" applyBorder="1"/>
    <xf numFmtId="0" fontId="23" fillId="0" borderId="3" xfId="0" applyFont="1" applyBorder="1" applyAlignment="1">
      <alignment horizontal="right"/>
    </xf>
    <xf numFmtId="176" fontId="14" fillId="0" borderId="3" xfId="0" applyNumberFormat="1" applyFont="1" applyBorder="1"/>
    <xf numFmtId="178" fontId="0" fillId="0" borderId="3" xfId="2" applyNumberFormat="1" applyFont="1" applyBorder="1" applyAlignment="1">
      <alignment horizontal="right"/>
    </xf>
    <xf numFmtId="0" fontId="0" fillId="0" borderId="3" xfId="2" applyNumberFormat="1" applyFont="1" applyBorder="1"/>
    <xf numFmtId="0" fontId="1" fillId="0" borderId="3" xfId="0" applyFont="1" applyBorder="1" applyAlignment="1">
      <alignment vertical="top" wrapText="1"/>
    </xf>
    <xf numFmtId="0" fontId="24" fillId="2" borderId="3" xfId="0" applyFont="1" applyFill="1" applyBorder="1" applyAlignment="1">
      <alignment vertical="center" wrapText="1"/>
    </xf>
    <xf numFmtId="0" fontId="25" fillId="0" borderId="3" xfId="0" applyFont="1" applyBorder="1" applyAlignment="1">
      <alignment horizontal="right" vertical="top" wrapText="1"/>
    </xf>
    <xf numFmtId="10" fontId="0" fillId="2" borderId="3" xfId="6" applyNumberFormat="1" applyFont="1" applyFill="1" applyBorder="1"/>
    <xf numFmtId="0" fontId="21" fillId="2" borderId="3" xfId="0" applyFont="1" applyFill="1" applyBorder="1"/>
    <xf numFmtId="179" fontId="24" fillId="2" borderId="3" xfId="2" applyNumberFormat="1" applyFont="1" applyFill="1" applyBorder="1" applyAlignment="1">
      <alignment horizontal="right" wrapText="1"/>
    </xf>
    <xf numFmtId="0" fontId="25" fillId="0" borderId="3" xfId="0" applyFont="1" applyBorder="1" applyAlignment="1">
      <alignment horizontal="center" vertical="top" wrapText="1"/>
    </xf>
    <xf numFmtId="0" fontId="26" fillId="0" borderId="3" xfId="0" applyFont="1" applyBorder="1"/>
    <xf numFmtId="0" fontId="27" fillId="2" borderId="3" xfId="0" applyFont="1" applyFill="1" applyBorder="1"/>
    <xf numFmtId="0" fontId="1" fillId="2" borderId="3" xfId="0" applyFont="1" applyFill="1" applyBorder="1" applyAlignment="1">
      <alignment wrapText="1"/>
    </xf>
    <xf numFmtId="0" fontId="27" fillId="2" borderId="3" xfId="0" applyFont="1" applyFill="1" applyBorder="1" applyAlignment="1">
      <alignment wrapText="1"/>
    </xf>
    <xf numFmtId="0" fontId="28" fillId="2" borderId="3" xfId="0" applyFont="1" applyFill="1" applyBorder="1"/>
    <xf numFmtId="0" fontId="0" fillId="2" borderId="3" xfId="0" applyFont="1" applyFill="1" applyBorder="1"/>
    <xf numFmtId="0" fontId="0" fillId="0" borderId="3" xfId="0" applyFont="1" applyFill="1" applyBorder="1"/>
    <xf numFmtId="4" fontId="0" fillId="0" borderId="3" xfId="0" applyNumberFormat="1" applyFont="1" applyFill="1" applyBorder="1"/>
    <xf numFmtId="4" fontId="0" fillId="3" borderId="3" xfId="0" applyNumberFormat="1" applyFont="1" applyFill="1" applyBorder="1"/>
    <xf numFmtId="0" fontId="29" fillId="0" borderId="3" xfId="0" applyFont="1" applyBorder="1"/>
    <xf numFmtId="0" fontId="17" fillId="0" borderId="3" xfId="0" applyFont="1" applyBorder="1" applyAlignment="1">
      <alignment vertical="center" wrapText="1"/>
    </xf>
    <xf numFmtId="0" fontId="0" fillId="0" borderId="3" xfId="0" applyNumberFormat="1" applyBorder="1"/>
    <xf numFmtId="0" fontId="0" fillId="0" borderId="3" xfId="0" applyFont="1" applyBorder="1" applyAlignment="1">
      <alignment vertical="center" wrapText="1"/>
    </xf>
    <xf numFmtId="3" fontId="0" fillId="0" borderId="3" xfId="0" applyNumberFormat="1" applyFont="1" applyBorder="1" applyAlignment="1">
      <alignment horizontal="right" vertical="center" wrapText="1"/>
    </xf>
    <xf numFmtId="0" fontId="0" fillId="0" borderId="3" xfId="0" applyFont="1" applyBorder="1"/>
    <xf numFmtId="0" fontId="0" fillId="0" borderId="3" xfId="0" applyFont="1" applyBorder="1" applyAlignment="1">
      <alignment horizontal="right"/>
    </xf>
    <xf numFmtId="0" fontId="0" fillId="0" borderId="3" xfId="0" applyFont="1" applyBorder="1" applyAlignment="1">
      <alignment horizontal="right" vertical="center" wrapText="1"/>
    </xf>
    <xf numFmtId="3" fontId="20" fillId="2" borderId="3" xfId="0" applyNumberFormat="1" applyFont="1" applyFill="1" applyBorder="1" applyAlignment="1">
      <alignment vertical="center" wrapText="1"/>
    </xf>
    <xf numFmtId="0" fontId="30" fillId="2" borderId="3" xfId="0" applyFont="1" applyFill="1" applyBorder="1"/>
    <xf numFmtId="0" fontId="31" fillId="2" borderId="3" xfId="0" applyFont="1" applyFill="1" applyBorder="1"/>
    <xf numFmtId="0" fontId="32" fillId="2" borderId="3" xfId="0" applyFont="1" applyFill="1" applyBorder="1"/>
    <xf numFmtId="0" fontId="0" fillId="2" borderId="3" xfId="0" applyFill="1" applyBorder="1"/>
    <xf numFmtId="0" fontId="20" fillId="0" borderId="3" xfId="0" applyFont="1" applyFill="1" applyBorder="1" applyAlignment="1">
      <alignment vertical="center" wrapText="1"/>
    </xf>
    <xf numFmtId="0" fontId="20" fillId="2" borderId="3" xfId="0" applyFont="1" applyFill="1" applyBorder="1" applyAlignment="1">
      <alignment wrapText="1"/>
    </xf>
    <xf numFmtId="0" fontId="33" fillId="0" borderId="3" xfId="0" applyFont="1" applyBorder="1" applyAlignment="1">
      <alignment vertical="center" wrapText="1"/>
    </xf>
    <xf numFmtId="0" fontId="0" fillId="2" borderId="3" xfId="0" applyFont="1" applyFill="1" applyBorder="1" applyAlignment="1">
      <alignment horizontal="right"/>
    </xf>
    <xf numFmtId="0" fontId="20" fillId="2" borderId="3" xfId="0" applyFont="1" applyFill="1" applyBorder="1" applyAlignment="1">
      <alignment vertical="center" wrapText="1"/>
    </xf>
    <xf numFmtId="3" fontId="0" fillId="0" borderId="3" xfId="0" applyNumberFormat="1" applyFont="1" applyBorder="1" applyAlignment="1">
      <alignment vertical="center" wrapText="1"/>
    </xf>
    <xf numFmtId="0" fontId="14" fillId="0" borderId="3" xfId="0" applyFont="1" applyBorder="1" applyAlignment="1">
      <alignment vertical="center" wrapText="1"/>
    </xf>
    <xf numFmtId="3" fontId="14" fillId="0" borderId="3" xfId="0" applyNumberFormat="1" applyFont="1" applyBorder="1" applyAlignment="1">
      <alignment horizontal="right" vertical="center" wrapText="1"/>
    </xf>
    <xf numFmtId="3" fontId="12" fillId="0" borderId="3" xfId="0" applyNumberFormat="1" applyFont="1" applyBorder="1" applyAlignment="1">
      <alignment vertical="center" wrapText="1"/>
    </xf>
    <xf numFmtId="0" fontId="24" fillId="2" borderId="3" xfId="0" applyFont="1" applyFill="1" applyBorder="1" applyAlignment="1">
      <alignment horizontal="right" vertical="center" wrapText="1"/>
    </xf>
    <xf numFmtId="3" fontId="24" fillId="2" borderId="3" xfId="0" applyNumberFormat="1" applyFont="1" applyFill="1" applyBorder="1" applyAlignment="1">
      <alignment vertical="center" wrapText="1"/>
    </xf>
    <xf numFmtId="0" fontId="24" fillId="2" borderId="3" xfId="0" applyFont="1" applyFill="1" applyBorder="1" applyAlignment="1">
      <alignment wrapText="1"/>
    </xf>
    <xf numFmtId="0" fontId="23" fillId="0" borderId="3" xfId="0" applyFont="1" applyFill="1" applyBorder="1" applyAlignment="1">
      <alignment horizontal="right"/>
    </xf>
    <xf numFmtId="0" fontId="34" fillId="2" borderId="3" xfId="0" applyFont="1" applyFill="1" applyBorder="1" applyAlignment="1">
      <alignment vertical="center" wrapText="1"/>
    </xf>
    <xf numFmtId="0" fontId="34" fillId="2" borderId="3" xfId="0" applyFont="1" applyFill="1" applyBorder="1" applyAlignment="1">
      <alignment horizontal="right" vertical="center" wrapText="1"/>
    </xf>
    <xf numFmtId="0" fontId="35" fillId="2" borderId="3" xfId="0" applyFont="1" applyFill="1" applyBorder="1"/>
    <xf numFmtId="176" fontId="34" fillId="2" borderId="3" xfId="2" applyFont="1" applyFill="1" applyBorder="1" applyAlignment="1">
      <alignment vertical="center" wrapText="1"/>
    </xf>
    <xf numFmtId="0" fontId="14" fillId="0" borderId="3" xfId="0" applyFont="1" applyBorder="1" applyAlignment="1">
      <alignment horizontal="right"/>
    </xf>
    <xf numFmtId="0" fontId="1" fillId="0" borderId="3" xfId="0" applyFont="1" applyFill="1" applyBorder="1" applyAlignment="1">
      <alignment vertical="center" wrapText="1"/>
    </xf>
    <xf numFmtId="4" fontId="14" fillId="3" borderId="3" xfId="0" applyNumberFormat="1" applyFont="1" applyFill="1" applyBorder="1"/>
    <xf numFmtId="0" fontId="36" fillId="0" borderId="3" xfId="0" applyFont="1" applyBorder="1" applyAlignment="1">
      <alignment horizontal="left" vertical="top"/>
    </xf>
    <xf numFmtId="0" fontId="22" fillId="0" borderId="3" xfId="0" applyFont="1" applyBorder="1" applyAlignment="1">
      <alignment vertical="top" wrapText="1"/>
    </xf>
    <xf numFmtId="0" fontId="22" fillId="0" borderId="3" xfId="0" applyFont="1" applyBorder="1"/>
    <xf numFmtId="176" fontId="22" fillId="0" borderId="3" xfId="2" applyFont="1" applyBorder="1"/>
    <xf numFmtId="0" fontId="37" fillId="0" borderId="3" xfId="0" applyFont="1" applyBorder="1" applyAlignment="1">
      <alignment vertical="top" wrapText="1"/>
    </xf>
    <xf numFmtId="176" fontId="37" fillId="0" borderId="3" xfId="2" applyFont="1" applyBorder="1"/>
    <xf numFmtId="3" fontId="14" fillId="0" borderId="3" xfId="0" applyNumberFormat="1" applyFont="1" applyBorder="1"/>
    <xf numFmtId="0" fontId="22" fillId="0" borderId="3" xfId="0" applyFont="1" applyBorder="1" applyAlignment="1">
      <alignment horizontal="right" vertical="top" wrapText="1"/>
    </xf>
    <xf numFmtId="0" fontId="22" fillId="2" borderId="3" xfId="0" applyFont="1" applyFill="1" applyBorder="1"/>
    <xf numFmtId="4" fontId="14" fillId="2" borderId="3" xfId="0" applyNumberFormat="1" applyFont="1" applyFill="1" applyBorder="1"/>
    <xf numFmtId="0" fontId="14" fillId="2" borderId="3" xfId="0" applyFont="1" applyFill="1" applyBorder="1"/>
    <xf numFmtId="0" fontId="14" fillId="0" borderId="3" xfId="0" applyFont="1" applyBorder="1" applyAlignment="1">
      <alignment horizontal="right" vertical="center" wrapText="1"/>
    </xf>
    <xf numFmtId="4" fontId="14" fillId="0" borderId="3" xfId="0" applyNumberFormat="1" applyFont="1" applyBorder="1" applyAlignment="1">
      <alignment horizontal="right" vertical="center" wrapText="1"/>
    </xf>
    <xf numFmtId="0" fontId="0" fillId="3" borderId="3" xfId="0" applyFont="1" applyFill="1" applyBorder="1"/>
    <xf numFmtId="0" fontId="0" fillId="0" borderId="3" xfId="0" applyFill="1" applyBorder="1" applyAlignment="1">
      <alignment wrapText="1"/>
    </xf>
    <xf numFmtId="176" fontId="0" fillId="0" borderId="3" xfId="2" applyFont="1" applyBorder="1" applyAlignment="1"/>
    <xf numFmtId="4" fontId="14" fillId="0" borderId="3" xfId="0" applyNumberFormat="1" applyFont="1" applyBorder="1"/>
    <xf numFmtId="0" fontId="1" fillId="0" borderId="3" xfId="32" applyFont="1" applyBorder="1" applyAlignment="1">
      <alignment vertical="center" wrapText="1"/>
    </xf>
    <xf numFmtId="0" fontId="27" fillId="0" borderId="3" xfId="32" applyFont="1" applyBorder="1" applyAlignment="1">
      <alignment vertical="center" wrapText="1"/>
    </xf>
    <xf numFmtId="0" fontId="23" fillId="0" borderId="3" xfId="0" applyFont="1" applyBorder="1" applyAlignment="1">
      <alignment horizontal="right" vertical="center" wrapText="1"/>
    </xf>
    <xf numFmtId="0" fontId="0" fillId="0" borderId="2" xfId="0" applyFont="1" applyFill="1" applyBorder="1"/>
    <xf numFmtId="4" fontId="0" fillId="0" borderId="2" xfId="0" applyNumberFormat="1" applyFont="1" applyFill="1" applyBorder="1"/>
    <xf numFmtId="0" fontId="21" fillId="2" borderId="2" xfId="0" applyFont="1" applyFill="1" applyBorder="1" applyAlignment="1">
      <alignment horizontal="right"/>
    </xf>
    <xf numFmtId="0" fontId="0" fillId="0" borderId="2" xfId="0" applyFill="1" applyBorder="1" applyAlignment="1">
      <alignment horizontal="right"/>
    </xf>
    <xf numFmtId="176" fontId="23" fillId="0" borderId="3" xfId="2" applyFont="1" applyBorder="1"/>
    <xf numFmtId="176" fontId="29" fillId="0" borderId="3" xfId="2" applyFont="1" applyBorder="1"/>
    <xf numFmtId="0" fontId="14" fillId="0" borderId="3" xfId="0" applyFont="1" applyFill="1" applyBorder="1"/>
    <xf numFmtId="4" fontId="14" fillId="0" borderId="3" xfId="0" applyNumberFormat="1" applyFont="1" applyFill="1" applyBorder="1"/>
    <xf numFmtId="0" fontId="21" fillId="2" borderId="2" xfId="0" applyFont="1" applyFill="1" applyBorder="1"/>
    <xf numFmtId="3" fontId="1" fillId="0" borderId="3" xfId="0" applyNumberFormat="1" applyFont="1" applyBorder="1" applyAlignment="1">
      <alignment vertical="center" wrapText="1"/>
    </xf>
    <xf numFmtId="3" fontId="22" fillId="0" borderId="3" xfId="0" applyNumberFormat="1" applyFont="1" applyBorder="1"/>
    <xf numFmtId="0" fontId="14" fillId="0" borderId="3" xfId="0" applyFont="1" applyBorder="1" applyAlignment="1">
      <alignment horizontal="left"/>
    </xf>
    <xf numFmtId="0" fontId="14" fillId="0" borderId="3" xfId="0" applyFont="1" applyBorder="1" applyAlignment="1">
      <alignment horizontal="center"/>
    </xf>
    <xf numFmtId="0" fontId="22" fillId="0" borderId="3" xfId="0" applyFont="1" applyBorder="1" applyAlignment="1">
      <alignment horizontal="center" vertical="center"/>
    </xf>
    <xf numFmtId="3" fontId="22" fillId="0" borderId="3" xfId="0" applyNumberFormat="1" applyFont="1" applyBorder="1" applyAlignment="1">
      <alignment vertical="center"/>
    </xf>
    <xf numFmtId="3" fontId="38" fillId="2" borderId="3" xfId="0" applyNumberFormat="1" applyFont="1" applyFill="1" applyBorder="1"/>
    <xf numFmtId="0" fontId="39" fillId="2" borderId="3" xfId="0" applyFont="1" applyFill="1" applyBorder="1"/>
    <xf numFmtId="0" fontId="14" fillId="0" borderId="0" xfId="0" applyFont="1" applyAlignment="1">
      <alignment horizontal="left"/>
    </xf>
    <xf numFmtId="0" fontId="1" fillId="0" borderId="3" xfId="0" applyFont="1" applyBorder="1" applyAlignment="1">
      <alignment horizontal="right" vertical="center" wrapText="1"/>
    </xf>
    <xf numFmtId="3" fontId="34" fillId="2" borderId="3" xfId="0" applyNumberFormat="1" applyFont="1" applyFill="1" applyBorder="1" applyAlignment="1">
      <alignment vertical="center" wrapText="1"/>
    </xf>
    <xf numFmtId="0" fontId="23" fillId="0" borderId="3" xfId="0" applyFont="1" applyBorder="1" applyAlignment="1">
      <alignment vertical="center" wrapText="1"/>
    </xf>
    <xf numFmtId="178" fontId="0" fillId="0" borderId="3" xfId="2" applyNumberFormat="1" applyFont="1" applyBorder="1"/>
    <xf numFmtId="0" fontId="0" fillId="0" borderId="3" xfId="0" applyBorder="1" applyAlignment="1"/>
    <xf numFmtId="0" fontId="14" fillId="0" borderId="3" xfId="0" applyFont="1" applyBorder="1" applyAlignment="1">
      <alignment wrapText="1"/>
    </xf>
    <xf numFmtId="178" fontId="14" fillId="0" borderId="3" xfId="2" applyNumberFormat="1" applyFont="1" applyBorder="1"/>
    <xf numFmtId="178" fontId="14" fillId="0" borderId="3" xfId="0" applyNumberFormat="1" applyFont="1" applyBorder="1"/>
    <xf numFmtId="0" fontId="14" fillId="0" borderId="3" xfId="0" applyFont="1" applyBorder="1" applyAlignment="1"/>
    <xf numFmtId="176" fontId="0" fillId="0" borderId="0" xfId="2" applyFont="1"/>
    <xf numFmtId="176" fontId="14" fillId="0" borderId="0" xfId="2" applyFont="1"/>
  </cellXfs>
  <cellStyles count="50">
    <cellStyle name="Normal" xfId="0" builtinId="0"/>
    <cellStyle name="40% - Accent1" xfId="1" builtinId="31"/>
    <cellStyle name="Comma" xfId="2" builtinId="3"/>
    <cellStyle name="Comma [0]" xfId="3" builtinId="6"/>
    <cellStyle name="Currency [0]" xfId="4" builtinId="7"/>
    <cellStyle name="Currency" xfId="5" builtinId="4"/>
    <cellStyle name="Percent" xfId="6" builtinId="5"/>
    <cellStyle name="Hyperlink" xfId="7" builtinId="8"/>
    <cellStyle name="60% - Accent4" xfId="8" builtinId="44"/>
    <cellStyle name="Followed Hyperlink" xfId="9" builtinId="9"/>
    <cellStyle name="Check Cell" xfId="10" builtinId="23"/>
    <cellStyle name="Heading 2" xfId="11" builtinId="17"/>
    <cellStyle name="Note" xfId="12" builtinId="10"/>
    <cellStyle name="40% - Accent3" xfId="13" builtinId="39"/>
    <cellStyle name="Warning Text" xfId="14" builtinId="11"/>
    <cellStyle name="40% - Accent2" xfId="15" builtinId="35"/>
    <cellStyle name="Title" xfId="16" builtinId="15"/>
    <cellStyle name="CExplanatory Text" xfId="17" builtinId="53"/>
    <cellStyle name="Heading 1" xfId="18" builtinId="16"/>
    <cellStyle name="Heading 3" xfId="19" builtinId="18"/>
    <cellStyle name="Heading 4" xfId="20" builtinId="19"/>
    <cellStyle name="Input" xfId="21" builtinId="20"/>
    <cellStyle name="60% - Accent3" xfId="22" builtinId="40"/>
    <cellStyle name="Good" xfId="23" builtinId="26"/>
    <cellStyle name="Output" xfId="24" builtinId="21"/>
    <cellStyle name="20% - Accent1" xfId="25" builtinId="30"/>
    <cellStyle name="Calculation" xfId="26" builtinId="22"/>
    <cellStyle name="Linked Cell" xfId="27" builtinId="24"/>
    <cellStyle name="Total" xfId="28" builtinId="25"/>
    <cellStyle name="Bad" xfId="29" builtinId="27"/>
    <cellStyle name="Neutral" xfId="30" builtinId="28"/>
    <cellStyle name="Accent1" xfId="31" builtinId="29"/>
    <cellStyle name="Normal 2" xfId="32"/>
    <cellStyle name="20% - Accent5" xfId="33" builtinId="46"/>
    <cellStyle name="60% - Accent1" xfId="34" builtinId="32"/>
    <cellStyle name="Accent2" xfId="35" builtinId="33"/>
    <cellStyle name="20% - Accent2" xfId="36" builtinId="34"/>
    <cellStyle name="20% - Accent6" xfId="37" builtinId="50"/>
    <cellStyle name="60% - Accent2" xfId="38" builtinId="36"/>
    <cellStyle name="Accent3" xfId="39" builtinId="37"/>
    <cellStyle name="20% - Accent3" xfId="40" builtinId="38"/>
    <cellStyle name="Accent4" xfId="41" builtinId="41"/>
    <cellStyle name="20% - Accent4" xfId="42" builtinId="42"/>
    <cellStyle name="40% - Accent4" xfId="43" builtinId="43"/>
    <cellStyle name="Accent5" xfId="44" builtinId="45"/>
    <cellStyle name="40% - Accent5" xfId="45" builtinId="47"/>
    <cellStyle name="60% - Accent5" xfId="46" builtinId="48"/>
    <cellStyle name="Accent6" xfId="47" builtinId="49"/>
    <cellStyle name="40% - Accent6" xfId="48" builtinId="51"/>
    <cellStyle name="60% - Accent6" xfId="49" builtinId="52"/>
  </cellStyles>
  <tableStyles count="0" defaultTableStyle="TableStyleMedium2" defaultPivotStyle="PivotStyleLight16"/>
  <colors>
    <mruColors>
      <color rgb="00FFFFFF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801"/>
  <sheetViews>
    <sheetView topLeftCell="A748" workbookViewId="0">
      <selection activeCell="E756" sqref="E756"/>
    </sheetView>
  </sheetViews>
  <sheetFormatPr defaultColWidth="9" defaultRowHeight="15"/>
  <cols>
    <col min="1" max="1" width="7.42857142857143" customWidth="1"/>
    <col min="2" max="2" width="35" customWidth="1"/>
    <col min="3" max="3" width="11.2857142857143" customWidth="1"/>
    <col min="4" max="4" width="18.8571428571429" customWidth="1"/>
    <col min="5" max="5" width="16.1428571428571" customWidth="1"/>
    <col min="6" max="6" width="17.4285714285714" customWidth="1"/>
    <col min="7" max="7" width="12.5714285714286" customWidth="1"/>
    <col min="8" max="8" width="10" customWidth="1"/>
    <col min="13" max="13" width="10.2857142857143" customWidth="1"/>
  </cols>
  <sheetData>
    <row r="1" ht="40.5" customHeight="1" spans="1:16">
      <c r="A1" s="1"/>
      <c r="B1" s="2" t="s">
        <v>0</v>
      </c>
      <c r="C1" s="3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3" t="s">
        <v>7</v>
      </c>
      <c r="J1" s="3" t="s">
        <v>8</v>
      </c>
      <c r="K1" s="3" t="s">
        <v>9</v>
      </c>
      <c r="L1" s="3" t="s">
        <v>10</v>
      </c>
      <c r="M1" s="64" t="s">
        <v>11</v>
      </c>
      <c r="N1" s="65"/>
      <c r="O1" s="65"/>
      <c r="P1" s="88"/>
    </row>
    <row r="2" ht="22.5" customHeight="1" spans="1:16">
      <c r="A2" s="1"/>
      <c r="B2" s="2"/>
      <c r="C2" s="3"/>
      <c r="D2" s="2"/>
      <c r="E2" s="2"/>
      <c r="F2" s="2"/>
      <c r="G2" s="2"/>
      <c r="H2" s="2"/>
      <c r="I2" s="3"/>
      <c r="J2" s="3"/>
      <c r="K2" s="3"/>
      <c r="L2" s="3"/>
      <c r="M2" s="64" t="s">
        <v>12</v>
      </c>
      <c r="N2" s="65" t="s">
        <v>13</v>
      </c>
      <c r="O2" s="65" t="s">
        <v>14</v>
      </c>
      <c r="P2" s="88" t="s">
        <v>15</v>
      </c>
    </row>
    <row r="3" spans="1:16">
      <c r="A3" s="115"/>
      <c r="B3" s="306" t="s">
        <v>16</v>
      </c>
      <c r="C3" s="115"/>
      <c r="D3" s="115"/>
      <c r="E3" s="115"/>
      <c r="F3" s="115"/>
      <c r="G3" s="115"/>
      <c r="H3" s="115"/>
      <c r="I3" s="115"/>
      <c r="J3" s="115"/>
      <c r="K3" s="115"/>
      <c r="L3" s="115"/>
      <c r="M3" s="115"/>
      <c r="N3" s="115"/>
      <c r="O3" s="115"/>
      <c r="P3" s="115"/>
    </row>
    <row r="4" ht="30" spans="1:16">
      <c r="A4" s="115">
        <v>1</v>
      </c>
      <c r="B4" s="307" t="s">
        <v>17</v>
      </c>
      <c r="C4" s="115">
        <v>10</v>
      </c>
      <c r="D4" s="115">
        <v>2000</v>
      </c>
      <c r="E4" s="115">
        <v>200000</v>
      </c>
      <c r="F4" s="308" t="s">
        <v>18</v>
      </c>
      <c r="G4" s="308" t="s">
        <v>19</v>
      </c>
      <c r="H4" s="308" t="s">
        <v>20</v>
      </c>
      <c r="I4" s="152" t="s">
        <v>21</v>
      </c>
      <c r="J4" s="152" t="s">
        <v>21</v>
      </c>
      <c r="K4" s="152" t="s">
        <v>21</v>
      </c>
      <c r="L4" s="152" t="s">
        <v>21</v>
      </c>
      <c r="M4" s="115"/>
      <c r="N4" s="115">
        <v>200000</v>
      </c>
      <c r="O4" s="115"/>
      <c r="P4" s="115"/>
    </row>
    <row r="5" spans="1:16">
      <c r="A5" s="115"/>
      <c r="B5" s="115"/>
      <c r="C5" s="115"/>
      <c r="D5" s="115"/>
      <c r="E5" s="115"/>
      <c r="F5" s="115"/>
      <c r="G5" s="115"/>
      <c r="H5" s="308" t="s">
        <v>20</v>
      </c>
      <c r="I5" s="115"/>
      <c r="J5" s="115"/>
      <c r="K5" s="115"/>
      <c r="L5" s="115"/>
      <c r="M5" s="115"/>
      <c r="N5" s="115"/>
      <c r="O5" s="115"/>
      <c r="P5" s="115"/>
    </row>
    <row r="6" spans="1:16">
      <c r="A6" s="115"/>
      <c r="B6" s="306" t="s">
        <v>22</v>
      </c>
      <c r="C6" s="115"/>
      <c r="D6" s="115"/>
      <c r="E6" s="309">
        <f>SUM(E4:E5)</f>
        <v>200000</v>
      </c>
      <c r="F6" s="115"/>
      <c r="G6" s="115"/>
      <c r="H6" s="308" t="s">
        <v>20</v>
      </c>
      <c r="I6" s="115"/>
      <c r="J6" s="115"/>
      <c r="K6" s="115"/>
      <c r="L6" s="115"/>
      <c r="M6" s="115"/>
      <c r="N6" s="115"/>
      <c r="O6" s="115"/>
      <c r="P6" s="115"/>
    </row>
    <row r="7" spans="1:16">
      <c r="A7" s="115"/>
      <c r="B7" s="115"/>
      <c r="C7" s="115"/>
      <c r="D7" s="115"/>
      <c r="E7" s="115"/>
      <c r="F7" s="115"/>
      <c r="G7" s="115"/>
      <c r="H7" s="308"/>
      <c r="I7" s="115"/>
      <c r="J7" s="115"/>
      <c r="K7" s="115"/>
      <c r="L7" s="115"/>
      <c r="M7" s="115"/>
      <c r="N7" s="115"/>
      <c r="O7" s="115"/>
      <c r="P7" s="115"/>
    </row>
    <row r="8" spans="1:16">
      <c r="A8" s="306" t="s">
        <v>23</v>
      </c>
      <c r="B8" s="115"/>
      <c r="C8" s="115"/>
      <c r="D8" s="115"/>
      <c r="E8" s="115"/>
      <c r="F8" s="115"/>
      <c r="G8" s="115"/>
      <c r="H8" s="308"/>
      <c r="I8" s="115"/>
      <c r="J8" s="115"/>
      <c r="K8" s="115"/>
      <c r="L8" s="115"/>
      <c r="M8" s="115"/>
      <c r="N8" s="115"/>
      <c r="O8" s="115"/>
      <c r="P8" s="115"/>
    </row>
    <row r="9" ht="15.75" spans="1:16">
      <c r="A9" s="115">
        <v>1</v>
      </c>
      <c r="B9" s="28" t="s">
        <v>24</v>
      </c>
      <c r="C9" s="115">
        <v>3</v>
      </c>
      <c r="D9" s="115">
        <v>12500</v>
      </c>
      <c r="E9" s="310">
        <f>C9*D9</f>
        <v>37500</v>
      </c>
      <c r="F9" s="255" t="s">
        <v>25</v>
      </c>
      <c r="G9" s="152" t="s">
        <v>19</v>
      </c>
      <c r="H9" s="308" t="s">
        <v>20</v>
      </c>
      <c r="I9" s="152" t="s">
        <v>21</v>
      </c>
      <c r="J9" s="152" t="s">
        <v>21</v>
      </c>
      <c r="K9" s="152" t="s">
        <v>21</v>
      </c>
      <c r="L9" s="152" t="s">
        <v>21</v>
      </c>
      <c r="M9" s="71">
        <v>12500</v>
      </c>
      <c r="N9" s="71">
        <v>12500</v>
      </c>
      <c r="O9" s="71">
        <v>12500</v>
      </c>
      <c r="P9" s="71"/>
    </row>
    <row r="10" ht="15.75" spans="1:16">
      <c r="A10" s="115">
        <v>2</v>
      </c>
      <c r="B10" s="28" t="s">
        <v>26</v>
      </c>
      <c r="C10" s="115">
        <v>3</v>
      </c>
      <c r="D10" s="115">
        <v>10000</v>
      </c>
      <c r="E10" s="310">
        <f>C10*D10</f>
        <v>30000</v>
      </c>
      <c r="F10" s="255" t="s">
        <v>25</v>
      </c>
      <c r="G10" s="152" t="s">
        <v>19</v>
      </c>
      <c r="H10" s="308" t="s">
        <v>20</v>
      </c>
      <c r="I10" s="152" t="s">
        <v>21</v>
      </c>
      <c r="J10" s="152" t="s">
        <v>21</v>
      </c>
      <c r="K10" s="152" t="s">
        <v>21</v>
      </c>
      <c r="L10" s="152" t="s">
        <v>21</v>
      </c>
      <c r="M10" s="71"/>
      <c r="N10" s="71">
        <v>10000</v>
      </c>
      <c r="O10" s="71">
        <v>10000</v>
      </c>
      <c r="P10" s="71">
        <v>10000</v>
      </c>
    </row>
    <row r="11" ht="15.75" spans="1:16">
      <c r="A11" s="115">
        <v>3</v>
      </c>
      <c r="B11" s="28" t="s">
        <v>27</v>
      </c>
      <c r="C11" s="115">
        <v>1</v>
      </c>
      <c r="D11" s="115">
        <v>10000</v>
      </c>
      <c r="E11" s="310">
        <f>C11*D11:D12</f>
        <v>10000</v>
      </c>
      <c r="F11" s="255" t="s">
        <v>25</v>
      </c>
      <c r="G11" s="152" t="s">
        <v>19</v>
      </c>
      <c r="H11" s="308" t="s">
        <v>20</v>
      </c>
      <c r="I11" s="152" t="s">
        <v>21</v>
      </c>
      <c r="J11" s="152" t="s">
        <v>21</v>
      </c>
      <c r="K11" s="152" t="s">
        <v>21</v>
      </c>
      <c r="L11" s="152" t="s">
        <v>21</v>
      </c>
      <c r="M11" s="71"/>
      <c r="N11" s="71">
        <v>10000</v>
      </c>
      <c r="O11" s="71"/>
      <c r="P11" s="71"/>
    </row>
    <row r="12" ht="15.75" spans="1:16">
      <c r="A12" s="115">
        <v>4</v>
      </c>
      <c r="B12" s="28" t="s">
        <v>28</v>
      </c>
      <c r="C12" s="115">
        <v>2</v>
      </c>
      <c r="D12" s="115">
        <v>17000</v>
      </c>
      <c r="E12" s="310">
        <f>C12*D12</f>
        <v>34000</v>
      </c>
      <c r="F12" s="255" t="s">
        <v>25</v>
      </c>
      <c r="G12" s="152" t="s">
        <v>19</v>
      </c>
      <c r="H12" s="308" t="s">
        <v>20</v>
      </c>
      <c r="I12" s="152" t="s">
        <v>21</v>
      </c>
      <c r="J12" s="152" t="s">
        <v>21</v>
      </c>
      <c r="K12" s="152" t="s">
        <v>21</v>
      </c>
      <c r="L12" s="152" t="s">
        <v>21</v>
      </c>
      <c r="M12" s="71">
        <v>14000</v>
      </c>
      <c r="N12" s="71"/>
      <c r="O12" s="71">
        <v>14000</v>
      </c>
      <c r="P12" s="71"/>
    </row>
    <row r="13" ht="15.75" spans="1:16">
      <c r="A13" s="115">
        <v>5</v>
      </c>
      <c r="B13" s="115" t="s">
        <v>29</v>
      </c>
      <c r="C13" s="308" t="s">
        <v>30</v>
      </c>
      <c r="D13" s="115">
        <v>60000</v>
      </c>
      <c r="E13" s="310">
        <v>180000</v>
      </c>
      <c r="F13" s="308" t="s">
        <v>31</v>
      </c>
      <c r="G13" s="308" t="s">
        <v>19</v>
      </c>
      <c r="H13" s="308" t="s">
        <v>20</v>
      </c>
      <c r="I13" s="152" t="s">
        <v>21</v>
      </c>
      <c r="J13" s="152" t="s">
        <v>21</v>
      </c>
      <c r="K13" s="152" t="s">
        <v>21</v>
      </c>
      <c r="L13" s="152" t="s">
        <v>21</v>
      </c>
      <c r="M13" s="115">
        <v>120000</v>
      </c>
      <c r="N13" s="115">
        <v>60000</v>
      </c>
      <c r="O13" s="115">
        <v>120000</v>
      </c>
      <c r="P13" s="71">
        <v>60000</v>
      </c>
    </row>
    <row r="14" ht="15.75" spans="1:16">
      <c r="A14" s="115">
        <v>6</v>
      </c>
      <c r="B14" s="311" t="s">
        <v>32</v>
      </c>
      <c r="C14" s="312">
        <v>10</v>
      </c>
      <c r="D14" s="313">
        <v>15000</v>
      </c>
      <c r="E14" s="314">
        <f>C14*D14</f>
        <v>150000</v>
      </c>
      <c r="F14" s="308" t="s">
        <v>33</v>
      </c>
      <c r="G14" s="308" t="s">
        <v>19</v>
      </c>
      <c r="H14" s="308" t="s">
        <v>20</v>
      </c>
      <c r="I14" s="152" t="s">
        <v>21</v>
      </c>
      <c r="J14" s="152" t="s">
        <v>21</v>
      </c>
      <c r="K14" s="152" t="s">
        <v>21</v>
      </c>
      <c r="L14" s="152" t="s">
        <v>21</v>
      </c>
      <c r="M14" s="311">
        <v>75000</v>
      </c>
      <c r="N14" s="311">
        <v>75000</v>
      </c>
      <c r="O14" s="311">
        <v>75000</v>
      </c>
      <c r="P14" s="311">
        <v>75000</v>
      </c>
    </row>
    <row r="15" ht="15.75" spans="1:16">
      <c r="A15" s="115">
        <v>7</v>
      </c>
      <c r="B15" s="315" t="s">
        <v>34</v>
      </c>
      <c r="C15" s="316">
        <v>2</v>
      </c>
      <c r="D15" s="317">
        <v>12500</v>
      </c>
      <c r="E15" s="317">
        <v>25000</v>
      </c>
      <c r="F15" s="318" t="s">
        <v>35</v>
      </c>
      <c r="G15" s="308" t="s">
        <v>19</v>
      </c>
      <c r="H15" s="308" t="s">
        <v>20</v>
      </c>
      <c r="I15" s="152" t="s">
        <v>21</v>
      </c>
      <c r="J15" s="152" t="s">
        <v>21</v>
      </c>
      <c r="K15" s="152" t="s">
        <v>21</v>
      </c>
      <c r="L15" s="152" t="s">
        <v>21</v>
      </c>
      <c r="M15" s="328">
        <v>12500</v>
      </c>
      <c r="N15" s="328"/>
      <c r="O15" s="328">
        <v>12500</v>
      </c>
      <c r="P15" s="328"/>
    </row>
    <row r="16" ht="15.75" spans="1:16">
      <c r="A16" s="115">
        <v>8</v>
      </c>
      <c r="B16" s="115" t="s">
        <v>36</v>
      </c>
      <c r="C16" s="115">
        <v>3</v>
      </c>
      <c r="D16" s="115">
        <v>12500</v>
      </c>
      <c r="E16" s="319">
        <v>37500</v>
      </c>
      <c r="F16" s="308" t="s">
        <v>37</v>
      </c>
      <c r="G16" s="320" t="s">
        <v>19</v>
      </c>
      <c r="H16" s="308" t="s">
        <v>20</v>
      </c>
      <c r="I16" s="329" t="s">
        <v>38</v>
      </c>
      <c r="J16" s="329" t="s">
        <v>38</v>
      </c>
      <c r="K16" s="329" t="s">
        <v>38</v>
      </c>
      <c r="L16" s="329" t="s">
        <v>38</v>
      </c>
      <c r="M16" s="115">
        <v>9375</v>
      </c>
      <c r="N16" s="115">
        <v>9375</v>
      </c>
      <c r="O16" s="115">
        <v>9375</v>
      </c>
      <c r="P16" s="115">
        <v>9375</v>
      </c>
    </row>
    <row r="17" ht="15.75" spans="1:16">
      <c r="A17" s="115">
        <v>9</v>
      </c>
      <c r="B17" s="115" t="s">
        <v>39</v>
      </c>
      <c r="C17" s="115">
        <v>3</v>
      </c>
      <c r="D17" s="115">
        <v>9000</v>
      </c>
      <c r="E17" s="115">
        <f>D17*3</f>
        <v>27000</v>
      </c>
      <c r="F17" s="308" t="s">
        <v>40</v>
      </c>
      <c r="G17" s="320" t="s">
        <v>19</v>
      </c>
      <c r="H17" s="308" t="s">
        <v>20</v>
      </c>
      <c r="I17" s="329" t="s">
        <v>38</v>
      </c>
      <c r="J17" s="329" t="s">
        <v>38</v>
      </c>
      <c r="K17" s="329" t="s">
        <v>38</v>
      </c>
      <c r="L17" s="329" t="s">
        <v>38</v>
      </c>
      <c r="M17" s="115">
        <v>9000</v>
      </c>
      <c r="N17" s="115">
        <v>9000</v>
      </c>
      <c r="O17" s="115"/>
      <c r="P17" s="115">
        <v>9000</v>
      </c>
    </row>
    <row r="18" ht="15.75" spans="1:16">
      <c r="A18" s="115">
        <v>10</v>
      </c>
      <c r="B18" s="321" t="s">
        <v>41</v>
      </c>
      <c r="C18" s="321">
        <v>5</v>
      </c>
      <c r="D18" s="317">
        <v>12000</v>
      </c>
      <c r="E18" s="317">
        <f>C18*D18</f>
        <v>60000</v>
      </c>
      <c r="F18" s="308" t="s">
        <v>42</v>
      </c>
      <c r="G18" s="320" t="s">
        <v>19</v>
      </c>
      <c r="H18" s="308" t="s">
        <v>20</v>
      </c>
      <c r="I18" s="329" t="s">
        <v>38</v>
      </c>
      <c r="J18" s="329" t="s">
        <v>38</v>
      </c>
      <c r="K18" s="329" t="s">
        <v>38</v>
      </c>
      <c r="L18" s="329" t="s">
        <v>38</v>
      </c>
      <c r="M18" s="330"/>
      <c r="N18" s="328">
        <v>30000</v>
      </c>
      <c r="O18" s="328">
        <v>30000</v>
      </c>
      <c r="P18" s="328"/>
    </row>
    <row r="19" spans="1:16">
      <c r="A19" s="115">
        <v>11</v>
      </c>
      <c r="B19" s="322" t="s">
        <v>32</v>
      </c>
      <c r="C19" s="322">
        <v>6</v>
      </c>
      <c r="D19" s="322">
        <v>8000</v>
      </c>
      <c r="E19" s="322">
        <v>48000</v>
      </c>
      <c r="F19" s="323" t="s">
        <v>43</v>
      </c>
      <c r="G19" s="308" t="s">
        <v>19</v>
      </c>
      <c r="H19" s="308" t="s">
        <v>20</v>
      </c>
      <c r="I19" s="329" t="s">
        <v>38</v>
      </c>
      <c r="J19" s="329" t="s">
        <v>38</v>
      </c>
      <c r="K19" s="329" t="s">
        <v>38</v>
      </c>
      <c r="L19" s="329" t="s">
        <v>38</v>
      </c>
      <c r="M19" s="331">
        <v>20000</v>
      </c>
      <c r="N19" s="331">
        <v>20000</v>
      </c>
      <c r="O19" s="331">
        <v>20000</v>
      </c>
      <c r="P19" s="332">
        <v>20000</v>
      </c>
    </row>
    <row r="20" spans="1:16">
      <c r="A20" s="115"/>
      <c r="B20" s="306" t="s">
        <v>22</v>
      </c>
      <c r="C20" s="306"/>
      <c r="D20" s="306"/>
      <c r="E20" s="324">
        <f>SUM(E9:E19)</f>
        <v>639000</v>
      </c>
      <c r="F20" s="115"/>
      <c r="G20" s="115"/>
      <c r="H20" s="115"/>
      <c r="I20" s="115"/>
      <c r="J20" s="115"/>
      <c r="K20" s="115"/>
      <c r="L20" s="115"/>
      <c r="M20" s="115"/>
      <c r="N20" s="115"/>
      <c r="O20" s="115"/>
      <c r="P20" s="115"/>
    </row>
    <row r="21" spans="1:16">
      <c r="A21" s="115"/>
      <c r="B21" s="115"/>
      <c r="C21" s="115"/>
      <c r="D21" s="115"/>
      <c r="E21" s="115"/>
      <c r="F21" s="115"/>
      <c r="G21" s="115"/>
      <c r="H21" s="115"/>
      <c r="I21" s="115"/>
      <c r="J21" s="115"/>
      <c r="K21" s="115"/>
      <c r="L21" s="115"/>
      <c r="M21" s="115"/>
      <c r="N21" s="115"/>
      <c r="O21" s="115"/>
      <c r="P21" s="115"/>
    </row>
    <row r="22" spans="1:16">
      <c r="A22" s="115"/>
      <c r="B22" s="115"/>
      <c r="C22" s="115"/>
      <c r="D22" s="115"/>
      <c r="E22" s="115"/>
      <c r="F22" s="115"/>
      <c r="G22" s="115"/>
      <c r="H22" s="115"/>
      <c r="I22" s="115"/>
      <c r="J22" s="115"/>
      <c r="K22" s="115"/>
      <c r="L22" s="115"/>
      <c r="M22" s="115"/>
      <c r="N22" s="115"/>
      <c r="O22" s="115"/>
      <c r="P22" s="115"/>
    </row>
    <row r="23" spans="1:16">
      <c r="A23" s="306" t="s">
        <v>44</v>
      </c>
      <c r="B23" s="115"/>
      <c r="C23" s="115"/>
      <c r="D23" s="115"/>
      <c r="E23" s="115"/>
      <c r="F23" s="115"/>
      <c r="G23" s="115"/>
      <c r="H23" s="115"/>
      <c r="I23" s="115"/>
      <c r="J23" s="115"/>
      <c r="K23" s="115"/>
      <c r="L23" s="115"/>
      <c r="M23" s="115"/>
      <c r="N23" s="115"/>
      <c r="O23" s="115"/>
      <c r="P23" s="115"/>
    </row>
    <row r="24" ht="15.75" spans="1:16">
      <c r="A24" s="115">
        <v>1</v>
      </c>
      <c r="B24" s="115" t="s">
        <v>45</v>
      </c>
      <c r="C24" s="115">
        <v>5</v>
      </c>
      <c r="D24" s="115">
        <v>40000</v>
      </c>
      <c r="E24" s="313">
        <f t="shared" ref="E24:E35" si="0">C24*D24</f>
        <v>200000</v>
      </c>
      <c r="F24" s="308" t="s">
        <v>46</v>
      </c>
      <c r="G24" s="308" t="s">
        <v>19</v>
      </c>
      <c r="H24" s="308" t="s">
        <v>20</v>
      </c>
      <c r="I24" s="152" t="s">
        <v>21</v>
      </c>
      <c r="J24" s="152" t="s">
        <v>21</v>
      </c>
      <c r="K24" s="152" t="s">
        <v>21</v>
      </c>
      <c r="L24" s="152" t="s">
        <v>21</v>
      </c>
      <c r="M24" s="115">
        <v>200000</v>
      </c>
      <c r="N24" s="115"/>
      <c r="O24" s="115"/>
      <c r="P24" s="115"/>
    </row>
    <row r="25" ht="15.75" spans="1:16">
      <c r="A25" s="115">
        <v>2</v>
      </c>
      <c r="B25" s="115" t="s">
        <v>47</v>
      </c>
      <c r="C25" s="115">
        <v>1</v>
      </c>
      <c r="D25" s="115">
        <v>10000</v>
      </c>
      <c r="E25" s="115">
        <f t="shared" si="0"/>
        <v>10000</v>
      </c>
      <c r="F25" s="308" t="s">
        <v>46</v>
      </c>
      <c r="G25" s="308" t="s">
        <v>19</v>
      </c>
      <c r="H25" s="308" t="s">
        <v>20</v>
      </c>
      <c r="I25" s="152" t="s">
        <v>21</v>
      </c>
      <c r="J25" s="152" t="s">
        <v>21</v>
      </c>
      <c r="K25" s="152" t="s">
        <v>21</v>
      </c>
      <c r="L25" s="152" t="s">
        <v>21</v>
      </c>
      <c r="M25" s="115">
        <v>10000</v>
      </c>
      <c r="N25" s="115"/>
      <c r="O25" s="115"/>
      <c r="P25" s="115"/>
    </row>
    <row r="26" ht="15.75" spans="1:16">
      <c r="A26" s="115">
        <v>3</v>
      </c>
      <c r="B26" s="115" t="s">
        <v>48</v>
      </c>
      <c r="C26" s="115">
        <v>2</v>
      </c>
      <c r="D26" s="115">
        <v>450</v>
      </c>
      <c r="E26" s="115">
        <f t="shared" si="0"/>
        <v>900</v>
      </c>
      <c r="F26" s="308" t="s">
        <v>46</v>
      </c>
      <c r="G26" s="308" t="s">
        <v>19</v>
      </c>
      <c r="H26" s="308" t="s">
        <v>20</v>
      </c>
      <c r="I26" s="152" t="s">
        <v>21</v>
      </c>
      <c r="J26" s="152" t="s">
        <v>21</v>
      </c>
      <c r="K26" s="152" t="s">
        <v>21</v>
      </c>
      <c r="L26" s="152" t="s">
        <v>21</v>
      </c>
      <c r="M26" s="115">
        <v>900</v>
      </c>
      <c r="N26" s="115"/>
      <c r="O26" s="115"/>
      <c r="P26" s="115"/>
    </row>
    <row r="27" ht="15.75" spans="1:16">
      <c r="A27" s="115">
        <v>4</v>
      </c>
      <c r="B27" s="115" t="s">
        <v>49</v>
      </c>
      <c r="C27" s="115">
        <v>5</v>
      </c>
      <c r="D27" s="115">
        <v>200</v>
      </c>
      <c r="E27" s="115">
        <f t="shared" si="0"/>
        <v>1000</v>
      </c>
      <c r="F27" s="308" t="s">
        <v>46</v>
      </c>
      <c r="G27" s="308" t="s">
        <v>19</v>
      </c>
      <c r="H27" s="308" t="s">
        <v>20</v>
      </c>
      <c r="I27" s="152" t="s">
        <v>21</v>
      </c>
      <c r="J27" s="152" t="s">
        <v>21</v>
      </c>
      <c r="K27" s="152" t="s">
        <v>21</v>
      </c>
      <c r="L27" s="152" t="s">
        <v>21</v>
      </c>
      <c r="M27" s="115">
        <v>400</v>
      </c>
      <c r="N27" s="115"/>
      <c r="O27" s="115"/>
      <c r="P27" s="115"/>
    </row>
    <row r="28" ht="15.75" spans="1:16">
      <c r="A28" s="115">
        <v>5</v>
      </c>
      <c r="B28" s="115" t="s">
        <v>50</v>
      </c>
      <c r="C28" s="115">
        <v>2</v>
      </c>
      <c r="D28" s="115">
        <v>10000</v>
      </c>
      <c r="E28" s="115">
        <f t="shared" si="0"/>
        <v>20000</v>
      </c>
      <c r="F28" s="308" t="s">
        <v>46</v>
      </c>
      <c r="G28" s="308" t="s">
        <v>19</v>
      </c>
      <c r="H28" s="308" t="s">
        <v>20</v>
      </c>
      <c r="I28" s="152" t="s">
        <v>21</v>
      </c>
      <c r="J28" s="152" t="s">
        <v>21</v>
      </c>
      <c r="K28" s="152" t="s">
        <v>21</v>
      </c>
      <c r="L28" s="152" t="s">
        <v>21</v>
      </c>
      <c r="M28" s="115">
        <v>10000</v>
      </c>
      <c r="N28" s="115"/>
      <c r="O28" s="115">
        <v>10000</v>
      </c>
      <c r="P28" s="115"/>
    </row>
    <row r="29" ht="15.75" spans="1:16">
      <c r="A29" s="115">
        <v>6</v>
      </c>
      <c r="B29" s="115" t="s">
        <v>51</v>
      </c>
      <c r="C29" s="115">
        <v>4</v>
      </c>
      <c r="D29" s="115">
        <v>350</v>
      </c>
      <c r="E29" s="115">
        <f t="shared" si="0"/>
        <v>1400</v>
      </c>
      <c r="F29" s="308" t="s">
        <v>46</v>
      </c>
      <c r="G29" s="308" t="s">
        <v>19</v>
      </c>
      <c r="H29" s="308" t="s">
        <v>20</v>
      </c>
      <c r="I29" s="152" t="s">
        <v>21</v>
      </c>
      <c r="J29" s="152" t="s">
        <v>21</v>
      </c>
      <c r="K29" s="152" t="s">
        <v>21</v>
      </c>
      <c r="L29" s="152" t="s">
        <v>21</v>
      </c>
      <c r="M29" s="115">
        <v>1400</v>
      </c>
      <c r="N29" s="115"/>
      <c r="O29" s="115"/>
      <c r="P29" s="115"/>
    </row>
    <row r="30" ht="15.75" spans="1:16">
      <c r="A30" s="115">
        <v>7</v>
      </c>
      <c r="B30" s="115" t="s">
        <v>52</v>
      </c>
      <c r="C30" s="115">
        <v>100</v>
      </c>
      <c r="D30" s="115">
        <v>900</v>
      </c>
      <c r="E30" s="115">
        <f t="shared" si="0"/>
        <v>90000</v>
      </c>
      <c r="F30" s="308" t="s">
        <v>46</v>
      </c>
      <c r="G30" s="308" t="s">
        <v>19</v>
      </c>
      <c r="H30" s="308" t="s">
        <v>20</v>
      </c>
      <c r="I30" s="152" t="s">
        <v>21</v>
      </c>
      <c r="J30" s="152" t="s">
        <v>21</v>
      </c>
      <c r="K30" s="152" t="s">
        <v>21</v>
      </c>
      <c r="L30" s="152" t="s">
        <v>21</v>
      </c>
      <c r="M30" s="115">
        <v>90000</v>
      </c>
      <c r="N30" s="115"/>
      <c r="O30" s="115"/>
      <c r="P30" s="115"/>
    </row>
    <row r="31" ht="15.75" spans="1:16">
      <c r="A31" s="115">
        <v>8</v>
      </c>
      <c r="B31" s="115" t="s">
        <v>53</v>
      </c>
      <c r="C31" s="115">
        <v>5</v>
      </c>
      <c r="D31" s="115">
        <v>850</v>
      </c>
      <c r="E31" s="115">
        <f t="shared" si="0"/>
        <v>4250</v>
      </c>
      <c r="F31" s="308" t="s">
        <v>46</v>
      </c>
      <c r="G31" s="308" t="s">
        <v>19</v>
      </c>
      <c r="H31" s="308" t="s">
        <v>20</v>
      </c>
      <c r="I31" s="152" t="s">
        <v>21</v>
      </c>
      <c r="J31" s="152" t="s">
        <v>21</v>
      </c>
      <c r="K31" s="152" t="s">
        <v>21</v>
      </c>
      <c r="L31" s="152" t="s">
        <v>21</v>
      </c>
      <c r="M31" s="115"/>
      <c r="N31" s="115"/>
      <c r="O31" s="115">
        <v>4250</v>
      </c>
      <c r="P31" s="115"/>
    </row>
    <row r="32" ht="15.75" spans="1:16">
      <c r="A32" s="115">
        <v>9</v>
      </c>
      <c r="B32" s="115" t="s">
        <v>54</v>
      </c>
      <c r="C32" s="115">
        <v>5</v>
      </c>
      <c r="D32" s="115">
        <v>1500</v>
      </c>
      <c r="E32" s="115">
        <f t="shared" si="0"/>
        <v>7500</v>
      </c>
      <c r="F32" s="308" t="s">
        <v>46</v>
      </c>
      <c r="G32" s="308" t="s">
        <v>19</v>
      </c>
      <c r="H32" s="308" t="s">
        <v>20</v>
      </c>
      <c r="I32" s="152" t="s">
        <v>21</v>
      </c>
      <c r="J32" s="152" t="s">
        <v>21</v>
      </c>
      <c r="K32" s="152" t="s">
        <v>21</v>
      </c>
      <c r="L32" s="152" t="s">
        <v>21</v>
      </c>
      <c r="M32" s="115"/>
      <c r="N32" s="115">
        <v>7500</v>
      </c>
      <c r="O32" s="115"/>
      <c r="P32" s="115"/>
    </row>
    <row r="33" ht="15.75" spans="1:16">
      <c r="A33" s="115">
        <v>10</v>
      </c>
      <c r="B33" s="115" t="s">
        <v>55</v>
      </c>
      <c r="C33" s="115">
        <v>2</v>
      </c>
      <c r="D33" s="115">
        <v>6000</v>
      </c>
      <c r="E33" s="115">
        <f t="shared" si="0"/>
        <v>12000</v>
      </c>
      <c r="F33" s="308" t="s">
        <v>46</v>
      </c>
      <c r="G33" s="308" t="s">
        <v>19</v>
      </c>
      <c r="H33" s="308" t="s">
        <v>20</v>
      </c>
      <c r="I33" s="152" t="s">
        <v>21</v>
      </c>
      <c r="J33" s="152" t="s">
        <v>21</v>
      </c>
      <c r="K33" s="152" t="s">
        <v>21</v>
      </c>
      <c r="L33" s="152" t="s">
        <v>21</v>
      </c>
      <c r="M33" s="115">
        <v>12000</v>
      </c>
      <c r="N33" s="115"/>
      <c r="O33" s="115"/>
      <c r="P33" s="115"/>
    </row>
    <row r="34" ht="15.75" spans="1:16">
      <c r="A34" s="115">
        <v>11</v>
      </c>
      <c r="B34" s="115" t="s">
        <v>56</v>
      </c>
      <c r="C34" s="115">
        <v>6</v>
      </c>
      <c r="D34" s="115">
        <v>2000</v>
      </c>
      <c r="E34" s="115">
        <f t="shared" si="0"/>
        <v>12000</v>
      </c>
      <c r="F34" s="308" t="s">
        <v>46</v>
      </c>
      <c r="G34" s="308" t="s">
        <v>19</v>
      </c>
      <c r="H34" s="308" t="s">
        <v>20</v>
      </c>
      <c r="I34" s="152" t="s">
        <v>21</v>
      </c>
      <c r="J34" s="152" t="s">
        <v>21</v>
      </c>
      <c r="K34" s="152" t="s">
        <v>21</v>
      </c>
      <c r="L34" s="152" t="s">
        <v>21</v>
      </c>
      <c r="M34" s="115"/>
      <c r="N34" s="115"/>
      <c r="O34" s="115">
        <v>12000</v>
      </c>
      <c r="P34" s="115"/>
    </row>
    <row r="35" ht="15.75" spans="1:16">
      <c r="A35" s="115">
        <v>12</v>
      </c>
      <c r="B35" s="115" t="s">
        <v>57</v>
      </c>
      <c r="C35" s="115">
        <v>6</v>
      </c>
      <c r="D35" s="115">
        <v>14000</v>
      </c>
      <c r="E35" s="115">
        <f t="shared" si="0"/>
        <v>84000</v>
      </c>
      <c r="F35" s="308" t="s">
        <v>46</v>
      </c>
      <c r="G35" s="308" t="s">
        <v>19</v>
      </c>
      <c r="H35" s="308" t="s">
        <v>20</v>
      </c>
      <c r="I35" s="152" t="s">
        <v>21</v>
      </c>
      <c r="J35" s="152" t="s">
        <v>21</v>
      </c>
      <c r="K35" s="152" t="s">
        <v>21</v>
      </c>
      <c r="L35" s="152" t="s">
        <v>21</v>
      </c>
      <c r="M35" s="115">
        <v>42000</v>
      </c>
      <c r="N35" s="115"/>
      <c r="O35" s="115">
        <v>42000</v>
      </c>
      <c r="P35" s="115"/>
    </row>
    <row r="36" ht="15.75" spans="1:16">
      <c r="A36" s="115">
        <v>13</v>
      </c>
      <c r="B36" s="115" t="s">
        <v>58</v>
      </c>
      <c r="C36" s="115">
        <v>1</v>
      </c>
      <c r="D36" s="115">
        <v>2450</v>
      </c>
      <c r="E36" s="319">
        <v>2450</v>
      </c>
      <c r="F36" s="308" t="s">
        <v>37</v>
      </c>
      <c r="G36" s="320" t="s">
        <v>19</v>
      </c>
      <c r="H36" s="308" t="s">
        <v>20</v>
      </c>
      <c r="I36" s="333" t="s">
        <v>38</v>
      </c>
      <c r="J36" s="333" t="s">
        <v>38</v>
      </c>
      <c r="K36" s="333" t="s">
        <v>38</v>
      </c>
      <c r="L36" s="333" t="s">
        <v>38</v>
      </c>
      <c r="M36" s="115">
        <v>2450</v>
      </c>
      <c r="N36" s="115"/>
      <c r="O36" s="115"/>
      <c r="P36" s="115"/>
    </row>
    <row r="37" ht="15.75" spans="1:16">
      <c r="A37" s="115">
        <v>14</v>
      </c>
      <c r="B37" s="115" t="s">
        <v>59</v>
      </c>
      <c r="C37" s="115">
        <v>1</v>
      </c>
      <c r="D37" s="115">
        <v>15000</v>
      </c>
      <c r="E37" s="319">
        <v>15000</v>
      </c>
      <c r="F37" s="308" t="s">
        <v>37</v>
      </c>
      <c r="G37" s="320" t="s">
        <v>19</v>
      </c>
      <c r="H37" s="308" t="s">
        <v>20</v>
      </c>
      <c r="I37" s="333" t="s">
        <v>38</v>
      </c>
      <c r="J37" s="333" t="s">
        <v>38</v>
      </c>
      <c r="K37" s="333" t="s">
        <v>38</v>
      </c>
      <c r="L37" s="333" t="s">
        <v>38</v>
      </c>
      <c r="M37" s="115">
        <v>15000</v>
      </c>
      <c r="N37" s="115"/>
      <c r="O37" s="115"/>
      <c r="P37" s="115"/>
    </row>
    <row r="38" ht="15.75" spans="1:16">
      <c r="A38" s="115">
        <v>15</v>
      </c>
      <c r="B38" s="321" t="s">
        <v>60</v>
      </c>
      <c r="C38" s="321">
        <v>3</v>
      </c>
      <c r="D38" s="115">
        <v>2400</v>
      </c>
      <c r="E38" s="325">
        <f>C38*D38</f>
        <v>7200</v>
      </c>
      <c r="F38" s="308" t="s">
        <v>42</v>
      </c>
      <c r="G38" s="320" t="s">
        <v>19</v>
      </c>
      <c r="H38" s="308" t="s">
        <v>20</v>
      </c>
      <c r="I38" s="333" t="s">
        <v>38</v>
      </c>
      <c r="J38" s="333" t="s">
        <v>38</v>
      </c>
      <c r="K38" s="333" t="s">
        <v>38</v>
      </c>
      <c r="L38" s="333" t="s">
        <v>38</v>
      </c>
      <c r="M38" s="115">
        <v>7200</v>
      </c>
      <c r="N38" s="115"/>
      <c r="O38" s="115"/>
      <c r="P38" s="115"/>
    </row>
    <row r="39" ht="15.75" spans="1:16">
      <c r="A39" s="115">
        <v>16</v>
      </c>
      <c r="B39" s="115" t="s">
        <v>61</v>
      </c>
      <c r="C39" s="115">
        <v>2</v>
      </c>
      <c r="D39" s="115">
        <v>9500</v>
      </c>
      <c r="E39" s="319">
        <v>19000</v>
      </c>
      <c r="F39" s="308" t="s">
        <v>37</v>
      </c>
      <c r="G39" s="320" t="s">
        <v>19</v>
      </c>
      <c r="H39" s="308" t="s">
        <v>20</v>
      </c>
      <c r="I39" s="333" t="s">
        <v>38</v>
      </c>
      <c r="J39" s="333" t="s">
        <v>38</v>
      </c>
      <c r="K39" s="333" t="s">
        <v>38</v>
      </c>
      <c r="L39" s="333" t="s">
        <v>38</v>
      </c>
      <c r="M39" s="115">
        <v>19000</v>
      </c>
      <c r="N39" s="115"/>
      <c r="O39" s="115"/>
      <c r="P39" s="115"/>
    </row>
    <row r="40" spans="1:16">
      <c r="A40" s="115"/>
      <c r="B40" s="306" t="s">
        <v>22</v>
      </c>
      <c r="C40" s="115"/>
      <c r="D40" s="115"/>
      <c r="E40" s="309">
        <f>SUM(E24:E39)</f>
        <v>486700</v>
      </c>
      <c r="F40" s="306"/>
      <c r="G40" s="115"/>
      <c r="H40" s="115"/>
      <c r="I40" s="115"/>
      <c r="J40" s="115"/>
      <c r="K40" s="115"/>
      <c r="L40" s="115"/>
      <c r="M40" s="115"/>
      <c r="N40" s="115"/>
      <c r="O40" s="115"/>
      <c r="P40" s="115"/>
    </row>
    <row r="41" spans="1:16">
      <c r="A41" s="115"/>
      <c r="B41" s="115"/>
      <c r="C41" s="115"/>
      <c r="D41" s="115"/>
      <c r="E41" s="115"/>
      <c r="F41" s="115"/>
      <c r="G41" s="115"/>
      <c r="H41" s="115"/>
      <c r="I41" s="115"/>
      <c r="J41" s="115"/>
      <c r="K41" s="115"/>
      <c r="L41" s="115"/>
      <c r="M41" s="115"/>
      <c r="N41" s="115"/>
      <c r="O41" s="115"/>
      <c r="P41" s="115"/>
    </row>
    <row r="42" spans="1:16">
      <c r="A42" s="115"/>
      <c r="B42" s="115"/>
      <c r="C42" s="115"/>
      <c r="D42" s="115"/>
      <c r="E42" s="115"/>
      <c r="F42" s="115"/>
      <c r="G42" s="115"/>
      <c r="H42" s="115"/>
      <c r="I42" s="115"/>
      <c r="J42" s="115"/>
      <c r="K42" s="115"/>
      <c r="L42" s="115"/>
      <c r="M42" s="115"/>
      <c r="N42" s="115"/>
      <c r="O42" s="115"/>
      <c r="P42" s="115"/>
    </row>
    <row r="43" spans="1:16">
      <c r="A43" s="306" t="s">
        <v>62</v>
      </c>
      <c r="B43" s="115"/>
      <c r="C43" s="115"/>
      <c r="D43" s="115"/>
      <c r="E43" s="115"/>
      <c r="F43" s="115"/>
      <c r="G43" s="115"/>
      <c r="H43" s="115"/>
      <c r="I43" s="115"/>
      <c r="J43" s="115"/>
      <c r="K43" s="115"/>
      <c r="L43" s="115"/>
      <c r="M43" s="115"/>
      <c r="N43" s="115"/>
      <c r="O43" s="115"/>
      <c r="P43" s="115"/>
    </row>
    <row r="44" spans="1:16">
      <c r="A44" s="115">
        <v>1</v>
      </c>
      <c r="B44" s="115"/>
      <c r="C44" s="115"/>
      <c r="D44" s="319"/>
      <c r="E44" s="319"/>
      <c r="F44" s="115"/>
      <c r="G44" s="115"/>
      <c r="H44" s="115"/>
      <c r="I44" s="334"/>
      <c r="J44" s="334"/>
      <c r="K44" s="334"/>
      <c r="L44" s="115"/>
      <c r="M44" s="115"/>
      <c r="N44" s="115"/>
      <c r="O44" s="115"/>
      <c r="P44" s="115"/>
    </row>
    <row r="45" spans="1:16">
      <c r="A45" s="115">
        <v>2</v>
      </c>
      <c r="B45" s="115"/>
      <c r="C45" s="115"/>
      <c r="D45" s="115"/>
      <c r="E45" s="115"/>
      <c r="F45" s="115"/>
      <c r="G45" s="115"/>
      <c r="H45" s="115"/>
      <c r="I45" s="115"/>
      <c r="J45" s="115"/>
      <c r="K45" s="115"/>
      <c r="L45" s="115"/>
      <c r="M45" s="115"/>
      <c r="N45" s="115"/>
      <c r="O45" s="115"/>
      <c r="P45" s="115"/>
    </row>
    <row r="46" spans="1:16">
      <c r="A46" s="115">
        <v>3</v>
      </c>
      <c r="B46" s="115"/>
      <c r="C46" s="115"/>
      <c r="D46" s="115"/>
      <c r="E46" s="115"/>
      <c r="F46" s="115"/>
      <c r="G46" s="115"/>
      <c r="H46" s="115"/>
      <c r="I46" s="115"/>
      <c r="J46" s="115"/>
      <c r="K46" s="115"/>
      <c r="L46" s="115"/>
      <c r="M46" s="115"/>
      <c r="N46" s="115"/>
      <c r="O46" s="115"/>
      <c r="P46" s="115"/>
    </row>
    <row r="47" spans="1:16">
      <c r="A47" s="115"/>
      <c r="B47" s="115"/>
      <c r="C47" s="115"/>
      <c r="D47" s="115"/>
      <c r="E47" s="115"/>
      <c r="F47" s="115"/>
      <c r="G47" s="115"/>
      <c r="H47" s="115"/>
      <c r="I47" s="115"/>
      <c r="J47" s="115"/>
      <c r="K47" s="115"/>
      <c r="L47" s="115"/>
      <c r="M47" s="115"/>
      <c r="N47" s="115"/>
      <c r="O47" s="115"/>
      <c r="P47" s="115"/>
    </row>
    <row r="48" spans="1:16">
      <c r="A48" s="115"/>
      <c r="B48" s="115"/>
      <c r="C48" s="115"/>
      <c r="D48" s="115"/>
      <c r="E48" s="115"/>
      <c r="F48" s="115"/>
      <c r="G48" s="115"/>
      <c r="H48" s="115"/>
      <c r="I48" s="115"/>
      <c r="J48" s="115"/>
      <c r="K48" s="115"/>
      <c r="L48" s="115"/>
      <c r="M48" s="115"/>
      <c r="N48" s="115"/>
      <c r="O48" s="115"/>
      <c r="P48" s="115"/>
    </row>
    <row r="49" spans="1:16">
      <c r="A49" s="306" t="s">
        <v>63</v>
      </c>
      <c r="B49" s="115"/>
      <c r="C49" s="115"/>
      <c r="D49" s="115"/>
      <c r="E49" s="115"/>
      <c r="F49" s="115"/>
      <c r="G49" s="115"/>
      <c r="H49" s="115"/>
      <c r="I49" s="115"/>
      <c r="J49" s="115"/>
      <c r="K49" s="115"/>
      <c r="L49" s="115"/>
      <c r="M49" s="115"/>
      <c r="N49" s="115"/>
      <c r="O49" s="115"/>
      <c r="P49" s="115"/>
    </row>
    <row r="50" spans="1:16">
      <c r="A50" s="115">
        <v>1</v>
      </c>
      <c r="B50" s="115"/>
      <c r="C50" s="115"/>
      <c r="D50" s="115"/>
      <c r="E50" s="115"/>
      <c r="F50" s="115"/>
      <c r="G50" s="115"/>
      <c r="H50" s="115"/>
      <c r="I50" s="115"/>
      <c r="J50" s="115"/>
      <c r="K50" s="115"/>
      <c r="L50" s="115"/>
      <c r="M50" s="115"/>
      <c r="N50" s="115"/>
      <c r="O50" s="115"/>
      <c r="P50" s="115"/>
    </row>
    <row r="51" spans="1:16">
      <c r="A51" s="115">
        <v>2</v>
      </c>
      <c r="B51" s="115"/>
      <c r="C51" s="115"/>
      <c r="D51" s="115"/>
      <c r="E51" s="115"/>
      <c r="F51" s="115"/>
      <c r="G51" s="115"/>
      <c r="H51" s="115"/>
      <c r="I51" s="115"/>
      <c r="J51" s="115"/>
      <c r="K51" s="115"/>
      <c r="L51" s="115"/>
      <c r="M51" s="115"/>
      <c r="N51" s="115"/>
      <c r="O51" s="115"/>
      <c r="P51" s="115"/>
    </row>
    <row r="52" spans="1:16">
      <c r="A52" s="115">
        <v>3</v>
      </c>
      <c r="B52" s="115"/>
      <c r="C52" s="115"/>
      <c r="D52" s="115"/>
      <c r="E52" s="115"/>
      <c r="F52" s="115"/>
      <c r="G52" s="115"/>
      <c r="H52" s="115"/>
      <c r="I52" s="115"/>
      <c r="J52" s="115"/>
      <c r="K52" s="115"/>
      <c r="L52" s="115"/>
      <c r="M52" s="115"/>
      <c r="N52" s="115"/>
      <c r="O52" s="115"/>
      <c r="P52" s="115"/>
    </row>
    <row r="53" spans="1:16">
      <c r="A53" s="306" t="s">
        <v>64</v>
      </c>
      <c r="B53" s="115"/>
      <c r="C53" s="115"/>
      <c r="D53" s="115"/>
      <c r="E53" s="115"/>
      <c r="F53" s="115"/>
      <c r="G53" s="115"/>
      <c r="H53" s="115"/>
      <c r="I53" s="115"/>
      <c r="J53" s="115"/>
      <c r="K53" s="115"/>
      <c r="L53" s="115"/>
      <c r="M53" s="115"/>
      <c r="N53" s="115"/>
      <c r="O53" s="115"/>
      <c r="P53" s="115"/>
    </row>
    <row r="54" ht="15.75" spans="1:16">
      <c r="A54" s="326">
        <v>1</v>
      </c>
      <c r="B54" s="327" t="s">
        <v>65</v>
      </c>
      <c r="C54" s="327">
        <v>3</v>
      </c>
      <c r="D54" s="115">
        <v>18000</v>
      </c>
      <c r="E54" s="310">
        <f>C54*D54</f>
        <v>54000</v>
      </c>
      <c r="F54" s="308" t="s">
        <v>66</v>
      </c>
      <c r="G54" s="308" t="s">
        <v>19</v>
      </c>
      <c r="H54" s="308" t="s">
        <v>20</v>
      </c>
      <c r="I54" s="333" t="s">
        <v>38</v>
      </c>
      <c r="J54" s="333" t="s">
        <v>38</v>
      </c>
      <c r="K54" s="333" t="s">
        <v>38</v>
      </c>
      <c r="L54" s="333" t="s">
        <v>38</v>
      </c>
      <c r="M54" s="335">
        <v>5400</v>
      </c>
      <c r="N54" s="19"/>
      <c r="O54" s="335"/>
      <c r="P54" s="103"/>
    </row>
    <row r="55" ht="15.75" spans="1:16">
      <c r="A55" s="115">
        <v>2</v>
      </c>
      <c r="B55" s="327" t="s">
        <v>67</v>
      </c>
      <c r="C55" s="327">
        <v>3</v>
      </c>
      <c r="D55" s="115">
        <v>14500</v>
      </c>
      <c r="E55" s="310">
        <v>43500</v>
      </c>
      <c r="F55" s="308" t="s">
        <v>66</v>
      </c>
      <c r="G55" s="308" t="s">
        <v>19</v>
      </c>
      <c r="H55" s="308" t="s">
        <v>20</v>
      </c>
      <c r="I55" s="333" t="s">
        <v>38</v>
      </c>
      <c r="J55" s="333" t="s">
        <v>38</v>
      </c>
      <c r="K55" s="333" t="s">
        <v>38</v>
      </c>
      <c r="L55" s="333" t="s">
        <v>38</v>
      </c>
      <c r="M55" s="336">
        <v>43500</v>
      </c>
      <c r="N55" s="19"/>
      <c r="O55" s="103"/>
      <c r="P55" s="103"/>
    </row>
    <row r="56" ht="15.75" spans="1:16">
      <c r="A56" s="115">
        <v>3</v>
      </c>
      <c r="B56" s="327" t="s">
        <v>68</v>
      </c>
      <c r="C56" s="327">
        <v>40</v>
      </c>
      <c r="D56" s="115">
        <v>250</v>
      </c>
      <c r="E56" s="310">
        <v>10000</v>
      </c>
      <c r="F56" s="308" t="s">
        <v>66</v>
      </c>
      <c r="G56" s="308" t="s">
        <v>19</v>
      </c>
      <c r="H56" s="308" t="s">
        <v>20</v>
      </c>
      <c r="I56" s="333" t="s">
        <v>38</v>
      </c>
      <c r="J56" s="333" t="s">
        <v>38</v>
      </c>
      <c r="K56" s="333" t="s">
        <v>38</v>
      </c>
      <c r="L56" s="333" t="s">
        <v>38</v>
      </c>
      <c r="M56" s="337">
        <v>5000</v>
      </c>
      <c r="N56" s="337">
        <v>2500</v>
      </c>
      <c r="O56" s="337">
        <v>2500</v>
      </c>
      <c r="P56" s="103"/>
    </row>
    <row r="57" ht="15.75" spans="1:16">
      <c r="A57" s="115">
        <v>4</v>
      </c>
      <c r="B57" s="327" t="s">
        <v>69</v>
      </c>
      <c r="C57" s="327">
        <v>40</v>
      </c>
      <c r="D57" s="115">
        <v>220</v>
      </c>
      <c r="E57" s="310">
        <v>8800</v>
      </c>
      <c r="F57" s="308" t="s">
        <v>66</v>
      </c>
      <c r="G57" s="308" t="s">
        <v>19</v>
      </c>
      <c r="H57" s="308" t="s">
        <v>20</v>
      </c>
      <c r="I57" s="333" t="s">
        <v>38</v>
      </c>
      <c r="J57" s="333" t="s">
        <v>38</v>
      </c>
      <c r="K57" s="333" t="s">
        <v>38</v>
      </c>
      <c r="L57" s="333" t="s">
        <v>38</v>
      </c>
      <c r="M57" s="103">
        <v>4400</v>
      </c>
      <c r="N57" s="103">
        <v>4400</v>
      </c>
      <c r="O57" s="338"/>
      <c r="P57" s="103"/>
    </row>
    <row r="58" ht="15.75" spans="1:16">
      <c r="A58" s="115">
        <v>5</v>
      </c>
      <c r="B58" s="327" t="s">
        <v>70</v>
      </c>
      <c r="C58" s="327">
        <v>10</v>
      </c>
      <c r="D58" s="115">
        <v>200</v>
      </c>
      <c r="E58" s="310">
        <v>2000</v>
      </c>
      <c r="F58" s="308" t="s">
        <v>66</v>
      </c>
      <c r="G58" s="308" t="s">
        <v>19</v>
      </c>
      <c r="H58" s="308" t="s">
        <v>20</v>
      </c>
      <c r="I58" s="333" t="s">
        <v>38</v>
      </c>
      <c r="J58" s="333" t="s">
        <v>38</v>
      </c>
      <c r="K58" s="333" t="s">
        <v>38</v>
      </c>
      <c r="L58" s="333" t="s">
        <v>38</v>
      </c>
      <c r="M58" s="335">
        <v>2000</v>
      </c>
      <c r="N58" s="338"/>
      <c r="O58" s="338"/>
      <c r="P58" s="103"/>
    </row>
    <row r="59" ht="15.75" spans="1:16">
      <c r="A59" s="115">
        <v>6</v>
      </c>
      <c r="B59" s="327" t="s">
        <v>71</v>
      </c>
      <c r="C59" s="327">
        <v>10</v>
      </c>
      <c r="D59" s="115">
        <v>1800</v>
      </c>
      <c r="E59" s="310">
        <v>18000</v>
      </c>
      <c r="F59" s="308" t="s">
        <v>66</v>
      </c>
      <c r="G59" s="308" t="s">
        <v>19</v>
      </c>
      <c r="H59" s="308" t="s">
        <v>20</v>
      </c>
      <c r="I59" s="333" t="s">
        <v>38</v>
      </c>
      <c r="J59" s="333" t="s">
        <v>38</v>
      </c>
      <c r="K59" s="333" t="s">
        <v>38</v>
      </c>
      <c r="L59" s="333" t="s">
        <v>38</v>
      </c>
      <c r="M59" s="335"/>
      <c r="N59" s="335">
        <v>18000</v>
      </c>
      <c r="O59" s="103"/>
      <c r="P59" s="103"/>
    </row>
    <row r="60" ht="15.75" spans="1:16">
      <c r="A60" s="115">
        <v>7</v>
      </c>
      <c r="B60" s="327" t="s">
        <v>72</v>
      </c>
      <c r="C60" s="327">
        <v>10</v>
      </c>
      <c r="D60" s="115">
        <v>1800</v>
      </c>
      <c r="E60" s="310">
        <v>18000</v>
      </c>
      <c r="F60" s="308" t="s">
        <v>66</v>
      </c>
      <c r="G60" s="308" t="s">
        <v>19</v>
      </c>
      <c r="H60" s="308" t="s">
        <v>20</v>
      </c>
      <c r="I60" s="333" t="s">
        <v>38</v>
      </c>
      <c r="J60" s="333" t="s">
        <v>38</v>
      </c>
      <c r="K60" s="333" t="s">
        <v>38</v>
      </c>
      <c r="L60" s="333" t="s">
        <v>38</v>
      </c>
      <c r="M60" s="335">
        <v>18000</v>
      </c>
      <c r="N60" s="338"/>
      <c r="O60" s="338"/>
      <c r="P60" s="103"/>
    </row>
    <row r="61" ht="15.75" spans="1:16">
      <c r="A61" s="115">
        <v>8</v>
      </c>
      <c r="B61" s="327" t="s">
        <v>73</v>
      </c>
      <c r="C61" s="327">
        <v>10</v>
      </c>
      <c r="D61" s="115">
        <v>1800</v>
      </c>
      <c r="E61" s="310">
        <v>18000</v>
      </c>
      <c r="F61" s="308" t="s">
        <v>66</v>
      </c>
      <c r="G61" s="308" t="s">
        <v>19</v>
      </c>
      <c r="H61" s="308" t="s">
        <v>20</v>
      </c>
      <c r="I61" s="333" t="s">
        <v>38</v>
      </c>
      <c r="J61" s="333" t="s">
        <v>38</v>
      </c>
      <c r="K61" s="333" t="s">
        <v>38</v>
      </c>
      <c r="L61" s="333" t="s">
        <v>38</v>
      </c>
      <c r="M61" s="335">
        <v>18000</v>
      </c>
      <c r="N61" s="338"/>
      <c r="O61" s="338"/>
      <c r="P61" s="103"/>
    </row>
    <row r="62" ht="15.75" spans="1:16">
      <c r="A62" s="115">
        <v>9</v>
      </c>
      <c r="B62" s="327" t="s">
        <v>74</v>
      </c>
      <c r="C62" s="327">
        <v>10</v>
      </c>
      <c r="D62" s="115">
        <v>650</v>
      </c>
      <c r="E62" s="310">
        <v>6500</v>
      </c>
      <c r="F62" s="308" t="s">
        <v>66</v>
      </c>
      <c r="G62" s="308" t="s">
        <v>19</v>
      </c>
      <c r="H62" s="308" t="s">
        <v>20</v>
      </c>
      <c r="I62" s="333" t="s">
        <v>38</v>
      </c>
      <c r="J62" s="333" t="s">
        <v>38</v>
      </c>
      <c r="K62" s="333" t="s">
        <v>38</v>
      </c>
      <c r="L62" s="333" t="s">
        <v>38</v>
      </c>
      <c r="M62" s="335">
        <v>6500</v>
      </c>
      <c r="N62" s="338"/>
      <c r="O62" s="338"/>
      <c r="P62" s="103"/>
    </row>
    <row r="63" ht="15.75" spans="1:16">
      <c r="A63" s="115">
        <v>10</v>
      </c>
      <c r="B63" s="327" t="s">
        <v>75</v>
      </c>
      <c r="C63" s="327">
        <v>10</v>
      </c>
      <c r="D63" s="115">
        <v>550</v>
      </c>
      <c r="E63" s="310">
        <v>5500</v>
      </c>
      <c r="F63" s="308" t="s">
        <v>66</v>
      </c>
      <c r="G63" s="308" t="s">
        <v>19</v>
      </c>
      <c r="H63" s="308" t="s">
        <v>20</v>
      </c>
      <c r="I63" s="333" t="s">
        <v>38</v>
      </c>
      <c r="J63" s="333" t="s">
        <v>38</v>
      </c>
      <c r="K63" s="333" t="s">
        <v>38</v>
      </c>
      <c r="L63" s="333" t="s">
        <v>38</v>
      </c>
      <c r="M63" s="103">
        <v>5500</v>
      </c>
      <c r="N63" s="338"/>
      <c r="O63" s="338"/>
      <c r="P63" s="103"/>
    </row>
    <row r="64" ht="15.75" spans="1:16">
      <c r="A64" s="115">
        <v>11</v>
      </c>
      <c r="B64" s="327" t="s">
        <v>76</v>
      </c>
      <c r="C64" s="327">
        <v>25</v>
      </c>
      <c r="D64" s="115">
        <v>450</v>
      </c>
      <c r="E64" s="310">
        <v>11250</v>
      </c>
      <c r="F64" s="308" t="s">
        <v>66</v>
      </c>
      <c r="G64" s="308" t="s">
        <v>19</v>
      </c>
      <c r="H64" s="308" t="s">
        <v>20</v>
      </c>
      <c r="I64" s="333" t="s">
        <v>38</v>
      </c>
      <c r="J64" s="333" t="s">
        <v>38</v>
      </c>
      <c r="K64" s="333" t="s">
        <v>38</v>
      </c>
      <c r="L64" s="333" t="s">
        <v>38</v>
      </c>
      <c r="M64" s="103">
        <v>11250</v>
      </c>
      <c r="N64" s="103"/>
      <c r="O64" s="338"/>
      <c r="P64" s="103"/>
    </row>
    <row r="65" ht="15.75" spans="1:16">
      <c r="A65" s="115">
        <v>12</v>
      </c>
      <c r="B65" s="327" t="s">
        <v>77</v>
      </c>
      <c r="C65" s="327">
        <v>25</v>
      </c>
      <c r="D65" s="115">
        <v>40</v>
      </c>
      <c r="E65" s="310">
        <v>1000</v>
      </c>
      <c r="F65" s="308" t="s">
        <v>66</v>
      </c>
      <c r="G65" s="308" t="s">
        <v>19</v>
      </c>
      <c r="H65" s="308" t="s">
        <v>20</v>
      </c>
      <c r="I65" s="333" t="s">
        <v>38</v>
      </c>
      <c r="J65" s="333" t="s">
        <v>38</v>
      </c>
      <c r="K65" s="333" t="s">
        <v>38</v>
      </c>
      <c r="L65" s="333" t="s">
        <v>38</v>
      </c>
      <c r="M65" s="103">
        <v>1000</v>
      </c>
      <c r="N65" s="103"/>
      <c r="O65" s="103"/>
      <c r="P65" s="103"/>
    </row>
    <row r="66" ht="15.75" spans="1:16">
      <c r="A66" s="115">
        <v>13</v>
      </c>
      <c r="B66" s="327" t="s">
        <v>78</v>
      </c>
      <c r="C66" s="327">
        <v>25</v>
      </c>
      <c r="D66" s="115">
        <v>250</v>
      </c>
      <c r="E66" s="310">
        <v>6250</v>
      </c>
      <c r="F66" s="308" t="s">
        <v>66</v>
      </c>
      <c r="G66" s="308" t="s">
        <v>19</v>
      </c>
      <c r="H66" s="308" t="s">
        <v>20</v>
      </c>
      <c r="I66" s="333" t="s">
        <v>38</v>
      </c>
      <c r="J66" s="333" t="s">
        <v>38</v>
      </c>
      <c r="K66" s="333" t="s">
        <v>38</v>
      </c>
      <c r="L66" s="333" t="s">
        <v>38</v>
      </c>
      <c r="M66" s="103"/>
      <c r="N66" s="103">
        <v>6250</v>
      </c>
      <c r="O66" s="103"/>
      <c r="P66" s="103"/>
    </row>
    <row r="67" ht="15.75" spans="1:16">
      <c r="A67" s="115">
        <v>14</v>
      </c>
      <c r="B67" s="327" t="s">
        <v>79</v>
      </c>
      <c r="C67" s="327">
        <v>25</v>
      </c>
      <c r="D67" s="115">
        <v>250</v>
      </c>
      <c r="E67" s="310">
        <v>6250</v>
      </c>
      <c r="F67" s="308" t="s">
        <v>66</v>
      </c>
      <c r="G67" s="308" t="s">
        <v>19</v>
      </c>
      <c r="H67" s="308" t="s">
        <v>20</v>
      </c>
      <c r="I67" s="333" t="s">
        <v>38</v>
      </c>
      <c r="J67" s="333" t="s">
        <v>38</v>
      </c>
      <c r="K67" s="333" t="s">
        <v>38</v>
      </c>
      <c r="L67" s="333" t="s">
        <v>38</v>
      </c>
      <c r="M67" s="103"/>
      <c r="N67" s="103"/>
      <c r="O67" s="103">
        <v>6250</v>
      </c>
      <c r="P67" s="103"/>
    </row>
    <row r="68" ht="15.75" spans="1:16">
      <c r="A68" s="115">
        <v>15</v>
      </c>
      <c r="B68" s="327" t="s">
        <v>80</v>
      </c>
      <c r="C68" s="327">
        <v>75</v>
      </c>
      <c r="D68" s="115">
        <v>80</v>
      </c>
      <c r="E68" s="310">
        <v>6000</v>
      </c>
      <c r="F68" s="308" t="s">
        <v>66</v>
      </c>
      <c r="G68" s="308" t="s">
        <v>19</v>
      </c>
      <c r="H68" s="308" t="s">
        <v>20</v>
      </c>
      <c r="I68" s="333" t="s">
        <v>38</v>
      </c>
      <c r="J68" s="333" t="s">
        <v>38</v>
      </c>
      <c r="K68" s="333" t="s">
        <v>38</v>
      </c>
      <c r="L68" s="333" t="s">
        <v>38</v>
      </c>
      <c r="M68" s="103"/>
      <c r="N68" s="103"/>
      <c r="O68" s="103">
        <v>6000</v>
      </c>
      <c r="P68" s="103"/>
    </row>
    <row r="69" ht="15.75" spans="1:16">
      <c r="A69" s="115">
        <v>16</v>
      </c>
      <c r="B69" s="327" t="s">
        <v>81</v>
      </c>
      <c r="C69" s="327">
        <v>10</v>
      </c>
      <c r="D69" s="115">
        <v>750</v>
      </c>
      <c r="E69" s="310">
        <v>7500</v>
      </c>
      <c r="F69" s="308" t="s">
        <v>66</v>
      </c>
      <c r="G69" s="308" t="s">
        <v>19</v>
      </c>
      <c r="H69" s="308" t="s">
        <v>20</v>
      </c>
      <c r="I69" s="333" t="s">
        <v>38</v>
      </c>
      <c r="J69" s="333" t="s">
        <v>38</v>
      </c>
      <c r="K69" s="333" t="s">
        <v>38</v>
      </c>
      <c r="L69" s="333" t="s">
        <v>38</v>
      </c>
      <c r="M69" s="352"/>
      <c r="N69" s="353">
        <v>750007</v>
      </c>
      <c r="O69" s="354"/>
      <c r="P69" s="103">
        <v>7500</v>
      </c>
    </row>
    <row r="70" ht="15.75" spans="1:16">
      <c r="A70" s="115">
        <v>16</v>
      </c>
      <c r="B70" s="327" t="s">
        <v>82</v>
      </c>
      <c r="C70" s="327">
        <v>10</v>
      </c>
      <c r="D70" s="115">
        <v>750</v>
      </c>
      <c r="E70" s="310">
        <v>7500</v>
      </c>
      <c r="F70" s="308" t="s">
        <v>66</v>
      </c>
      <c r="G70" s="308" t="s">
        <v>19</v>
      </c>
      <c r="H70" s="308" t="s">
        <v>20</v>
      </c>
      <c r="I70" s="333" t="s">
        <v>38</v>
      </c>
      <c r="J70" s="333" t="s">
        <v>38</v>
      </c>
      <c r="K70" s="333" t="s">
        <v>38</v>
      </c>
      <c r="L70" s="333" t="s">
        <v>38</v>
      </c>
      <c r="M70" s="352"/>
      <c r="N70" s="354"/>
      <c r="O70" s="352"/>
      <c r="P70" s="355">
        <v>7500</v>
      </c>
    </row>
    <row r="71" ht="15.75" spans="1:16">
      <c r="A71" s="115">
        <v>17</v>
      </c>
      <c r="B71" s="327" t="s">
        <v>83</v>
      </c>
      <c r="C71" s="327">
        <v>10</v>
      </c>
      <c r="D71" s="115">
        <v>750</v>
      </c>
      <c r="E71" s="310">
        <v>7500</v>
      </c>
      <c r="F71" s="308" t="s">
        <v>66</v>
      </c>
      <c r="G71" s="308" t="s">
        <v>19</v>
      </c>
      <c r="H71" s="308" t="s">
        <v>20</v>
      </c>
      <c r="I71" s="333" t="s">
        <v>38</v>
      </c>
      <c r="J71" s="333" t="s">
        <v>38</v>
      </c>
      <c r="K71" s="333" t="s">
        <v>38</v>
      </c>
      <c r="L71" s="333" t="s">
        <v>38</v>
      </c>
      <c r="M71" s="339"/>
      <c r="N71" s="339"/>
      <c r="O71" s="339"/>
      <c r="P71" s="339">
        <v>7500</v>
      </c>
    </row>
    <row r="72" ht="15.75" spans="1:16">
      <c r="A72" s="115">
        <v>18</v>
      </c>
      <c r="B72" s="327" t="s">
        <v>84</v>
      </c>
      <c r="C72" s="327">
        <v>30</v>
      </c>
      <c r="D72" s="115">
        <v>550</v>
      </c>
      <c r="E72" s="310">
        <v>16500</v>
      </c>
      <c r="F72" s="308" t="s">
        <v>66</v>
      </c>
      <c r="G72" s="308" t="s">
        <v>19</v>
      </c>
      <c r="H72" s="308" t="s">
        <v>20</v>
      </c>
      <c r="I72" s="333" t="s">
        <v>38</v>
      </c>
      <c r="J72" s="333" t="s">
        <v>38</v>
      </c>
      <c r="K72" s="333" t="s">
        <v>38</v>
      </c>
      <c r="L72" s="333" t="s">
        <v>38</v>
      </c>
      <c r="M72" s="339"/>
      <c r="N72" s="339">
        <v>16500</v>
      </c>
      <c r="O72" s="339"/>
      <c r="P72" s="339"/>
    </row>
    <row r="73" ht="15.75" spans="1:16">
      <c r="A73" s="115">
        <v>19</v>
      </c>
      <c r="B73" s="327" t="s">
        <v>85</v>
      </c>
      <c r="C73" s="327">
        <v>30</v>
      </c>
      <c r="D73" s="115">
        <v>550</v>
      </c>
      <c r="E73" s="310">
        <v>16500</v>
      </c>
      <c r="F73" s="308" t="s">
        <v>66</v>
      </c>
      <c r="G73" s="308" t="s">
        <v>19</v>
      </c>
      <c r="H73" s="308" t="s">
        <v>20</v>
      </c>
      <c r="I73" s="333" t="s">
        <v>38</v>
      </c>
      <c r="J73" s="333" t="s">
        <v>38</v>
      </c>
      <c r="K73" s="333" t="s">
        <v>38</v>
      </c>
      <c r="L73" s="333" t="s">
        <v>38</v>
      </c>
      <c r="M73" s="339"/>
      <c r="N73" s="339">
        <v>16500</v>
      </c>
      <c r="O73" s="339"/>
      <c r="P73" s="339"/>
    </row>
    <row r="74" ht="15.75" spans="1:16">
      <c r="A74" s="115">
        <v>20</v>
      </c>
      <c r="B74" s="327" t="s">
        <v>86</v>
      </c>
      <c r="C74" s="327">
        <v>10</v>
      </c>
      <c r="D74" s="115">
        <v>220</v>
      </c>
      <c r="E74" s="310">
        <v>2200</v>
      </c>
      <c r="F74" s="308" t="s">
        <v>66</v>
      </c>
      <c r="G74" s="308" t="s">
        <v>19</v>
      </c>
      <c r="H74" s="308" t="s">
        <v>20</v>
      </c>
      <c r="I74" s="333" t="s">
        <v>38</v>
      </c>
      <c r="J74" s="333" t="s">
        <v>38</v>
      </c>
      <c r="K74" s="333" t="s">
        <v>38</v>
      </c>
      <c r="L74" s="333" t="s">
        <v>38</v>
      </c>
      <c r="M74" s="339"/>
      <c r="N74" s="339">
        <v>2200</v>
      </c>
      <c r="O74" s="339"/>
      <c r="P74" s="339"/>
    </row>
    <row r="75" ht="15.75" spans="1:16">
      <c r="A75" s="115">
        <v>21</v>
      </c>
      <c r="B75" s="327" t="s">
        <v>87</v>
      </c>
      <c r="C75" s="327">
        <v>10</v>
      </c>
      <c r="D75" s="115">
        <v>220</v>
      </c>
      <c r="E75" s="310">
        <v>2200</v>
      </c>
      <c r="F75" s="308" t="s">
        <v>66</v>
      </c>
      <c r="G75" s="308" t="s">
        <v>19</v>
      </c>
      <c r="H75" s="308" t="s">
        <v>20</v>
      </c>
      <c r="I75" s="333" t="s">
        <v>38</v>
      </c>
      <c r="J75" s="333" t="s">
        <v>38</v>
      </c>
      <c r="K75" s="333" t="s">
        <v>38</v>
      </c>
      <c r="L75" s="333" t="s">
        <v>38</v>
      </c>
      <c r="M75" s="339"/>
      <c r="N75" s="339">
        <v>2200</v>
      </c>
      <c r="O75" s="339"/>
      <c r="P75" s="339"/>
    </row>
    <row r="76" ht="15.75" spans="1:16">
      <c r="A76" s="115">
        <v>22</v>
      </c>
      <c r="B76" s="327" t="s">
        <v>88</v>
      </c>
      <c r="C76" s="327">
        <v>20</v>
      </c>
      <c r="D76" s="115">
        <v>950</v>
      </c>
      <c r="E76" s="310">
        <v>19000</v>
      </c>
      <c r="F76" s="308" t="s">
        <v>66</v>
      </c>
      <c r="G76" s="308" t="s">
        <v>19</v>
      </c>
      <c r="H76" s="308" t="s">
        <v>20</v>
      </c>
      <c r="I76" s="333" t="s">
        <v>38</v>
      </c>
      <c r="J76" s="333" t="s">
        <v>38</v>
      </c>
      <c r="K76" s="333" t="s">
        <v>38</v>
      </c>
      <c r="L76" s="333" t="s">
        <v>38</v>
      </c>
      <c r="M76" s="339"/>
      <c r="N76" s="339">
        <v>19000</v>
      </c>
      <c r="O76" s="339"/>
      <c r="P76" s="339"/>
    </row>
    <row r="77" ht="15.75" spans="1:16">
      <c r="A77" s="115">
        <v>23</v>
      </c>
      <c r="B77" s="327" t="s">
        <v>89</v>
      </c>
      <c r="C77" s="327">
        <v>50</v>
      </c>
      <c r="D77" s="115">
        <v>120</v>
      </c>
      <c r="E77" s="310">
        <v>6000</v>
      </c>
      <c r="F77" s="308" t="s">
        <v>66</v>
      </c>
      <c r="G77" s="308" t="s">
        <v>19</v>
      </c>
      <c r="H77" s="308" t="s">
        <v>20</v>
      </c>
      <c r="I77" s="333" t="s">
        <v>38</v>
      </c>
      <c r="J77" s="333" t="s">
        <v>38</v>
      </c>
      <c r="K77" s="333" t="s">
        <v>38</v>
      </c>
      <c r="L77" s="333" t="s">
        <v>38</v>
      </c>
      <c r="M77" s="339"/>
      <c r="N77" s="339">
        <v>6000</v>
      </c>
      <c r="O77" s="339"/>
      <c r="P77" s="339"/>
    </row>
    <row r="78" ht="15.75" spans="1:16">
      <c r="A78" s="115">
        <v>24</v>
      </c>
      <c r="B78" s="327" t="s">
        <v>90</v>
      </c>
      <c r="C78" s="327">
        <v>10</v>
      </c>
      <c r="D78" s="115">
        <v>6000</v>
      </c>
      <c r="E78" s="310">
        <v>60000</v>
      </c>
      <c r="F78" s="308" t="s">
        <v>66</v>
      </c>
      <c r="G78" s="308" t="s">
        <v>19</v>
      </c>
      <c r="H78" s="308" t="s">
        <v>20</v>
      </c>
      <c r="I78" s="333" t="s">
        <v>38</v>
      </c>
      <c r="J78" s="333" t="s">
        <v>38</v>
      </c>
      <c r="K78" s="333" t="s">
        <v>38</v>
      </c>
      <c r="L78" s="333" t="s">
        <v>38</v>
      </c>
      <c r="M78" s="339"/>
      <c r="N78" s="339">
        <v>30000</v>
      </c>
      <c r="O78" s="339">
        <v>30000</v>
      </c>
      <c r="P78" s="339"/>
    </row>
    <row r="79" ht="15.75" spans="1:16">
      <c r="A79" s="115">
        <v>25</v>
      </c>
      <c r="B79" s="327" t="s">
        <v>91</v>
      </c>
      <c r="C79" s="327">
        <v>10</v>
      </c>
      <c r="D79" s="115">
        <v>5000</v>
      </c>
      <c r="E79" s="310">
        <v>50000</v>
      </c>
      <c r="F79" s="308" t="s">
        <v>66</v>
      </c>
      <c r="G79" s="308" t="s">
        <v>19</v>
      </c>
      <c r="H79" s="308" t="s">
        <v>20</v>
      </c>
      <c r="I79" s="333" t="s">
        <v>38</v>
      </c>
      <c r="J79" s="333" t="s">
        <v>38</v>
      </c>
      <c r="K79" s="333" t="s">
        <v>38</v>
      </c>
      <c r="L79" s="333" t="s">
        <v>38</v>
      </c>
      <c r="M79" s="339"/>
      <c r="N79" s="339">
        <v>25000</v>
      </c>
      <c r="O79" s="339">
        <v>25000</v>
      </c>
      <c r="P79" s="339"/>
    </row>
    <row r="80" ht="15.75" spans="1:16">
      <c r="A80" s="115">
        <v>26</v>
      </c>
      <c r="B80" s="327" t="s">
        <v>92</v>
      </c>
      <c r="C80" s="327">
        <v>10</v>
      </c>
      <c r="D80" s="115">
        <v>3500</v>
      </c>
      <c r="E80" s="310">
        <v>35000</v>
      </c>
      <c r="F80" s="308" t="s">
        <v>66</v>
      </c>
      <c r="G80" s="308" t="s">
        <v>19</v>
      </c>
      <c r="H80" s="308" t="s">
        <v>20</v>
      </c>
      <c r="I80" s="333" t="s">
        <v>38</v>
      </c>
      <c r="J80" s="333" t="s">
        <v>38</v>
      </c>
      <c r="K80" s="333" t="s">
        <v>38</v>
      </c>
      <c r="L80" s="333" t="s">
        <v>38</v>
      </c>
      <c r="M80" s="339"/>
      <c r="N80" s="339">
        <v>17500</v>
      </c>
      <c r="O80" s="339">
        <v>17500</v>
      </c>
      <c r="P80" s="339"/>
    </row>
    <row r="81" ht="15.75" spans="1:16">
      <c r="A81" s="115">
        <v>27</v>
      </c>
      <c r="B81" s="327" t="s">
        <v>93</v>
      </c>
      <c r="C81" s="327">
        <v>10</v>
      </c>
      <c r="D81" s="115">
        <v>150</v>
      </c>
      <c r="E81" s="310">
        <v>1500</v>
      </c>
      <c r="F81" s="308" t="s">
        <v>66</v>
      </c>
      <c r="G81" s="308" t="s">
        <v>19</v>
      </c>
      <c r="H81" s="308" t="s">
        <v>20</v>
      </c>
      <c r="I81" s="333" t="s">
        <v>38</v>
      </c>
      <c r="J81" s="333" t="s">
        <v>38</v>
      </c>
      <c r="K81" s="333" t="s">
        <v>38</v>
      </c>
      <c r="L81" s="333" t="s">
        <v>38</v>
      </c>
      <c r="M81" s="339">
        <v>1500</v>
      </c>
      <c r="N81" s="339"/>
      <c r="O81" s="339"/>
      <c r="P81" s="339"/>
    </row>
    <row r="82" ht="15.75" spans="1:16">
      <c r="A82" s="115">
        <v>28</v>
      </c>
      <c r="B82" s="321" t="s">
        <v>94</v>
      </c>
      <c r="C82" s="321">
        <v>3</v>
      </c>
      <c r="D82" s="115">
        <v>2500</v>
      </c>
      <c r="E82" s="310">
        <f>C82*D82</f>
        <v>7500</v>
      </c>
      <c r="F82" s="308" t="s">
        <v>42</v>
      </c>
      <c r="G82" s="320" t="s">
        <v>19</v>
      </c>
      <c r="H82" s="308" t="s">
        <v>20</v>
      </c>
      <c r="I82" s="333" t="s">
        <v>38</v>
      </c>
      <c r="J82" s="333" t="s">
        <v>38</v>
      </c>
      <c r="K82" s="333" t="s">
        <v>38</v>
      </c>
      <c r="L82" s="333" t="s">
        <v>38</v>
      </c>
      <c r="M82" s="115">
        <v>7500</v>
      </c>
      <c r="N82" s="115"/>
      <c r="O82" s="115"/>
      <c r="P82" s="71"/>
    </row>
    <row r="83" spans="1:16">
      <c r="A83" s="115"/>
      <c r="B83" s="306" t="s">
        <v>22</v>
      </c>
      <c r="C83" s="115"/>
      <c r="D83" s="115"/>
      <c r="E83" s="324">
        <f>SUM(E54:E82)</f>
        <v>453950</v>
      </c>
      <c r="F83" s="115"/>
      <c r="G83" s="115"/>
      <c r="H83" s="115"/>
      <c r="I83" s="115"/>
      <c r="J83" s="115"/>
      <c r="K83" s="115"/>
      <c r="L83" s="115"/>
      <c r="M83" s="115"/>
      <c r="N83" s="115"/>
      <c r="O83" s="115"/>
      <c r="P83" s="115"/>
    </row>
    <row r="84" spans="1:16">
      <c r="A84" s="115"/>
      <c r="B84" s="115"/>
      <c r="C84" s="115"/>
      <c r="D84" s="115"/>
      <c r="E84" s="115"/>
      <c r="F84" s="115"/>
      <c r="G84" s="115"/>
      <c r="H84" s="115"/>
      <c r="I84" s="115"/>
      <c r="J84" s="115"/>
      <c r="K84" s="115"/>
      <c r="L84" s="115"/>
      <c r="M84" s="115"/>
      <c r="N84" s="115"/>
      <c r="O84" s="115"/>
      <c r="P84" s="115"/>
    </row>
    <row r="85" spans="1:16">
      <c r="A85" s="115"/>
      <c r="B85" s="115"/>
      <c r="C85" s="115"/>
      <c r="D85" s="115"/>
      <c r="E85" s="115"/>
      <c r="F85" s="115"/>
      <c r="G85" s="115"/>
      <c r="H85" s="115"/>
      <c r="I85" s="115"/>
      <c r="J85" s="115"/>
      <c r="K85" s="115"/>
      <c r="L85" s="115"/>
      <c r="M85" s="115"/>
      <c r="N85" s="115"/>
      <c r="O85" s="115"/>
      <c r="P85" s="115"/>
    </row>
    <row r="86" spans="1:16">
      <c r="A86" s="306">
        <v>7</v>
      </c>
      <c r="B86" s="306" t="s">
        <v>95</v>
      </c>
      <c r="C86" s="115"/>
      <c r="D86" s="115"/>
      <c r="E86" s="115"/>
      <c r="F86" s="115"/>
      <c r="G86" s="115"/>
      <c r="H86" s="115"/>
      <c r="I86" s="115"/>
      <c r="J86" s="115"/>
      <c r="K86" s="115"/>
      <c r="L86" s="115"/>
      <c r="M86" s="115"/>
      <c r="N86" s="115"/>
      <c r="O86" s="115"/>
      <c r="P86" s="115"/>
    </row>
    <row r="87" ht="15.75" spans="1:16">
      <c r="A87" s="115">
        <v>1</v>
      </c>
      <c r="B87" s="28" t="s">
        <v>96</v>
      </c>
      <c r="C87" s="115">
        <v>1</v>
      </c>
      <c r="D87" s="115">
        <v>20000</v>
      </c>
      <c r="E87" s="310">
        <f t="shared" ref="E87:E93" si="1">C87*D87</f>
        <v>20000</v>
      </c>
      <c r="F87" s="255" t="s">
        <v>25</v>
      </c>
      <c r="G87" s="152" t="s">
        <v>19</v>
      </c>
      <c r="H87" s="308" t="s">
        <v>20</v>
      </c>
      <c r="I87" s="152" t="s">
        <v>21</v>
      </c>
      <c r="J87" s="152" t="s">
        <v>21</v>
      </c>
      <c r="K87" s="152" t="s">
        <v>21</v>
      </c>
      <c r="L87" s="152" t="s">
        <v>21</v>
      </c>
      <c r="M87" s="71">
        <v>20000</v>
      </c>
      <c r="N87" s="71"/>
      <c r="O87" s="71"/>
      <c r="P87" s="71"/>
    </row>
    <row r="88" ht="15.75" spans="1:16">
      <c r="A88" s="115">
        <v>2</v>
      </c>
      <c r="B88" s="28" t="s">
        <v>97</v>
      </c>
      <c r="C88" s="115">
        <v>4</v>
      </c>
      <c r="D88" s="115">
        <v>13500</v>
      </c>
      <c r="E88" s="310">
        <f t="shared" si="1"/>
        <v>54000</v>
      </c>
      <c r="F88" s="255" t="s">
        <v>25</v>
      </c>
      <c r="G88" s="152" t="s">
        <v>19</v>
      </c>
      <c r="H88" s="308" t="s">
        <v>20</v>
      </c>
      <c r="I88" s="152" t="s">
        <v>21</v>
      </c>
      <c r="J88" s="152" t="s">
        <v>21</v>
      </c>
      <c r="K88" s="152" t="s">
        <v>21</v>
      </c>
      <c r="L88" s="152" t="s">
        <v>21</v>
      </c>
      <c r="M88" s="71">
        <v>54000</v>
      </c>
      <c r="N88" s="71"/>
      <c r="O88" s="71"/>
      <c r="P88" s="71"/>
    </row>
    <row r="89" ht="15.75" spans="1:16">
      <c r="A89" s="115">
        <v>3</v>
      </c>
      <c r="B89" s="115" t="s">
        <v>98</v>
      </c>
      <c r="C89" s="115">
        <v>4</v>
      </c>
      <c r="D89" s="310">
        <v>40000</v>
      </c>
      <c r="E89" s="310">
        <f t="shared" si="1"/>
        <v>160000</v>
      </c>
      <c r="F89" s="308" t="s">
        <v>99</v>
      </c>
      <c r="G89" s="308" t="s">
        <v>19</v>
      </c>
      <c r="H89" s="308" t="s">
        <v>20</v>
      </c>
      <c r="I89" s="152" t="s">
        <v>21</v>
      </c>
      <c r="J89" s="152" t="s">
        <v>21</v>
      </c>
      <c r="K89" s="152" t="s">
        <v>21</v>
      </c>
      <c r="L89" s="152" t="s">
        <v>21</v>
      </c>
      <c r="M89" s="334">
        <v>20000</v>
      </c>
      <c r="N89" s="334">
        <v>20000</v>
      </c>
      <c r="O89" s="115"/>
      <c r="P89" s="115"/>
    </row>
    <row r="90" ht="15.75" spans="1:16">
      <c r="A90" s="115">
        <v>4</v>
      </c>
      <c r="B90" s="115" t="s">
        <v>100</v>
      </c>
      <c r="C90" s="115">
        <v>2</v>
      </c>
      <c r="D90" s="115">
        <v>45000</v>
      </c>
      <c r="E90" s="115">
        <f t="shared" si="1"/>
        <v>90000</v>
      </c>
      <c r="F90" s="308" t="s">
        <v>18</v>
      </c>
      <c r="G90" s="308" t="s">
        <v>19</v>
      </c>
      <c r="H90" s="308" t="s">
        <v>20</v>
      </c>
      <c r="I90" s="152" t="s">
        <v>21</v>
      </c>
      <c r="J90" s="152" t="s">
        <v>21</v>
      </c>
      <c r="K90" s="152" t="s">
        <v>21</v>
      </c>
      <c r="L90" s="152" t="s">
        <v>21</v>
      </c>
      <c r="M90" s="115">
        <v>90000</v>
      </c>
      <c r="N90" s="115"/>
      <c r="O90" s="115"/>
      <c r="P90" s="115"/>
    </row>
    <row r="91" ht="15.75" spans="1:16">
      <c r="A91" s="115">
        <v>5</v>
      </c>
      <c r="B91" s="115" t="s">
        <v>101</v>
      </c>
      <c r="C91" s="115">
        <v>2</v>
      </c>
      <c r="D91" s="115">
        <v>25000</v>
      </c>
      <c r="E91" s="115">
        <f t="shared" si="1"/>
        <v>50000</v>
      </c>
      <c r="F91" s="308" t="s">
        <v>18</v>
      </c>
      <c r="G91" s="308" t="s">
        <v>19</v>
      </c>
      <c r="H91" s="308" t="s">
        <v>20</v>
      </c>
      <c r="I91" s="152" t="s">
        <v>21</v>
      </c>
      <c r="J91" s="152" t="s">
        <v>21</v>
      </c>
      <c r="K91" s="152" t="s">
        <v>21</v>
      </c>
      <c r="L91" s="152" t="s">
        <v>21</v>
      </c>
      <c r="M91" s="115">
        <v>50000</v>
      </c>
      <c r="N91" s="115"/>
      <c r="O91" s="115"/>
      <c r="P91" s="115"/>
    </row>
    <row r="92" ht="15.75" spans="1:16">
      <c r="A92" s="115">
        <v>6</v>
      </c>
      <c r="B92" s="115" t="s">
        <v>102</v>
      </c>
      <c r="C92" s="115">
        <v>4</v>
      </c>
      <c r="D92" s="115">
        <v>15000</v>
      </c>
      <c r="E92" s="115">
        <f t="shared" si="1"/>
        <v>60000</v>
      </c>
      <c r="F92" s="308" t="s">
        <v>18</v>
      </c>
      <c r="G92" s="308" t="s">
        <v>19</v>
      </c>
      <c r="H92" s="308" t="s">
        <v>20</v>
      </c>
      <c r="I92" s="152" t="s">
        <v>21</v>
      </c>
      <c r="J92" s="152" t="s">
        <v>21</v>
      </c>
      <c r="K92" s="152" t="s">
        <v>21</v>
      </c>
      <c r="L92" s="152" t="s">
        <v>21</v>
      </c>
      <c r="M92" s="115">
        <v>60000</v>
      </c>
      <c r="N92" s="115"/>
      <c r="O92" s="115"/>
      <c r="P92" s="115"/>
    </row>
    <row r="93" ht="15.75" spans="1:16">
      <c r="A93" s="115">
        <v>7</v>
      </c>
      <c r="B93" s="339" t="s">
        <v>103</v>
      </c>
      <c r="C93" s="340">
        <v>1</v>
      </c>
      <c r="D93" s="341">
        <v>28450</v>
      </c>
      <c r="E93" s="341">
        <f t="shared" si="1"/>
        <v>28450</v>
      </c>
      <c r="F93" s="318" t="s">
        <v>104</v>
      </c>
      <c r="G93" s="308" t="s">
        <v>19</v>
      </c>
      <c r="H93" s="308" t="s">
        <v>20</v>
      </c>
      <c r="I93" s="152" t="s">
        <v>21</v>
      </c>
      <c r="J93" s="152" t="s">
        <v>21</v>
      </c>
      <c r="K93" s="152" t="s">
        <v>21</v>
      </c>
      <c r="L93" s="152" t="s">
        <v>21</v>
      </c>
      <c r="M93" s="331"/>
      <c r="N93" s="331">
        <v>28450</v>
      </c>
      <c r="O93" s="331"/>
      <c r="P93" s="332"/>
    </row>
    <row r="94" ht="15.75" spans="1:16">
      <c r="A94" s="115">
        <v>8</v>
      </c>
      <c r="B94" s="115" t="s">
        <v>105</v>
      </c>
      <c r="C94" s="115">
        <v>1</v>
      </c>
      <c r="D94" s="115">
        <v>40000</v>
      </c>
      <c r="E94" s="115">
        <v>40000</v>
      </c>
      <c r="F94" s="308" t="s">
        <v>37</v>
      </c>
      <c r="G94" s="320" t="s">
        <v>19</v>
      </c>
      <c r="H94" s="308" t="s">
        <v>20</v>
      </c>
      <c r="I94" s="333" t="s">
        <v>38</v>
      </c>
      <c r="J94" s="333" t="s">
        <v>38</v>
      </c>
      <c r="K94" s="333" t="s">
        <v>38</v>
      </c>
      <c r="L94" s="333" t="s">
        <v>38</v>
      </c>
      <c r="M94" s="115">
        <v>40000</v>
      </c>
      <c r="N94" s="115"/>
      <c r="O94" s="115"/>
      <c r="P94" s="115"/>
    </row>
    <row r="95" ht="15.75" spans="1:16">
      <c r="A95" s="115">
        <v>9</v>
      </c>
      <c r="B95" s="115" t="s">
        <v>106</v>
      </c>
      <c r="C95" s="115">
        <v>1</v>
      </c>
      <c r="D95" s="115">
        <v>20000</v>
      </c>
      <c r="E95" s="115">
        <v>20000</v>
      </c>
      <c r="F95" s="308" t="s">
        <v>37</v>
      </c>
      <c r="G95" s="320" t="s">
        <v>19</v>
      </c>
      <c r="H95" s="308" t="s">
        <v>20</v>
      </c>
      <c r="I95" s="333" t="s">
        <v>38</v>
      </c>
      <c r="J95" s="333" t="s">
        <v>38</v>
      </c>
      <c r="K95" s="333" t="s">
        <v>38</v>
      </c>
      <c r="L95" s="333" t="s">
        <v>38</v>
      </c>
      <c r="M95" s="115"/>
      <c r="N95" s="115">
        <v>20000</v>
      </c>
      <c r="O95" s="115"/>
      <c r="P95" s="115"/>
    </row>
    <row r="96" ht="15.75" spans="1:16">
      <c r="A96" s="115">
        <v>10</v>
      </c>
      <c r="B96" s="115" t="s">
        <v>107</v>
      </c>
      <c r="C96" s="115">
        <v>3</v>
      </c>
      <c r="D96" s="115">
        <v>28000</v>
      </c>
      <c r="E96" s="115">
        <v>84000</v>
      </c>
      <c r="F96" s="308" t="s">
        <v>37</v>
      </c>
      <c r="G96" s="320" t="s">
        <v>19</v>
      </c>
      <c r="H96" s="308" t="s">
        <v>20</v>
      </c>
      <c r="I96" s="333" t="s">
        <v>38</v>
      </c>
      <c r="J96" s="333" t="s">
        <v>38</v>
      </c>
      <c r="K96" s="333" t="s">
        <v>38</v>
      </c>
      <c r="L96" s="333" t="s">
        <v>38</v>
      </c>
      <c r="M96" s="115">
        <v>28000</v>
      </c>
      <c r="N96" s="115">
        <v>28000</v>
      </c>
      <c r="O96" s="115">
        <v>28000</v>
      </c>
      <c r="P96" s="115">
        <v>28000</v>
      </c>
    </row>
    <row r="97" ht="15.75" spans="1:16">
      <c r="A97" s="115">
        <v>11</v>
      </c>
      <c r="B97" s="115" t="s">
        <v>108</v>
      </c>
      <c r="C97" s="115">
        <v>1</v>
      </c>
      <c r="D97" s="115">
        <v>20000</v>
      </c>
      <c r="E97" s="115">
        <v>20000</v>
      </c>
      <c r="F97" s="308" t="s">
        <v>37</v>
      </c>
      <c r="G97" s="320" t="s">
        <v>19</v>
      </c>
      <c r="H97" s="308" t="s">
        <v>20</v>
      </c>
      <c r="I97" s="333" t="s">
        <v>38</v>
      </c>
      <c r="J97" s="333" t="s">
        <v>38</v>
      </c>
      <c r="K97" s="333" t="s">
        <v>38</v>
      </c>
      <c r="L97" s="333" t="s">
        <v>38</v>
      </c>
      <c r="M97" s="115"/>
      <c r="N97" s="115"/>
      <c r="O97" s="115">
        <v>20000</v>
      </c>
      <c r="P97" s="115"/>
    </row>
    <row r="98" ht="15.75" spans="1:16">
      <c r="A98" s="115">
        <v>12</v>
      </c>
      <c r="B98" s="115" t="s">
        <v>109</v>
      </c>
      <c r="C98" s="115">
        <v>2</v>
      </c>
      <c r="D98" s="115">
        <v>15000</v>
      </c>
      <c r="E98" s="115">
        <v>30000</v>
      </c>
      <c r="F98" s="308" t="s">
        <v>37</v>
      </c>
      <c r="G98" s="320" t="s">
        <v>19</v>
      </c>
      <c r="H98" s="308" t="s">
        <v>20</v>
      </c>
      <c r="I98" s="333" t="s">
        <v>38</v>
      </c>
      <c r="J98" s="333" t="s">
        <v>38</v>
      </c>
      <c r="K98" s="333" t="s">
        <v>38</v>
      </c>
      <c r="L98" s="333" t="s">
        <v>38</v>
      </c>
      <c r="M98" s="115">
        <v>30000</v>
      </c>
      <c r="N98" s="115"/>
      <c r="O98" s="115"/>
      <c r="P98" s="115"/>
    </row>
    <row r="99" ht="15.75" spans="1:16">
      <c r="A99" s="115">
        <v>13</v>
      </c>
      <c r="B99" s="115" t="s">
        <v>110</v>
      </c>
      <c r="C99" s="115">
        <v>2</v>
      </c>
      <c r="D99" s="115">
        <v>38000</v>
      </c>
      <c r="E99" s="319">
        <v>76000</v>
      </c>
      <c r="F99" s="308" t="s">
        <v>37</v>
      </c>
      <c r="G99" s="320" t="s">
        <v>19</v>
      </c>
      <c r="H99" s="308" t="s">
        <v>20</v>
      </c>
      <c r="I99" s="333" t="s">
        <v>38</v>
      </c>
      <c r="J99" s="333" t="s">
        <v>38</v>
      </c>
      <c r="K99" s="333" t="s">
        <v>38</v>
      </c>
      <c r="L99" s="333" t="s">
        <v>38</v>
      </c>
      <c r="M99" s="115">
        <v>38000</v>
      </c>
      <c r="N99" s="115">
        <v>38000</v>
      </c>
      <c r="O99" s="115"/>
      <c r="P99" s="115"/>
    </row>
    <row r="100" ht="15.75" spans="1:16">
      <c r="A100" s="115">
        <v>14</v>
      </c>
      <c r="B100" s="115" t="s">
        <v>111</v>
      </c>
      <c r="C100" s="115">
        <v>10</v>
      </c>
      <c r="D100" s="115">
        <v>10000</v>
      </c>
      <c r="E100" s="115">
        <f>D100*C100</f>
        <v>100000</v>
      </c>
      <c r="F100" s="308" t="s">
        <v>40</v>
      </c>
      <c r="G100" s="320" t="s">
        <v>19</v>
      </c>
      <c r="H100" s="308" t="s">
        <v>20</v>
      </c>
      <c r="I100" s="333" t="s">
        <v>38</v>
      </c>
      <c r="J100" s="333" t="s">
        <v>38</v>
      </c>
      <c r="K100" s="333" t="s">
        <v>38</v>
      </c>
      <c r="L100" s="333" t="s">
        <v>38</v>
      </c>
      <c r="M100" s="115">
        <v>50000</v>
      </c>
      <c r="N100" s="115">
        <v>50000</v>
      </c>
      <c r="O100" s="115"/>
      <c r="P100" s="115"/>
    </row>
    <row r="101" ht="15.75" spans="1:16">
      <c r="A101" s="115">
        <v>15</v>
      </c>
      <c r="B101" s="115" t="s">
        <v>112</v>
      </c>
      <c r="C101" s="115">
        <v>2</v>
      </c>
      <c r="D101" s="115">
        <v>30000</v>
      </c>
      <c r="E101" s="115">
        <f>D101*2</f>
        <v>60000</v>
      </c>
      <c r="F101" s="308" t="s">
        <v>40</v>
      </c>
      <c r="G101" s="320" t="s">
        <v>19</v>
      </c>
      <c r="H101" s="308" t="s">
        <v>20</v>
      </c>
      <c r="I101" s="333" t="s">
        <v>38</v>
      </c>
      <c r="J101" s="333" t="s">
        <v>38</v>
      </c>
      <c r="K101" s="333" t="s">
        <v>38</v>
      </c>
      <c r="L101" s="333" t="s">
        <v>38</v>
      </c>
      <c r="M101" s="115">
        <v>2</v>
      </c>
      <c r="N101" s="115"/>
      <c r="O101" s="115"/>
      <c r="P101" s="115"/>
    </row>
    <row r="102" ht="15.75" spans="1:16">
      <c r="A102" s="115">
        <v>16</v>
      </c>
      <c r="B102" s="115" t="s">
        <v>113</v>
      </c>
      <c r="C102" s="115">
        <v>3</v>
      </c>
      <c r="D102" s="115">
        <v>20000</v>
      </c>
      <c r="E102" s="115">
        <f>D102*3</f>
        <v>60000</v>
      </c>
      <c r="F102" s="308" t="s">
        <v>40</v>
      </c>
      <c r="G102" s="320" t="s">
        <v>19</v>
      </c>
      <c r="H102" s="308" t="s">
        <v>20</v>
      </c>
      <c r="I102" s="333" t="s">
        <v>38</v>
      </c>
      <c r="J102" s="333" t="s">
        <v>38</v>
      </c>
      <c r="K102" s="333" t="s">
        <v>38</v>
      </c>
      <c r="L102" s="333" t="s">
        <v>38</v>
      </c>
      <c r="M102" s="115"/>
      <c r="N102" s="115">
        <v>60000</v>
      </c>
      <c r="O102" s="115"/>
      <c r="P102" s="115"/>
    </row>
    <row r="103" ht="15.75" spans="1:16">
      <c r="A103" s="115">
        <v>17</v>
      </c>
      <c r="B103" s="115" t="s">
        <v>114</v>
      </c>
      <c r="C103" s="115">
        <v>4</v>
      </c>
      <c r="D103" s="115">
        <v>25000</v>
      </c>
      <c r="E103" s="115">
        <f>D103*4</f>
        <v>100000</v>
      </c>
      <c r="F103" s="308" t="s">
        <v>40</v>
      </c>
      <c r="G103" s="320" t="s">
        <v>19</v>
      </c>
      <c r="H103" s="308" t="s">
        <v>20</v>
      </c>
      <c r="I103" s="333" t="s">
        <v>38</v>
      </c>
      <c r="J103" s="333" t="s">
        <v>38</v>
      </c>
      <c r="K103" s="333" t="s">
        <v>38</v>
      </c>
      <c r="L103" s="333" t="s">
        <v>38</v>
      </c>
      <c r="M103" s="115">
        <v>50000</v>
      </c>
      <c r="N103" s="115"/>
      <c r="O103" s="115">
        <v>50000</v>
      </c>
      <c r="P103" s="115"/>
    </row>
    <row r="104" ht="15.75" spans="1:16">
      <c r="A104" s="115">
        <v>18</v>
      </c>
      <c r="B104" s="115" t="s">
        <v>115</v>
      </c>
      <c r="C104" s="115">
        <v>1</v>
      </c>
      <c r="D104" s="115">
        <v>10000</v>
      </c>
      <c r="E104" s="115">
        <f>D104*1</f>
        <v>10000</v>
      </c>
      <c r="F104" s="308" t="s">
        <v>40</v>
      </c>
      <c r="G104" s="320" t="s">
        <v>19</v>
      </c>
      <c r="H104" s="308" t="s">
        <v>20</v>
      </c>
      <c r="I104" s="333" t="s">
        <v>38</v>
      </c>
      <c r="J104" s="333" t="s">
        <v>38</v>
      </c>
      <c r="K104" s="333" t="s">
        <v>38</v>
      </c>
      <c r="L104" s="333" t="s">
        <v>38</v>
      </c>
      <c r="M104" s="115">
        <v>10000</v>
      </c>
      <c r="N104" s="115"/>
      <c r="O104" s="115"/>
      <c r="P104" s="115"/>
    </row>
    <row r="105" ht="15.75" spans="1:16">
      <c r="A105" s="115">
        <v>19</v>
      </c>
      <c r="B105" s="115" t="s">
        <v>116</v>
      </c>
      <c r="C105" s="115">
        <v>1</v>
      </c>
      <c r="D105" s="115">
        <v>8000</v>
      </c>
      <c r="E105" s="115">
        <f>8000*1</f>
        <v>8000</v>
      </c>
      <c r="F105" s="308" t="s">
        <v>40</v>
      </c>
      <c r="G105" s="320" t="s">
        <v>19</v>
      </c>
      <c r="H105" s="308" t="s">
        <v>20</v>
      </c>
      <c r="I105" s="333" t="s">
        <v>38</v>
      </c>
      <c r="J105" s="333" t="s">
        <v>38</v>
      </c>
      <c r="K105" s="333" t="s">
        <v>38</v>
      </c>
      <c r="L105" s="333" t="s">
        <v>38</v>
      </c>
      <c r="M105" s="115"/>
      <c r="N105" s="115">
        <v>8000</v>
      </c>
      <c r="O105" s="115"/>
      <c r="P105" s="115"/>
    </row>
    <row r="106" ht="15.75" spans="1:16">
      <c r="A106" s="115">
        <v>20</v>
      </c>
      <c r="B106" s="321" t="s">
        <v>117</v>
      </c>
      <c r="C106" s="321">
        <v>4</v>
      </c>
      <c r="D106" s="115">
        <v>13500</v>
      </c>
      <c r="E106" s="310">
        <f t="shared" ref="E106:E112" si="2">C106*D106</f>
        <v>54000</v>
      </c>
      <c r="F106" s="308" t="s">
        <v>42</v>
      </c>
      <c r="G106" s="320" t="s">
        <v>19</v>
      </c>
      <c r="H106" s="308" t="s">
        <v>20</v>
      </c>
      <c r="I106" s="333" t="s">
        <v>38</v>
      </c>
      <c r="J106" s="333" t="s">
        <v>38</v>
      </c>
      <c r="K106" s="333" t="s">
        <v>38</v>
      </c>
      <c r="L106" s="333" t="s">
        <v>38</v>
      </c>
      <c r="M106" s="115">
        <v>54000</v>
      </c>
      <c r="N106" s="115"/>
      <c r="O106" s="115"/>
      <c r="P106" s="115"/>
    </row>
    <row r="107" ht="15.75" spans="1:16">
      <c r="A107" s="115">
        <v>21</v>
      </c>
      <c r="B107" s="321" t="s">
        <v>118</v>
      </c>
      <c r="C107" s="321">
        <v>4</v>
      </c>
      <c r="D107" s="342">
        <v>10000</v>
      </c>
      <c r="E107" s="342">
        <f t="shared" si="2"/>
        <v>40000</v>
      </c>
      <c r="F107" s="308" t="s">
        <v>42</v>
      </c>
      <c r="G107" s="320" t="s">
        <v>19</v>
      </c>
      <c r="H107" s="308" t="s">
        <v>20</v>
      </c>
      <c r="I107" s="333" t="s">
        <v>38</v>
      </c>
      <c r="J107" s="333" t="s">
        <v>38</v>
      </c>
      <c r="K107" s="333" t="s">
        <v>38</v>
      </c>
      <c r="L107" s="333" t="s">
        <v>38</v>
      </c>
      <c r="M107" s="331">
        <v>40000</v>
      </c>
      <c r="N107" s="331"/>
      <c r="O107" s="331"/>
      <c r="P107" s="332"/>
    </row>
    <row r="108" ht="15.75" spans="1:16">
      <c r="A108" s="115">
        <v>22</v>
      </c>
      <c r="B108" s="321" t="s">
        <v>119</v>
      </c>
      <c r="C108" s="321">
        <v>1</v>
      </c>
      <c r="D108" s="317">
        <v>10500</v>
      </c>
      <c r="E108" s="317">
        <f t="shared" si="2"/>
        <v>10500</v>
      </c>
      <c r="F108" s="308" t="s">
        <v>42</v>
      </c>
      <c r="G108" s="320" t="s">
        <v>19</v>
      </c>
      <c r="H108" s="308" t="s">
        <v>20</v>
      </c>
      <c r="I108" s="333" t="s">
        <v>38</v>
      </c>
      <c r="J108" s="333" t="s">
        <v>38</v>
      </c>
      <c r="K108" s="333" t="s">
        <v>38</v>
      </c>
      <c r="L108" s="333" t="s">
        <v>38</v>
      </c>
      <c r="M108" s="328">
        <v>10500</v>
      </c>
      <c r="N108" s="328"/>
      <c r="O108" s="328"/>
      <c r="P108" s="328"/>
    </row>
    <row r="109" ht="15.75" spans="1:16">
      <c r="A109" s="115">
        <v>23</v>
      </c>
      <c r="B109" s="321" t="s">
        <v>120</v>
      </c>
      <c r="C109" s="321">
        <v>4</v>
      </c>
      <c r="D109" s="115">
        <v>240000</v>
      </c>
      <c r="E109" s="310">
        <f t="shared" si="2"/>
        <v>960000</v>
      </c>
      <c r="F109" s="308" t="s">
        <v>42</v>
      </c>
      <c r="G109" s="320" t="s">
        <v>19</v>
      </c>
      <c r="H109" s="308" t="s">
        <v>20</v>
      </c>
      <c r="I109" s="333" t="s">
        <v>38</v>
      </c>
      <c r="J109" s="333" t="s">
        <v>38</v>
      </c>
      <c r="K109" s="333" t="s">
        <v>38</v>
      </c>
      <c r="L109" s="333" t="s">
        <v>38</v>
      </c>
      <c r="M109" s="115">
        <v>960000</v>
      </c>
      <c r="N109" s="115"/>
      <c r="O109" s="115"/>
      <c r="P109" s="71"/>
    </row>
    <row r="110" ht="15.75" spans="1:16">
      <c r="A110" s="115">
        <v>24</v>
      </c>
      <c r="B110" s="321" t="s">
        <v>117</v>
      </c>
      <c r="C110" s="321">
        <v>4</v>
      </c>
      <c r="D110" s="115">
        <v>13500</v>
      </c>
      <c r="E110" s="310">
        <f t="shared" si="2"/>
        <v>54000</v>
      </c>
      <c r="F110" s="308" t="s">
        <v>42</v>
      </c>
      <c r="G110" s="320" t="s">
        <v>19</v>
      </c>
      <c r="H110" s="308" t="s">
        <v>20</v>
      </c>
      <c r="I110" s="333" t="s">
        <v>38</v>
      </c>
      <c r="J110" s="333" t="s">
        <v>38</v>
      </c>
      <c r="K110" s="333" t="s">
        <v>38</v>
      </c>
      <c r="L110" s="333" t="s">
        <v>38</v>
      </c>
      <c r="M110" s="115">
        <v>54000</v>
      </c>
      <c r="N110" s="115"/>
      <c r="O110" s="115"/>
      <c r="P110" s="115"/>
    </row>
    <row r="111" ht="31.5" spans="1:16">
      <c r="A111" s="115">
        <v>25</v>
      </c>
      <c r="B111" s="321" t="s">
        <v>121</v>
      </c>
      <c r="C111" s="321">
        <v>1</v>
      </c>
      <c r="D111" s="115">
        <v>140000</v>
      </c>
      <c r="E111" s="310">
        <f t="shared" si="2"/>
        <v>140000</v>
      </c>
      <c r="F111" s="308" t="s">
        <v>42</v>
      </c>
      <c r="G111" s="320" t="s">
        <v>19</v>
      </c>
      <c r="H111" s="308" t="s">
        <v>20</v>
      </c>
      <c r="I111" s="333" t="s">
        <v>38</v>
      </c>
      <c r="J111" s="333" t="s">
        <v>38</v>
      </c>
      <c r="K111" s="333" t="s">
        <v>38</v>
      </c>
      <c r="L111" s="333" t="s">
        <v>38</v>
      </c>
      <c r="M111" s="115">
        <v>140000</v>
      </c>
      <c r="N111" s="115"/>
      <c r="O111" s="115"/>
      <c r="P111" s="115"/>
    </row>
    <row r="112" ht="15.75" spans="1:16">
      <c r="A112" s="115">
        <v>26</v>
      </c>
      <c r="B112" s="321" t="s">
        <v>122</v>
      </c>
      <c r="C112" s="321">
        <v>1</v>
      </c>
      <c r="D112" s="115">
        <v>20000</v>
      </c>
      <c r="E112" s="310">
        <f t="shared" si="2"/>
        <v>20000</v>
      </c>
      <c r="F112" s="308" t="s">
        <v>42</v>
      </c>
      <c r="G112" s="320" t="s">
        <v>19</v>
      </c>
      <c r="H112" s="308" t="s">
        <v>20</v>
      </c>
      <c r="I112" s="333" t="s">
        <v>38</v>
      </c>
      <c r="J112" s="333" t="s">
        <v>38</v>
      </c>
      <c r="K112" s="333" t="s">
        <v>38</v>
      </c>
      <c r="L112" s="333" t="s">
        <v>38</v>
      </c>
      <c r="M112" s="115"/>
      <c r="N112" s="115">
        <v>20000</v>
      </c>
      <c r="O112" s="115"/>
      <c r="P112" s="115"/>
    </row>
    <row r="113" spans="1:16">
      <c r="A113" s="115">
        <v>27</v>
      </c>
      <c r="B113" s="343" t="s">
        <v>123</v>
      </c>
      <c r="C113" s="115">
        <v>5</v>
      </c>
      <c r="D113" s="115">
        <v>30000</v>
      </c>
      <c r="E113" s="115">
        <v>150000</v>
      </c>
      <c r="F113" s="308" t="s">
        <v>43</v>
      </c>
      <c r="G113" s="308" t="s">
        <v>19</v>
      </c>
      <c r="H113" s="308" t="s">
        <v>20</v>
      </c>
      <c r="I113" s="333" t="s">
        <v>38</v>
      </c>
      <c r="J113" s="333" t="s">
        <v>38</v>
      </c>
      <c r="K113" s="333" t="s">
        <v>38</v>
      </c>
      <c r="L113" s="333" t="s">
        <v>38</v>
      </c>
      <c r="M113" s="328"/>
      <c r="N113" s="328">
        <v>150000</v>
      </c>
      <c r="O113" s="328"/>
      <c r="P113" s="328"/>
    </row>
    <row r="114" ht="15.75" spans="1:16">
      <c r="A114" s="115"/>
      <c r="B114" s="344" t="s">
        <v>22</v>
      </c>
      <c r="C114" s="321"/>
      <c r="D114" s="115"/>
      <c r="E114" s="309">
        <f>SUM(E87:E113)</f>
        <v>2498950</v>
      </c>
      <c r="F114" s="308"/>
      <c r="G114" s="320"/>
      <c r="H114" s="308"/>
      <c r="I114" s="333"/>
      <c r="J114" s="333"/>
      <c r="K114" s="333"/>
      <c r="L114" s="333"/>
      <c r="M114" s="115"/>
      <c r="N114" s="115"/>
      <c r="O114" s="115"/>
      <c r="P114" s="115"/>
    </row>
    <row r="115" ht="15.75" spans="1:16">
      <c r="A115" s="115"/>
      <c r="B115" s="321"/>
      <c r="C115" s="321"/>
      <c r="D115" s="115"/>
      <c r="E115" s="310"/>
      <c r="F115" s="308"/>
      <c r="G115" s="320"/>
      <c r="H115" s="308"/>
      <c r="I115" s="333"/>
      <c r="J115" s="333"/>
      <c r="K115" s="333"/>
      <c r="L115" s="333"/>
      <c r="M115" s="115"/>
      <c r="N115" s="115"/>
      <c r="O115" s="115"/>
      <c r="P115" s="115"/>
    </row>
    <row r="116" ht="15.75" spans="1:16">
      <c r="A116" s="115"/>
      <c r="B116" s="321"/>
      <c r="C116" s="321"/>
      <c r="D116" s="115"/>
      <c r="E116" s="310"/>
      <c r="F116" s="308"/>
      <c r="G116" s="320"/>
      <c r="H116" s="308"/>
      <c r="I116" s="333"/>
      <c r="J116" s="333"/>
      <c r="K116" s="333"/>
      <c r="L116" s="333"/>
      <c r="M116" s="115"/>
      <c r="N116" s="115"/>
      <c r="O116" s="115"/>
      <c r="P116" s="115"/>
    </row>
    <row r="117" ht="15.75" spans="1:16">
      <c r="A117" s="115"/>
      <c r="B117" s="115"/>
      <c r="C117" s="115"/>
      <c r="D117" s="115"/>
      <c r="E117" s="115"/>
      <c r="F117" s="308"/>
      <c r="G117" s="308"/>
      <c r="H117" s="308"/>
      <c r="I117" s="152"/>
      <c r="J117" s="152"/>
      <c r="K117" s="152"/>
      <c r="L117" s="152"/>
      <c r="M117" s="115"/>
      <c r="N117" s="115"/>
      <c r="O117" s="115"/>
      <c r="P117" s="115"/>
    </row>
    <row r="118" spans="1:16">
      <c r="A118" s="306" t="s">
        <v>124</v>
      </c>
      <c r="B118" s="115"/>
      <c r="C118" s="115"/>
      <c r="D118" s="115"/>
      <c r="E118" s="115"/>
      <c r="F118" s="115"/>
      <c r="G118" s="115"/>
      <c r="H118" s="115"/>
      <c r="I118" s="115"/>
      <c r="J118" s="115"/>
      <c r="K118" s="115"/>
      <c r="L118" s="115"/>
      <c r="M118" s="115"/>
      <c r="N118" s="115"/>
      <c r="O118" s="115"/>
      <c r="P118" s="115"/>
    </row>
    <row r="119" ht="15.75" spans="1:16">
      <c r="A119" s="345">
        <v>1</v>
      </c>
      <c r="B119" s="346" t="s">
        <v>125</v>
      </c>
      <c r="C119" s="347">
        <v>3000</v>
      </c>
      <c r="D119" s="348">
        <v>130</v>
      </c>
      <c r="E119" s="314">
        <f t="shared" ref="E119:E128" si="3">C119*D119</f>
        <v>390000</v>
      </c>
      <c r="F119" s="349" t="s">
        <v>126</v>
      </c>
      <c r="G119" s="349" t="s">
        <v>127</v>
      </c>
      <c r="H119" s="308" t="s">
        <v>20</v>
      </c>
      <c r="I119" s="115"/>
      <c r="J119" s="115"/>
      <c r="K119" s="115"/>
      <c r="L119" s="152" t="s">
        <v>21</v>
      </c>
      <c r="M119" s="311">
        <v>97500</v>
      </c>
      <c r="N119" s="311">
        <v>97500</v>
      </c>
      <c r="O119" s="311">
        <v>97500</v>
      </c>
      <c r="P119" s="311">
        <v>97500</v>
      </c>
    </row>
    <row r="120" ht="15.75" spans="1:16">
      <c r="A120" s="115">
        <v>2</v>
      </c>
      <c r="B120" s="346" t="s">
        <v>128</v>
      </c>
      <c r="C120" s="347">
        <v>5000</v>
      </c>
      <c r="D120" s="348">
        <v>115</v>
      </c>
      <c r="E120" s="314">
        <f t="shared" si="3"/>
        <v>575000</v>
      </c>
      <c r="F120" s="349" t="s">
        <v>126</v>
      </c>
      <c r="G120" s="349" t="s">
        <v>127</v>
      </c>
      <c r="H120" s="308" t="s">
        <v>20</v>
      </c>
      <c r="I120" s="115"/>
      <c r="J120" s="115"/>
      <c r="K120" s="115"/>
      <c r="L120" s="152" t="s">
        <v>21</v>
      </c>
      <c r="M120" s="311">
        <v>201250</v>
      </c>
      <c r="N120" s="311">
        <v>201250</v>
      </c>
      <c r="O120" s="311">
        <v>201250</v>
      </c>
      <c r="P120" s="311">
        <v>201250</v>
      </c>
    </row>
    <row r="121" ht="15.75" spans="1:16">
      <c r="A121" s="115">
        <v>3</v>
      </c>
      <c r="B121" s="346" t="s">
        <v>129</v>
      </c>
      <c r="C121" s="347">
        <v>3000</v>
      </c>
      <c r="D121" s="348">
        <v>130</v>
      </c>
      <c r="E121" s="311">
        <f t="shared" si="3"/>
        <v>390000</v>
      </c>
      <c r="F121" s="349" t="s">
        <v>126</v>
      </c>
      <c r="G121" s="349" t="s">
        <v>127</v>
      </c>
      <c r="H121" s="308" t="s">
        <v>20</v>
      </c>
      <c r="I121" s="115"/>
      <c r="J121" s="115"/>
      <c r="K121" s="115"/>
      <c r="L121" s="152" t="s">
        <v>21</v>
      </c>
      <c r="M121" s="311">
        <v>162500</v>
      </c>
      <c r="N121" s="311">
        <v>162500</v>
      </c>
      <c r="O121" s="311">
        <v>162500</v>
      </c>
      <c r="P121" s="311">
        <v>162500</v>
      </c>
    </row>
    <row r="122" ht="15.75" spans="1:16">
      <c r="A122" s="115">
        <v>4</v>
      </c>
      <c r="B122" s="346" t="s">
        <v>130</v>
      </c>
      <c r="C122" s="347">
        <v>5000</v>
      </c>
      <c r="D122" s="348">
        <v>115</v>
      </c>
      <c r="E122" s="314">
        <f t="shared" si="3"/>
        <v>575000</v>
      </c>
      <c r="F122" s="349" t="s">
        <v>126</v>
      </c>
      <c r="G122" s="349" t="s">
        <v>127</v>
      </c>
      <c r="H122" s="308" t="s">
        <v>20</v>
      </c>
      <c r="I122" s="115"/>
      <c r="J122" s="115"/>
      <c r="K122" s="115"/>
      <c r="L122" s="152" t="s">
        <v>21</v>
      </c>
      <c r="M122" s="311">
        <v>201250</v>
      </c>
      <c r="N122" s="311">
        <v>201250</v>
      </c>
      <c r="O122" s="311">
        <v>201250</v>
      </c>
      <c r="P122" s="311">
        <v>201250</v>
      </c>
    </row>
    <row r="123" ht="15.75" spans="1:16">
      <c r="A123" s="115">
        <v>5</v>
      </c>
      <c r="B123" s="346" t="s">
        <v>131</v>
      </c>
      <c r="C123" s="347">
        <v>5000</v>
      </c>
      <c r="D123" s="348">
        <v>115</v>
      </c>
      <c r="E123" s="311">
        <f t="shared" si="3"/>
        <v>575000</v>
      </c>
      <c r="F123" s="349" t="s">
        <v>126</v>
      </c>
      <c r="G123" s="349" t="s">
        <v>127</v>
      </c>
      <c r="H123" s="308" t="s">
        <v>20</v>
      </c>
      <c r="I123" s="115"/>
      <c r="J123" s="115"/>
      <c r="K123" s="115"/>
      <c r="L123" s="152" t="s">
        <v>21</v>
      </c>
      <c r="M123" s="311">
        <v>201250</v>
      </c>
      <c r="N123" s="311">
        <v>201250</v>
      </c>
      <c r="O123" s="311">
        <v>201250</v>
      </c>
      <c r="P123" s="311">
        <v>201250</v>
      </c>
    </row>
    <row r="124" ht="15.75" spans="1:16">
      <c r="A124" s="115">
        <v>6</v>
      </c>
      <c r="B124" s="346" t="s">
        <v>132</v>
      </c>
      <c r="C124" s="350">
        <v>5</v>
      </c>
      <c r="D124" s="348">
        <v>24000</v>
      </c>
      <c r="E124" s="311">
        <f t="shared" si="3"/>
        <v>120000</v>
      </c>
      <c r="F124" s="349" t="s">
        <v>126</v>
      </c>
      <c r="G124" s="349" t="s">
        <v>127</v>
      </c>
      <c r="H124" s="308" t="s">
        <v>20</v>
      </c>
      <c r="I124" s="152" t="s">
        <v>21</v>
      </c>
      <c r="J124" s="152" t="s">
        <v>21</v>
      </c>
      <c r="K124" s="152" t="s">
        <v>21</v>
      </c>
      <c r="L124" s="152" t="s">
        <v>21</v>
      </c>
      <c r="M124" s="311"/>
      <c r="N124" s="311"/>
      <c r="O124" s="356">
        <v>120000</v>
      </c>
      <c r="P124" s="311"/>
    </row>
    <row r="125" ht="15.75" spans="1:16">
      <c r="A125" s="115">
        <v>7</v>
      </c>
      <c r="B125" s="346" t="s">
        <v>133</v>
      </c>
      <c r="C125" s="350">
        <v>5</v>
      </c>
      <c r="D125" s="348">
        <v>16000</v>
      </c>
      <c r="E125" s="311">
        <f t="shared" si="3"/>
        <v>80000</v>
      </c>
      <c r="F125" s="349" t="s">
        <v>126</v>
      </c>
      <c r="G125" s="349" t="s">
        <v>127</v>
      </c>
      <c r="H125" s="308" t="s">
        <v>20</v>
      </c>
      <c r="I125" s="152" t="s">
        <v>21</v>
      </c>
      <c r="J125" s="152" t="s">
        <v>21</v>
      </c>
      <c r="K125" s="152" t="s">
        <v>21</v>
      </c>
      <c r="L125" s="152" t="s">
        <v>21</v>
      </c>
      <c r="M125" s="311"/>
      <c r="N125" s="311"/>
      <c r="O125" s="311">
        <v>80000</v>
      </c>
      <c r="P125" s="311"/>
    </row>
    <row r="126" ht="15.75" spans="1:16">
      <c r="A126" s="115">
        <v>8</v>
      </c>
      <c r="B126" s="346" t="s">
        <v>134</v>
      </c>
      <c r="C126" s="350">
        <v>7</v>
      </c>
      <c r="D126" s="339">
        <v>36000</v>
      </c>
      <c r="E126" s="351">
        <f t="shared" si="3"/>
        <v>252000</v>
      </c>
      <c r="F126" s="349" t="s">
        <v>126</v>
      </c>
      <c r="G126" s="349" t="s">
        <v>127</v>
      </c>
      <c r="H126" s="308" t="s">
        <v>20</v>
      </c>
      <c r="I126" s="152" t="s">
        <v>21</v>
      </c>
      <c r="J126" s="152" t="s">
        <v>21</v>
      </c>
      <c r="K126" s="152" t="s">
        <v>21</v>
      </c>
      <c r="L126" s="152" t="s">
        <v>21</v>
      </c>
      <c r="M126" s="328"/>
      <c r="N126" s="328">
        <v>252000</v>
      </c>
      <c r="O126" s="328"/>
      <c r="P126" s="328"/>
    </row>
    <row r="127" ht="15.75" spans="1:16">
      <c r="A127" s="115">
        <v>9</v>
      </c>
      <c r="B127" s="346" t="s">
        <v>135</v>
      </c>
      <c r="C127" s="350">
        <v>1</v>
      </c>
      <c r="D127" s="339">
        <v>13500</v>
      </c>
      <c r="E127" s="351">
        <f t="shared" si="3"/>
        <v>13500</v>
      </c>
      <c r="F127" s="349" t="s">
        <v>126</v>
      </c>
      <c r="G127" s="349" t="s">
        <v>19</v>
      </c>
      <c r="H127" s="308" t="s">
        <v>20</v>
      </c>
      <c r="I127" s="152" t="s">
        <v>21</v>
      </c>
      <c r="J127" s="152" t="s">
        <v>21</v>
      </c>
      <c r="K127" s="152" t="s">
        <v>21</v>
      </c>
      <c r="L127" s="152" t="s">
        <v>21</v>
      </c>
      <c r="M127" s="328"/>
      <c r="N127" s="328">
        <v>13500</v>
      </c>
      <c r="O127" s="328"/>
      <c r="P127" s="328"/>
    </row>
    <row r="128" ht="15.75" spans="1:16">
      <c r="A128" s="115">
        <v>10</v>
      </c>
      <c r="B128" s="346" t="s">
        <v>136</v>
      </c>
      <c r="C128" s="350">
        <v>2</v>
      </c>
      <c r="D128" s="339">
        <v>16000</v>
      </c>
      <c r="E128" s="351">
        <f t="shared" si="3"/>
        <v>32000</v>
      </c>
      <c r="F128" s="349" t="s">
        <v>126</v>
      </c>
      <c r="G128" s="349" t="s">
        <v>19</v>
      </c>
      <c r="H128" s="308" t="s">
        <v>20</v>
      </c>
      <c r="I128" s="152" t="s">
        <v>21</v>
      </c>
      <c r="J128" s="152" t="s">
        <v>21</v>
      </c>
      <c r="K128" s="152" t="s">
        <v>21</v>
      </c>
      <c r="L128" s="152" t="s">
        <v>21</v>
      </c>
      <c r="M128" s="328"/>
      <c r="N128" s="328">
        <v>32000</v>
      </c>
      <c r="O128" s="328"/>
      <c r="P128" s="328"/>
    </row>
    <row r="129" ht="45" spans="1:16">
      <c r="A129" s="115">
        <v>11</v>
      </c>
      <c r="B129" s="346" t="s">
        <v>137</v>
      </c>
      <c r="C129" s="350" t="s">
        <v>138</v>
      </c>
      <c r="D129" s="339">
        <v>50000</v>
      </c>
      <c r="E129" s="357">
        <v>50000</v>
      </c>
      <c r="F129" s="349" t="s">
        <v>126</v>
      </c>
      <c r="G129" s="349" t="s">
        <v>19</v>
      </c>
      <c r="H129" s="308" t="s">
        <v>20</v>
      </c>
      <c r="I129" s="152" t="s">
        <v>21</v>
      </c>
      <c r="J129" s="152" t="s">
        <v>21</v>
      </c>
      <c r="K129" s="152" t="s">
        <v>21</v>
      </c>
      <c r="L129" s="152" t="s">
        <v>21</v>
      </c>
      <c r="M129" s="367">
        <v>12500</v>
      </c>
      <c r="N129" s="367">
        <v>12500</v>
      </c>
      <c r="O129" s="367">
        <v>12500</v>
      </c>
      <c r="P129" s="367">
        <v>12500</v>
      </c>
    </row>
    <row r="130" spans="1:16">
      <c r="A130" s="115"/>
      <c r="B130" s="358" t="s">
        <v>139</v>
      </c>
      <c r="C130" s="359"/>
      <c r="D130" s="339"/>
      <c r="E130" s="360"/>
      <c r="F130" s="349"/>
      <c r="G130" s="359"/>
      <c r="H130" s="308"/>
      <c r="I130" s="331"/>
      <c r="J130" s="331"/>
      <c r="K130" s="331"/>
      <c r="L130" s="331"/>
      <c r="M130" s="328"/>
      <c r="N130" s="328"/>
      <c r="O130" s="328"/>
      <c r="P130" s="328"/>
    </row>
    <row r="131" ht="15.75" spans="1:16">
      <c r="A131" s="115">
        <v>12</v>
      </c>
      <c r="B131" s="346" t="s">
        <v>140</v>
      </c>
      <c r="C131" s="350" t="s">
        <v>141</v>
      </c>
      <c r="D131" s="350" t="s">
        <v>142</v>
      </c>
      <c r="E131" s="347">
        <v>500000</v>
      </c>
      <c r="F131" s="349" t="s">
        <v>126</v>
      </c>
      <c r="G131" s="349" t="s">
        <v>19</v>
      </c>
      <c r="H131" s="308" t="s">
        <v>20</v>
      </c>
      <c r="I131" s="152" t="s">
        <v>21</v>
      </c>
      <c r="J131" s="152" t="s">
        <v>21</v>
      </c>
      <c r="K131" s="152" t="s">
        <v>21</v>
      </c>
      <c r="L131" s="152" t="s">
        <v>21</v>
      </c>
      <c r="M131" s="331">
        <v>125000</v>
      </c>
      <c r="N131" s="331">
        <v>125000</v>
      </c>
      <c r="O131" s="331">
        <v>125000</v>
      </c>
      <c r="P131" s="332">
        <v>125000</v>
      </c>
    </row>
    <row r="132" ht="15.75" spans="1:16">
      <c r="A132" s="115">
        <v>13</v>
      </c>
      <c r="B132" s="346" t="s">
        <v>143</v>
      </c>
      <c r="C132" s="350" t="s">
        <v>144</v>
      </c>
      <c r="D132" s="350" t="s">
        <v>142</v>
      </c>
      <c r="E132" s="347">
        <v>500000</v>
      </c>
      <c r="F132" s="349" t="s">
        <v>126</v>
      </c>
      <c r="G132" s="349" t="s">
        <v>19</v>
      </c>
      <c r="H132" s="308" t="s">
        <v>20</v>
      </c>
      <c r="I132" s="152" t="s">
        <v>21</v>
      </c>
      <c r="J132" s="152" t="s">
        <v>21</v>
      </c>
      <c r="K132" s="152" t="s">
        <v>21</v>
      </c>
      <c r="L132" s="152" t="s">
        <v>21</v>
      </c>
      <c r="M132" s="311">
        <v>125000</v>
      </c>
      <c r="N132" s="311">
        <v>125000</v>
      </c>
      <c r="O132" s="311">
        <v>125000</v>
      </c>
      <c r="P132" s="311">
        <v>125000</v>
      </c>
    </row>
    <row r="133" ht="15.75" spans="1:16">
      <c r="A133" s="115">
        <v>14</v>
      </c>
      <c r="B133" s="346" t="s">
        <v>145</v>
      </c>
      <c r="C133" s="350" t="s">
        <v>144</v>
      </c>
      <c r="D133" s="350" t="s">
        <v>146</v>
      </c>
      <c r="E133" s="347">
        <v>250000</v>
      </c>
      <c r="F133" s="349" t="s">
        <v>126</v>
      </c>
      <c r="G133" s="349" t="s">
        <v>19</v>
      </c>
      <c r="H133" s="308" t="s">
        <v>20</v>
      </c>
      <c r="I133" s="152" t="s">
        <v>21</v>
      </c>
      <c r="J133" s="152" t="s">
        <v>21</v>
      </c>
      <c r="K133" s="152" t="s">
        <v>21</v>
      </c>
      <c r="L133" s="152" t="s">
        <v>21</v>
      </c>
      <c r="M133" s="311">
        <v>62500</v>
      </c>
      <c r="N133" s="311">
        <v>62500</v>
      </c>
      <c r="O133" s="311">
        <v>62500</v>
      </c>
      <c r="P133" s="311">
        <v>62500</v>
      </c>
    </row>
    <row r="134" ht="15.75" spans="1:16">
      <c r="A134" s="115">
        <v>15</v>
      </c>
      <c r="B134" s="346" t="s">
        <v>147</v>
      </c>
      <c r="C134" s="350" t="s">
        <v>144</v>
      </c>
      <c r="D134" s="350" t="s">
        <v>148</v>
      </c>
      <c r="E134" s="347">
        <v>200000</v>
      </c>
      <c r="F134" s="349" t="s">
        <v>126</v>
      </c>
      <c r="G134" s="349" t="s">
        <v>19</v>
      </c>
      <c r="H134" s="308" t="s">
        <v>20</v>
      </c>
      <c r="I134" s="152" t="s">
        <v>21</v>
      </c>
      <c r="J134" s="152" t="s">
        <v>21</v>
      </c>
      <c r="K134" s="152" t="s">
        <v>21</v>
      </c>
      <c r="L134" s="152" t="s">
        <v>21</v>
      </c>
      <c r="M134" s="311">
        <v>50000</v>
      </c>
      <c r="N134" s="311">
        <v>50000</v>
      </c>
      <c r="O134" s="311">
        <v>50000</v>
      </c>
      <c r="P134" s="311">
        <v>50000</v>
      </c>
    </row>
    <row r="135" ht="15.75" spans="1:16">
      <c r="A135" s="115">
        <v>16</v>
      </c>
      <c r="B135" s="346" t="s">
        <v>149</v>
      </c>
      <c r="C135" s="350" t="s">
        <v>141</v>
      </c>
      <c r="D135" s="350" t="s">
        <v>150</v>
      </c>
      <c r="E135" s="347">
        <v>150000</v>
      </c>
      <c r="F135" s="349" t="s">
        <v>126</v>
      </c>
      <c r="G135" s="349" t="s">
        <v>19</v>
      </c>
      <c r="H135" s="308" t="s">
        <v>20</v>
      </c>
      <c r="I135" s="152" t="s">
        <v>21</v>
      </c>
      <c r="J135" s="152" t="s">
        <v>21</v>
      </c>
      <c r="K135" s="152" t="s">
        <v>21</v>
      </c>
      <c r="L135" s="152" t="s">
        <v>21</v>
      </c>
      <c r="M135" s="311">
        <v>37500</v>
      </c>
      <c r="N135" s="311">
        <v>37500</v>
      </c>
      <c r="O135" s="311">
        <v>37500</v>
      </c>
      <c r="P135" s="311">
        <v>37500</v>
      </c>
    </row>
    <row r="136" ht="15.75" spans="1:16">
      <c r="A136" s="115">
        <v>17</v>
      </c>
      <c r="B136" s="346" t="s">
        <v>151</v>
      </c>
      <c r="C136" s="350" t="s">
        <v>141</v>
      </c>
      <c r="D136" s="361">
        <v>200000</v>
      </c>
      <c r="E136" s="347">
        <v>200000</v>
      </c>
      <c r="F136" s="349" t="s">
        <v>126</v>
      </c>
      <c r="G136" s="349" t="s">
        <v>19</v>
      </c>
      <c r="H136" s="308" t="s">
        <v>20</v>
      </c>
      <c r="I136" s="152" t="s">
        <v>21</v>
      </c>
      <c r="J136" s="152" t="s">
        <v>21</v>
      </c>
      <c r="K136" s="152" t="s">
        <v>21</v>
      </c>
      <c r="L136" s="152" t="s">
        <v>21</v>
      </c>
      <c r="M136" s="311">
        <v>50000</v>
      </c>
      <c r="N136" s="311">
        <v>50000</v>
      </c>
      <c r="O136" s="311">
        <v>50000</v>
      </c>
      <c r="P136" s="311">
        <v>50000</v>
      </c>
    </row>
    <row r="137" ht="15.75" spans="1:16">
      <c r="A137" s="115">
        <v>18</v>
      </c>
      <c r="B137" s="346" t="s">
        <v>152</v>
      </c>
      <c r="C137" s="350" t="s">
        <v>141</v>
      </c>
      <c r="D137" s="361">
        <v>200000</v>
      </c>
      <c r="E137" s="347">
        <v>200000</v>
      </c>
      <c r="F137" s="349" t="s">
        <v>126</v>
      </c>
      <c r="G137" s="349" t="s">
        <v>19</v>
      </c>
      <c r="H137" s="308" t="s">
        <v>20</v>
      </c>
      <c r="I137" s="152" t="s">
        <v>21</v>
      </c>
      <c r="J137" s="152" t="s">
        <v>21</v>
      </c>
      <c r="K137" s="152" t="s">
        <v>21</v>
      </c>
      <c r="L137" s="152" t="s">
        <v>21</v>
      </c>
      <c r="M137" s="311">
        <v>50000</v>
      </c>
      <c r="N137" s="311">
        <v>50000</v>
      </c>
      <c r="O137" s="311">
        <v>50000</v>
      </c>
      <c r="P137" s="311">
        <v>50000</v>
      </c>
    </row>
    <row r="138" ht="15.75" spans="1:16">
      <c r="A138" s="115"/>
      <c r="B138" s="362" t="s">
        <v>22</v>
      </c>
      <c r="C138" s="363"/>
      <c r="D138" s="306"/>
      <c r="E138" s="364">
        <f>SUM(E119:E137)</f>
        <v>5052500</v>
      </c>
      <c r="F138" s="348"/>
      <c r="G138" s="349"/>
      <c r="H138" s="350"/>
      <c r="I138" s="115"/>
      <c r="J138" s="115"/>
      <c r="K138" s="115"/>
      <c r="L138" s="152"/>
      <c r="M138" s="311"/>
      <c r="N138" s="311"/>
      <c r="O138" s="311"/>
      <c r="P138" s="311"/>
    </row>
    <row r="139" ht="15.75" spans="1:16">
      <c r="A139" s="115"/>
      <c r="B139" s="346"/>
      <c r="C139" s="347"/>
      <c r="D139" s="348"/>
      <c r="E139" s="311"/>
      <c r="F139" s="348"/>
      <c r="G139" s="349"/>
      <c r="H139" s="350"/>
      <c r="I139" s="115"/>
      <c r="J139" s="115"/>
      <c r="K139" s="115"/>
      <c r="L139" s="152"/>
      <c r="M139" s="311"/>
      <c r="N139" s="311"/>
      <c r="O139" s="311"/>
      <c r="P139" s="311"/>
    </row>
    <row r="140" ht="15.75" spans="1:16">
      <c r="A140" s="115"/>
      <c r="B140" s="346"/>
      <c r="C140" s="347"/>
      <c r="D140" s="348"/>
      <c r="E140" s="311"/>
      <c r="F140" s="348"/>
      <c r="G140" s="349"/>
      <c r="H140" s="350"/>
      <c r="I140" s="115"/>
      <c r="J140" s="115"/>
      <c r="K140" s="115"/>
      <c r="L140" s="152"/>
      <c r="M140" s="311"/>
      <c r="N140" s="311"/>
      <c r="O140" s="311"/>
      <c r="P140" s="311"/>
    </row>
    <row r="141" ht="15.75" spans="1:16">
      <c r="A141" s="115"/>
      <c r="B141" s="346"/>
      <c r="C141" s="347"/>
      <c r="D141" s="348"/>
      <c r="E141" s="311"/>
      <c r="F141" s="348"/>
      <c r="G141" s="349"/>
      <c r="H141" s="350"/>
      <c r="I141" s="115"/>
      <c r="J141" s="115"/>
      <c r="K141" s="115"/>
      <c r="L141" s="152"/>
      <c r="M141" s="311"/>
      <c r="N141" s="311"/>
      <c r="O141" s="311"/>
      <c r="P141" s="311"/>
    </row>
    <row r="142" spans="1:16">
      <c r="A142" s="306" t="s">
        <v>153</v>
      </c>
      <c r="B142" s="115"/>
      <c r="C142" s="115"/>
      <c r="D142" s="115"/>
      <c r="E142" s="115"/>
      <c r="F142" s="115"/>
      <c r="G142" s="115"/>
      <c r="H142" s="115"/>
      <c r="I142" s="115"/>
      <c r="J142" s="115"/>
      <c r="K142" s="115"/>
      <c r="L142" s="115"/>
      <c r="M142" s="115"/>
      <c r="N142" s="115"/>
      <c r="O142" s="115"/>
      <c r="P142" s="115"/>
    </row>
    <row r="143" ht="15.75" spans="1:16">
      <c r="A143" s="115">
        <v>1</v>
      </c>
      <c r="B143" s="28" t="s">
        <v>154</v>
      </c>
      <c r="C143" s="115">
        <v>50</v>
      </c>
      <c r="D143" s="115">
        <v>2160</v>
      </c>
      <c r="E143" s="115">
        <f>C143*D143</f>
        <v>108000</v>
      </c>
      <c r="F143" s="255" t="s">
        <v>155</v>
      </c>
      <c r="G143" s="152" t="s">
        <v>156</v>
      </c>
      <c r="H143" s="308" t="s">
        <v>157</v>
      </c>
      <c r="I143" s="152" t="s">
        <v>21</v>
      </c>
      <c r="J143" s="152" t="s">
        <v>21</v>
      </c>
      <c r="K143" s="152" t="s">
        <v>21</v>
      </c>
      <c r="L143" s="152" t="s">
        <v>21</v>
      </c>
      <c r="M143" s="71">
        <v>27000</v>
      </c>
      <c r="N143" s="71">
        <v>27000</v>
      </c>
      <c r="O143" s="71">
        <v>27000</v>
      </c>
      <c r="P143" s="71">
        <v>27000</v>
      </c>
    </row>
    <row r="144" ht="15.75" spans="1:16">
      <c r="A144" s="115">
        <v>2</v>
      </c>
      <c r="B144" s="28" t="s">
        <v>158</v>
      </c>
      <c r="C144" s="115">
        <v>50</v>
      </c>
      <c r="D144" s="115">
        <v>950</v>
      </c>
      <c r="E144" s="115">
        <f>C144*D144</f>
        <v>47500</v>
      </c>
      <c r="F144" s="255" t="s">
        <v>155</v>
      </c>
      <c r="G144" s="152" t="s">
        <v>156</v>
      </c>
      <c r="H144" s="308" t="s">
        <v>157</v>
      </c>
      <c r="I144" s="152" t="s">
        <v>21</v>
      </c>
      <c r="J144" s="152" t="s">
        <v>21</v>
      </c>
      <c r="K144" s="152" t="s">
        <v>21</v>
      </c>
      <c r="L144" s="152" t="s">
        <v>21</v>
      </c>
      <c r="M144" s="71">
        <v>11875</v>
      </c>
      <c r="N144" s="71">
        <v>11875</v>
      </c>
      <c r="O144" s="71">
        <v>11875</v>
      </c>
      <c r="P144" s="71">
        <v>11875</v>
      </c>
    </row>
    <row r="145" ht="15.75" spans="1:16">
      <c r="A145" s="115">
        <v>3</v>
      </c>
      <c r="B145" s="28" t="s">
        <v>159</v>
      </c>
      <c r="C145" s="115">
        <v>20</v>
      </c>
      <c r="D145" s="115">
        <v>2850</v>
      </c>
      <c r="E145" s="115">
        <f t="shared" ref="E145:E166" si="4">C145*D145</f>
        <v>57000</v>
      </c>
      <c r="F145" s="255" t="s">
        <v>155</v>
      </c>
      <c r="G145" s="152" t="s">
        <v>156</v>
      </c>
      <c r="H145" s="308" t="s">
        <v>157</v>
      </c>
      <c r="I145" s="152" t="s">
        <v>21</v>
      </c>
      <c r="J145" s="152" t="s">
        <v>21</v>
      </c>
      <c r="K145" s="152" t="s">
        <v>21</v>
      </c>
      <c r="L145" s="152" t="s">
        <v>21</v>
      </c>
      <c r="M145" s="71">
        <v>14250</v>
      </c>
      <c r="N145" s="71">
        <v>14250</v>
      </c>
      <c r="O145" s="71">
        <v>14250</v>
      </c>
      <c r="P145" s="71">
        <v>14250</v>
      </c>
    </row>
    <row r="146" ht="15.75" spans="1:16">
      <c r="A146" s="115">
        <v>4</v>
      </c>
      <c r="B146" s="28" t="s">
        <v>160</v>
      </c>
      <c r="C146" s="115">
        <v>350</v>
      </c>
      <c r="D146" s="115">
        <v>135</v>
      </c>
      <c r="E146" s="115">
        <f t="shared" si="4"/>
        <v>47250</v>
      </c>
      <c r="F146" s="255" t="s">
        <v>155</v>
      </c>
      <c r="G146" s="152" t="s">
        <v>156</v>
      </c>
      <c r="H146" s="308" t="s">
        <v>157</v>
      </c>
      <c r="I146" s="152" t="s">
        <v>21</v>
      </c>
      <c r="J146" s="152" t="s">
        <v>21</v>
      </c>
      <c r="K146" s="152" t="s">
        <v>21</v>
      </c>
      <c r="L146" s="152" t="s">
        <v>21</v>
      </c>
      <c r="M146" s="71">
        <v>11813</v>
      </c>
      <c r="N146" s="71">
        <v>11813</v>
      </c>
      <c r="O146" s="71">
        <v>11813</v>
      </c>
      <c r="P146" s="71">
        <v>11813</v>
      </c>
    </row>
    <row r="147" ht="15.75" spans="1:16">
      <c r="A147" s="115">
        <v>5</v>
      </c>
      <c r="B147" s="28" t="s">
        <v>161</v>
      </c>
      <c r="C147" s="115">
        <v>350</v>
      </c>
      <c r="D147" s="115">
        <v>145</v>
      </c>
      <c r="E147" s="115">
        <f t="shared" si="4"/>
        <v>50750</v>
      </c>
      <c r="F147" s="255" t="s">
        <v>155</v>
      </c>
      <c r="G147" s="152" t="s">
        <v>156</v>
      </c>
      <c r="H147" s="308" t="s">
        <v>157</v>
      </c>
      <c r="I147" s="152" t="s">
        <v>21</v>
      </c>
      <c r="J147" s="152" t="s">
        <v>21</v>
      </c>
      <c r="K147" s="152" t="s">
        <v>21</v>
      </c>
      <c r="L147" s="152" t="s">
        <v>21</v>
      </c>
      <c r="M147" s="71">
        <v>12688</v>
      </c>
      <c r="N147" s="71">
        <v>12688</v>
      </c>
      <c r="O147" s="71">
        <v>12688</v>
      </c>
      <c r="P147" s="71">
        <v>12688</v>
      </c>
    </row>
    <row r="148" ht="15.75" spans="1:16">
      <c r="A148" s="115">
        <v>6</v>
      </c>
      <c r="B148" s="28" t="s">
        <v>162</v>
      </c>
      <c r="C148" s="115">
        <v>48</v>
      </c>
      <c r="D148" s="115">
        <v>100</v>
      </c>
      <c r="E148" s="115">
        <f t="shared" si="4"/>
        <v>4800</v>
      </c>
      <c r="F148" s="255" t="s">
        <v>155</v>
      </c>
      <c r="G148" s="152" t="s">
        <v>156</v>
      </c>
      <c r="H148" s="308" t="s">
        <v>157</v>
      </c>
      <c r="I148" s="152" t="s">
        <v>21</v>
      </c>
      <c r="J148" s="152" t="s">
        <v>21</v>
      </c>
      <c r="K148" s="152" t="s">
        <v>21</v>
      </c>
      <c r="L148" s="152" t="s">
        <v>21</v>
      </c>
      <c r="M148" s="71">
        <v>1200</v>
      </c>
      <c r="N148" s="71">
        <v>1200</v>
      </c>
      <c r="O148" s="71">
        <v>1200</v>
      </c>
      <c r="P148" s="71">
        <v>1200</v>
      </c>
    </row>
    <row r="149" ht="15.75" spans="1:16">
      <c r="A149" s="115">
        <v>7</v>
      </c>
      <c r="B149" s="28" t="s">
        <v>163</v>
      </c>
      <c r="C149" s="115">
        <v>48</v>
      </c>
      <c r="D149" s="115">
        <v>1420</v>
      </c>
      <c r="E149" s="115">
        <f t="shared" si="4"/>
        <v>68160</v>
      </c>
      <c r="F149" s="255" t="s">
        <v>155</v>
      </c>
      <c r="G149" s="152" t="s">
        <v>156</v>
      </c>
      <c r="H149" s="308" t="s">
        <v>157</v>
      </c>
      <c r="I149" s="152" t="s">
        <v>21</v>
      </c>
      <c r="J149" s="152" t="s">
        <v>21</v>
      </c>
      <c r="K149" s="152" t="s">
        <v>21</v>
      </c>
      <c r="L149" s="152" t="s">
        <v>21</v>
      </c>
      <c r="M149" s="71">
        <v>17040</v>
      </c>
      <c r="N149" s="71">
        <v>17040</v>
      </c>
      <c r="O149" s="71">
        <v>17040</v>
      </c>
      <c r="P149" s="71">
        <v>17040</v>
      </c>
    </row>
    <row r="150" ht="15.75" spans="1:16">
      <c r="A150" s="115">
        <v>9</v>
      </c>
      <c r="B150" s="28" t="s">
        <v>164</v>
      </c>
      <c r="C150" s="115">
        <v>200</v>
      </c>
      <c r="D150" s="115">
        <v>650</v>
      </c>
      <c r="E150" s="115">
        <f t="shared" si="4"/>
        <v>130000</v>
      </c>
      <c r="F150" s="255" t="s">
        <v>155</v>
      </c>
      <c r="G150" s="152" t="s">
        <v>156</v>
      </c>
      <c r="H150" s="308" t="s">
        <v>157</v>
      </c>
      <c r="I150" s="152" t="s">
        <v>21</v>
      </c>
      <c r="J150" s="152" t="s">
        <v>21</v>
      </c>
      <c r="K150" s="152" t="s">
        <v>21</v>
      </c>
      <c r="L150" s="152" t="s">
        <v>21</v>
      </c>
      <c r="M150" s="71">
        <v>32500</v>
      </c>
      <c r="N150" s="71">
        <v>32500</v>
      </c>
      <c r="O150" s="71">
        <v>32500</v>
      </c>
      <c r="P150" s="71">
        <v>32500</v>
      </c>
    </row>
    <row r="151" ht="15.75" spans="1:16">
      <c r="A151" s="115">
        <v>10</v>
      </c>
      <c r="B151" s="28" t="s">
        <v>165</v>
      </c>
      <c r="C151" s="115">
        <v>96</v>
      </c>
      <c r="D151" s="115">
        <v>320</v>
      </c>
      <c r="E151" s="115">
        <f t="shared" si="4"/>
        <v>30720</v>
      </c>
      <c r="F151" s="255" t="s">
        <v>155</v>
      </c>
      <c r="G151" s="152" t="s">
        <v>156</v>
      </c>
      <c r="H151" s="308" t="s">
        <v>157</v>
      </c>
      <c r="I151" s="152" t="s">
        <v>21</v>
      </c>
      <c r="J151" s="152" t="s">
        <v>21</v>
      </c>
      <c r="K151" s="152" t="s">
        <v>21</v>
      </c>
      <c r="L151" s="152" t="s">
        <v>21</v>
      </c>
      <c r="M151" s="71">
        <v>7680</v>
      </c>
      <c r="N151" s="71">
        <v>7680</v>
      </c>
      <c r="O151" s="71">
        <v>7680</v>
      </c>
      <c r="P151" s="71">
        <v>7680</v>
      </c>
    </row>
    <row r="152" ht="15.75" spans="1:16">
      <c r="A152" s="115">
        <v>11</v>
      </c>
      <c r="B152" s="28" t="s">
        <v>166</v>
      </c>
      <c r="C152" s="115">
        <v>6</v>
      </c>
      <c r="D152" s="115">
        <v>2900</v>
      </c>
      <c r="E152" s="115">
        <f t="shared" si="4"/>
        <v>17400</v>
      </c>
      <c r="F152" s="255" t="s">
        <v>155</v>
      </c>
      <c r="G152" s="152" t="s">
        <v>156</v>
      </c>
      <c r="H152" s="308" t="s">
        <v>157</v>
      </c>
      <c r="I152" s="152" t="s">
        <v>21</v>
      </c>
      <c r="J152" s="152" t="s">
        <v>21</v>
      </c>
      <c r="K152" s="152" t="s">
        <v>21</v>
      </c>
      <c r="L152" s="152" t="s">
        <v>21</v>
      </c>
      <c r="M152" s="71">
        <v>4350</v>
      </c>
      <c r="N152" s="71">
        <v>4350</v>
      </c>
      <c r="O152" s="71">
        <v>4350</v>
      </c>
      <c r="P152" s="71">
        <v>4350</v>
      </c>
    </row>
    <row r="153" ht="15.75" spans="1:16">
      <c r="A153" s="115">
        <v>12</v>
      </c>
      <c r="B153" s="28" t="s">
        <v>167</v>
      </c>
      <c r="C153" s="115">
        <v>48</v>
      </c>
      <c r="D153" s="115">
        <v>395</v>
      </c>
      <c r="E153" s="115">
        <f t="shared" si="4"/>
        <v>18960</v>
      </c>
      <c r="F153" s="255" t="s">
        <v>155</v>
      </c>
      <c r="G153" s="152" t="s">
        <v>156</v>
      </c>
      <c r="H153" s="308" t="s">
        <v>157</v>
      </c>
      <c r="I153" s="152" t="s">
        <v>21</v>
      </c>
      <c r="J153" s="152" t="s">
        <v>21</v>
      </c>
      <c r="K153" s="152" t="s">
        <v>21</v>
      </c>
      <c r="L153" s="152" t="s">
        <v>21</v>
      </c>
      <c r="M153" s="71">
        <v>4740</v>
      </c>
      <c r="N153" s="71">
        <v>4740</v>
      </c>
      <c r="O153" s="71">
        <v>4740</v>
      </c>
      <c r="P153" s="71">
        <v>4740</v>
      </c>
    </row>
    <row r="154" ht="15.75" spans="1:16">
      <c r="A154" s="115">
        <v>13</v>
      </c>
      <c r="B154" s="28" t="s">
        <v>168</v>
      </c>
      <c r="C154" s="115">
        <v>96</v>
      </c>
      <c r="D154" s="115">
        <v>220</v>
      </c>
      <c r="E154" s="115">
        <f t="shared" si="4"/>
        <v>21120</v>
      </c>
      <c r="F154" s="255" t="s">
        <v>155</v>
      </c>
      <c r="G154" s="152" t="s">
        <v>156</v>
      </c>
      <c r="H154" s="308" t="s">
        <v>157</v>
      </c>
      <c r="I154" s="152" t="s">
        <v>21</v>
      </c>
      <c r="J154" s="152" t="s">
        <v>21</v>
      </c>
      <c r="K154" s="152" t="s">
        <v>21</v>
      </c>
      <c r="L154" s="152" t="s">
        <v>21</v>
      </c>
      <c r="M154" s="71">
        <v>5280</v>
      </c>
      <c r="N154" s="71">
        <v>5280</v>
      </c>
      <c r="O154" s="71">
        <v>5280</v>
      </c>
      <c r="P154" s="71">
        <v>5280</v>
      </c>
    </row>
    <row r="155" ht="15.75" spans="1:16">
      <c r="A155" s="115">
        <v>14</v>
      </c>
      <c r="B155" s="28" t="s">
        <v>169</v>
      </c>
      <c r="C155" s="115">
        <v>24</v>
      </c>
      <c r="D155" s="115">
        <v>1030</v>
      </c>
      <c r="E155" s="115">
        <f t="shared" si="4"/>
        <v>24720</v>
      </c>
      <c r="F155" s="255" t="s">
        <v>155</v>
      </c>
      <c r="G155" s="152" t="s">
        <v>156</v>
      </c>
      <c r="H155" s="308" t="s">
        <v>157</v>
      </c>
      <c r="I155" s="152" t="s">
        <v>21</v>
      </c>
      <c r="J155" s="152" t="s">
        <v>21</v>
      </c>
      <c r="K155" s="152" t="s">
        <v>21</v>
      </c>
      <c r="L155" s="152" t="s">
        <v>21</v>
      </c>
      <c r="M155" s="71">
        <v>6180</v>
      </c>
      <c r="N155" s="71">
        <v>6180</v>
      </c>
      <c r="O155" s="71">
        <v>6180</v>
      </c>
      <c r="P155" s="71">
        <v>6180</v>
      </c>
    </row>
    <row r="156" ht="15.75" spans="1:16">
      <c r="A156" s="115">
        <v>15</v>
      </c>
      <c r="B156" s="28" t="s">
        <v>170</v>
      </c>
      <c r="C156" s="115">
        <v>192</v>
      </c>
      <c r="D156" s="115">
        <v>395</v>
      </c>
      <c r="E156" s="115">
        <f t="shared" si="4"/>
        <v>75840</v>
      </c>
      <c r="F156" s="255" t="s">
        <v>155</v>
      </c>
      <c r="G156" s="152" t="s">
        <v>156</v>
      </c>
      <c r="H156" s="308" t="s">
        <v>157</v>
      </c>
      <c r="I156" s="152" t="s">
        <v>21</v>
      </c>
      <c r="J156" s="152" t="s">
        <v>21</v>
      </c>
      <c r="K156" s="152" t="s">
        <v>21</v>
      </c>
      <c r="L156" s="152" t="s">
        <v>21</v>
      </c>
      <c r="M156" s="71">
        <v>18960</v>
      </c>
      <c r="N156" s="71">
        <v>18960</v>
      </c>
      <c r="O156" s="71">
        <v>18960</v>
      </c>
      <c r="P156" s="71">
        <v>18960</v>
      </c>
    </row>
    <row r="157" ht="15.75" spans="1:16">
      <c r="A157" s="115">
        <v>16</v>
      </c>
      <c r="B157" s="28" t="s">
        <v>171</v>
      </c>
      <c r="C157" s="115">
        <v>48</v>
      </c>
      <c r="D157" s="115">
        <v>420</v>
      </c>
      <c r="E157" s="115">
        <f t="shared" si="4"/>
        <v>20160</v>
      </c>
      <c r="F157" s="255" t="s">
        <v>155</v>
      </c>
      <c r="G157" s="152" t="s">
        <v>156</v>
      </c>
      <c r="H157" s="308" t="s">
        <v>157</v>
      </c>
      <c r="I157" s="152" t="s">
        <v>21</v>
      </c>
      <c r="J157" s="152" t="s">
        <v>21</v>
      </c>
      <c r="K157" s="152" t="s">
        <v>21</v>
      </c>
      <c r="L157" s="152" t="s">
        <v>21</v>
      </c>
      <c r="M157" s="71">
        <v>5040</v>
      </c>
      <c r="N157" s="71">
        <v>5040</v>
      </c>
      <c r="O157" s="71">
        <v>5040</v>
      </c>
      <c r="P157" s="71">
        <v>5040</v>
      </c>
    </row>
    <row r="158" ht="15.75" spans="1:16">
      <c r="A158" s="115">
        <v>17</v>
      </c>
      <c r="B158" s="28" t="s">
        <v>172</v>
      </c>
      <c r="C158" s="115">
        <v>18</v>
      </c>
      <c r="D158" s="115">
        <v>480</v>
      </c>
      <c r="E158" s="115">
        <f t="shared" si="4"/>
        <v>8640</v>
      </c>
      <c r="F158" s="255" t="s">
        <v>155</v>
      </c>
      <c r="G158" s="152" t="s">
        <v>156</v>
      </c>
      <c r="H158" s="308" t="s">
        <v>157</v>
      </c>
      <c r="I158" s="152" t="s">
        <v>21</v>
      </c>
      <c r="J158" s="152" t="s">
        <v>21</v>
      </c>
      <c r="K158" s="152" t="s">
        <v>21</v>
      </c>
      <c r="L158" s="152" t="s">
        <v>21</v>
      </c>
      <c r="M158" s="71">
        <v>2160</v>
      </c>
      <c r="N158" s="71">
        <v>2160</v>
      </c>
      <c r="O158" s="71">
        <v>2160</v>
      </c>
      <c r="P158" s="71">
        <v>2160</v>
      </c>
    </row>
    <row r="159" ht="15.75" spans="1:16">
      <c r="A159" s="115">
        <v>18</v>
      </c>
      <c r="B159" s="28" t="s">
        <v>173</v>
      </c>
      <c r="C159" s="115">
        <v>100</v>
      </c>
      <c r="D159" s="115">
        <v>195</v>
      </c>
      <c r="E159" s="115">
        <f t="shared" si="4"/>
        <v>19500</v>
      </c>
      <c r="F159" s="255" t="s">
        <v>155</v>
      </c>
      <c r="G159" s="152" t="s">
        <v>156</v>
      </c>
      <c r="H159" s="308" t="s">
        <v>157</v>
      </c>
      <c r="I159" s="152" t="s">
        <v>21</v>
      </c>
      <c r="J159" s="152" t="s">
        <v>21</v>
      </c>
      <c r="K159" s="152" t="s">
        <v>21</v>
      </c>
      <c r="L159" s="152" t="s">
        <v>21</v>
      </c>
      <c r="M159" s="71">
        <v>4875</v>
      </c>
      <c r="N159" s="71">
        <v>4875</v>
      </c>
      <c r="O159" s="71">
        <v>4875</v>
      </c>
      <c r="P159" s="71">
        <v>4875</v>
      </c>
    </row>
    <row r="160" ht="15.75" spans="1:16">
      <c r="A160" s="115">
        <v>19</v>
      </c>
      <c r="B160" s="28" t="s">
        <v>174</v>
      </c>
      <c r="C160" s="115">
        <v>48</v>
      </c>
      <c r="D160" s="115">
        <v>700</v>
      </c>
      <c r="E160" s="115">
        <f t="shared" si="4"/>
        <v>33600</v>
      </c>
      <c r="F160" s="255" t="s">
        <v>155</v>
      </c>
      <c r="G160" s="152" t="s">
        <v>156</v>
      </c>
      <c r="H160" s="308" t="s">
        <v>157</v>
      </c>
      <c r="I160" s="152" t="s">
        <v>21</v>
      </c>
      <c r="J160" s="152" t="s">
        <v>21</v>
      </c>
      <c r="K160" s="152" t="s">
        <v>21</v>
      </c>
      <c r="L160" s="152" t="s">
        <v>21</v>
      </c>
      <c r="M160" s="71">
        <v>8400</v>
      </c>
      <c r="N160" s="71">
        <v>8400</v>
      </c>
      <c r="O160" s="71">
        <v>8400</v>
      </c>
      <c r="P160" s="71">
        <v>8400</v>
      </c>
    </row>
    <row r="161" ht="15.75" spans="1:16">
      <c r="A161" s="115">
        <v>20</v>
      </c>
      <c r="B161" s="28" t="s">
        <v>175</v>
      </c>
      <c r="C161" s="115">
        <v>10</v>
      </c>
      <c r="D161" s="115">
        <v>195</v>
      </c>
      <c r="E161" s="115">
        <f t="shared" si="4"/>
        <v>1950</v>
      </c>
      <c r="F161" s="255" t="s">
        <v>155</v>
      </c>
      <c r="G161" s="152" t="s">
        <v>156</v>
      </c>
      <c r="H161" s="308" t="s">
        <v>157</v>
      </c>
      <c r="I161" s="152" t="s">
        <v>21</v>
      </c>
      <c r="J161" s="152" t="s">
        <v>21</v>
      </c>
      <c r="K161" s="152" t="s">
        <v>21</v>
      </c>
      <c r="L161" s="152" t="s">
        <v>21</v>
      </c>
      <c r="M161" s="71">
        <v>488</v>
      </c>
      <c r="N161" s="71">
        <v>488</v>
      </c>
      <c r="O161" s="71">
        <v>488</v>
      </c>
      <c r="P161" s="71">
        <v>488</v>
      </c>
    </row>
    <row r="162" ht="15.75" spans="1:16">
      <c r="A162" s="115">
        <v>21</v>
      </c>
      <c r="B162" s="28" t="s">
        <v>176</v>
      </c>
      <c r="C162" s="115">
        <v>15</v>
      </c>
      <c r="D162" s="115">
        <v>180</v>
      </c>
      <c r="E162" s="115">
        <f t="shared" si="4"/>
        <v>2700</v>
      </c>
      <c r="F162" s="255" t="s">
        <v>155</v>
      </c>
      <c r="G162" s="152" t="s">
        <v>156</v>
      </c>
      <c r="H162" s="308" t="s">
        <v>157</v>
      </c>
      <c r="I162" s="152" t="s">
        <v>21</v>
      </c>
      <c r="J162" s="152" t="s">
        <v>21</v>
      </c>
      <c r="K162" s="152" t="s">
        <v>21</v>
      </c>
      <c r="L162" s="152" t="s">
        <v>21</v>
      </c>
      <c r="M162" s="71">
        <v>675</v>
      </c>
      <c r="N162" s="71">
        <v>675</v>
      </c>
      <c r="O162" s="71">
        <v>675</v>
      </c>
      <c r="P162" s="71">
        <v>675</v>
      </c>
    </row>
    <row r="163" ht="15.75" spans="1:16">
      <c r="A163" s="115">
        <v>22</v>
      </c>
      <c r="B163" s="28" t="s">
        <v>177</v>
      </c>
      <c r="C163" s="115">
        <v>10</v>
      </c>
      <c r="D163" s="115">
        <v>400</v>
      </c>
      <c r="E163" s="115">
        <f t="shared" si="4"/>
        <v>4000</v>
      </c>
      <c r="F163" s="255" t="s">
        <v>155</v>
      </c>
      <c r="G163" s="152" t="s">
        <v>156</v>
      </c>
      <c r="H163" s="308" t="s">
        <v>157</v>
      </c>
      <c r="I163" s="152" t="s">
        <v>21</v>
      </c>
      <c r="J163" s="152" t="s">
        <v>21</v>
      </c>
      <c r="K163" s="152" t="s">
        <v>21</v>
      </c>
      <c r="L163" s="152" t="s">
        <v>21</v>
      </c>
      <c r="M163" s="71">
        <v>1000</v>
      </c>
      <c r="N163" s="71">
        <v>1000</v>
      </c>
      <c r="O163" s="71">
        <v>1000</v>
      </c>
      <c r="P163" s="71">
        <v>1000</v>
      </c>
    </row>
    <row r="164" ht="15.75" spans="1:16">
      <c r="A164" s="115">
        <v>23</v>
      </c>
      <c r="B164" s="28" t="s">
        <v>178</v>
      </c>
      <c r="C164" s="115">
        <v>60</v>
      </c>
      <c r="D164" s="115">
        <v>350</v>
      </c>
      <c r="E164" s="115">
        <f t="shared" si="4"/>
        <v>21000</v>
      </c>
      <c r="F164" s="255" t="s">
        <v>155</v>
      </c>
      <c r="G164" s="152" t="s">
        <v>156</v>
      </c>
      <c r="H164" s="308" t="s">
        <v>157</v>
      </c>
      <c r="I164" s="152" t="s">
        <v>21</v>
      </c>
      <c r="J164" s="152" t="s">
        <v>21</v>
      </c>
      <c r="K164" s="152" t="s">
        <v>21</v>
      </c>
      <c r="L164" s="152" t="s">
        <v>21</v>
      </c>
      <c r="M164" s="71">
        <v>5250</v>
      </c>
      <c r="N164" s="71">
        <v>5250</v>
      </c>
      <c r="O164" s="71">
        <v>5250</v>
      </c>
      <c r="P164" s="71">
        <v>5250</v>
      </c>
    </row>
    <row r="165" ht="15.75" spans="1:16">
      <c r="A165" s="115">
        <v>24</v>
      </c>
      <c r="B165" s="28" t="s">
        <v>179</v>
      </c>
      <c r="C165" s="115">
        <v>36</v>
      </c>
      <c r="D165" s="115">
        <v>140</v>
      </c>
      <c r="E165" s="115">
        <f t="shared" si="4"/>
        <v>5040</v>
      </c>
      <c r="F165" s="255" t="s">
        <v>155</v>
      </c>
      <c r="G165" s="152" t="s">
        <v>156</v>
      </c>
      <c r="H165" s="308" t="s">
        <v>157</v>
      </c>
      <c r="I165" s="152" t="s">
        <v>21</v>
      </c>
      <c r="J165" s="152" t="s">
        <v>21</v>
      </c>
      <c r="K165" s="152" t="s">
        <v>21</v>
      </c>
      <c r="L165" s="152" t="s">
        <v>21</v>
      </c>
      <c r="M165" s="71">
        <v>1269</v>
      </c>
      <c r="N165" s="71">
        <v>1269</v>
      </c>
      <c r="O165" s="71">
        <v>1269</v>
      </c>
      <c r="P165" s="71">
        <v>1269</v>
      </c>
    </row>
    <row r="166" ht="15.75" spans="1:16">
      <c r="A166" s="115">
        <v>25</v>
      </c>
      <c r="B166" s="28" t="s">
        <v>180</v>
      </c>
      <c r="C166" s="115">
        <v>144</v>
      </c>
      <c r="D166" s="115">
        <v>120</v>
      </c>
      <c r="E166" s="115">
        <f t="shared" si="4"/>
        <v>17280</v>
      </c>
      <c r="F166" s="255" t="s">
        <v>155</v>
      </c>
      <c r="G166" s="152" t="s">
        <v>156</v>
      </c>
      <c r="H166" s="308" t="s">
        <v>157</v>
      </c>
      <c r="I166" s="152" t="s">
        <v>21</v>
      </c>
      <c r="J166" s="152" t="s">
        <v>21</v>
      </c>
      <c r="K166" s="152" t="s">
        <v>21</v>
      </c>
      <c r="L166" s="152" t="s">
        <v>21</v>
      </c>
      <c r="M166" s="71">
        <v>4320</v>
      </c>
      <c r="N166" s="71">
        <v>4320</v>
      </c>
      <c r="O166" s="71">
        <v>4320</v>
      </c>
      <c r="P166" s="71">
        <v>4320</v>
      </c>
    </row>
    <row r="167" ht="15.75" spans="1:16">
      <c r="A167" s="115">
        <v>26</v>
      </c>
      <c r="B167" s="28" t="s">
        <v>181</v>
      </c>
      <c r="C167" s="115">
        <v>48</v>
      </c>
      <c r="D167" s="115">
        <v>280</v>
      </c>
      <c r="E167" s="115">
        <f>C167*D166</f>
        <v>5760</v>
      </c>
      <c r="F167" s="255" t="s">
        <v>155</v>
      </c>
      <c r="G167" s="152" t="s">
        <v>156</v>
      </c>
      <c r="H167" s="308" t="s">
        <v>157</v>
      </c>
      <c r="I167" s="152" t="s">
        <v>21</v>
      </c>
      <c r="J167" s="152" t="s">
        <v>21</v>
      </c>
      <c r="K167" s="152" t="s">
        <v>21</v>
      </c>
      <c r="L167" s="152" t="s">
        <v>21</v>
      </c>
      <c r="M167" s="71">
        <v>1440</v>
      </c>
      <c r="N167" s="71">
        <v>1440</v>
      </c>
      <c r="O167" s="71">
        <v>1440</v>
      </c>
      <c r="P167" s="71">
        <v>1440</v>
      </c>
    </row>
    <row r="168" ht="15.75" spans="1:16">
      <c r="A168" s="115">
        <v>27</v>
      </c>
      <c r="B168" s="28" t="s">
        <v>182</v>
      </c>
      <c r="C168" s="115">
        <v>12</v>
      </c>
      <c r="D168" s="115">
        <v>240</v>
      </c>
      <c r="E168" s="115">
        <f>C168*D168</f>
        <v>2880</v>
      </c>
      <c r="F168" s="255" t="s">
        <v>155</v>
      </c>
      <c r="G168" s="152" t="s">
        <v>156</v>
      </c>
      <c r="H168" s="308" t="s">
        <v>157</v>
      </c>
      <c r="I168" s="152" t="s">
        <v>21</v>
      </c>
      <c r="J168" s="152" t="s">
        <v>21</v>
      </c>
      <c r="K168" s="152" t="s">
        <v>21</v>
      </c>
      <c r="L168" s="152" t="s">
        <v>21</v>
      </c>
      <c r="M168" s="71">
        <v>720</v>
      </c>
      <c r="N168" s="71">
        <v>720</v>
      </c>
      <c r="O168" s="71">
        <v>720</v>
      </c>
      <c r="P168" s="71">
        <v>720</v>
      </c>
    </row>
    <row r="169" ht="15.75" spans="1:16">
      <c r="A169" s="115">
        <v>28</v>
      </c>
      <c r="B169" s="28" t="s">
        <v>183</v>
      </c>
      <c r="C169" s="115">
        <v>110</v>
      </c>
      <c r="D169" s="115">
        <v>200</v>
      </c>
      <c r="E169" s="115">
        <f>C169*D169</f>
        <v>22000</v>
      </c>
      <c r="F169" s="255" t="s">
        <v>155</v>
      </c>
      <c r="G169" s="152" t="s">
        <v>156</v>
      </c>
      <c r="H169" s="308" t="s">
        <v>157</v>
      </c>
      <c r="I169" s="152" t="s">
        <v>21</v>
      </c>
      <c r="J169" s="152" t="s">
        <v>21</v>
      </c>
      <c r="K169" s="152" t="s">
        <v>21</v>
      </c>
      <c r="L169" s="152" t="s">
        <v>21</v>
      </c>
      <c r="M169" s="71">
        <v>5500</v>
      </c>
      <c r="N169" s="71">
        <v>5500</v>
      </c>
      <c r="O169" s="71">
        <v>5500</v>
      </c>
      <c r="P169" s="71">
        <v>5500</v>
      </c>
    </row>
    <row r="170" ht="15.75" spans="1:16">
      <c r="A170" s="115">
        <v>29</v>
      </c>
      <c r="B170" s="28" t="s">
        <v>184</v>
      </c>
      <c r="C170" s="115">
        <v>40</v>
      </c>
      <c r="D170" s="115">
        <v>2030</v>
      </c>
      <c r="E170" s="115">
        <f>C170*D170</f>
        <v>81200</v>
      </c>
      <c r="F170" s="255" t="s">
        <v>155</v>
      </c>
      <c r="G170" s="152" t="s">
        <v>156</v>
      </c>
      <c r="H170" s="308" t="s">
        <v>157</v>
      </c>
      <c r="I170" s="152" t="s">
        <v>21</v>
      </c>
      <c r="J170" s="152" t="s">
        <v>21</v>
      </c>
      <c r="K170" s="152" t="s">
        <v>21</v>
      </c>
      <c r="L170" s="152" t="s">
        <v>21</v>
      </c>
      <c r="M170" s="71">
        <v>20300</v>
      </c>
      <c r="N170" s="71">
        <v>20300</v>
      </c>
      <c r="O170" s="71">
        <v>20300</v>
      </c>
      <c r="P170" s="71">
        <v>20300</v>
      </c>
    </row>
    <row r="171" ht="15.75" spans="1:16">
      <c r="A171" s="115">
        <v>30</v>
      </c>
      <c r="B171" s="28" t="s">
        <v>185</v>
      </c>
      <c r="C171" s="115">
        <v>192</v>
      </c>
      <c r="D171" s="115">
        <v>180</v>
      </c>
      <c r="E171" s="115">
        <f>C171*D171</f>
        <v>34560</v>
      </c>
      <c r="F171" s="255" t="s">
        <v>155</v>
      </c>
      <c r="G171" s="152" t="s">
        <v>156</v>
      </c>
      <c r="H171" s="308" t="s">
        <v>157</v>
      </c>
      <c r="I171" s="152" t="s">
        <v>21</v>
      </c>
      <c r="J171" s="152" t="s">
        <v>21</v>
      </c>
      <c r="K171" s="152" t="s">
        <v>21</v>
      </c>
      <c r="L171" s="152" t="s">
        <v>21</v>
      </c>
      <c r="M171" s="71">
        <v>8640</v>
      </c>
      <c r="N171" s="71">
        <v>8640</v>
      </c>
      <c r="O171" s="71">
        <v>8640</v>
      </c>
      <c r="P171" s="71">
        <v>8640</v>
      </c>
    </row>
    <row r="172" ht="15.75" spans="1:16">
      <c r="A172" s="115">
        <v>31</v>
      </c>
      <c r="B172" s="328" t="s">
        <v>186</v>
      </c>
      <c r="C172" s="365">
        <v>30</v>
      </c>
      <c r="D172" s="331">
        <v>1500</v>
      </c>
      <c r="E172" s="366">
        <f t="shared" ref="E172:E195" si="5">C172*D172</f>
        <v>45000</v>
      </c>
      <c r="F172" s="308" t="s">
        <v>33</v>
      </c>
      <c r="G172" s="308" t="s">
        <v>19</v>
      </c>
      <c r="H172" s="308" t="s">
        <v>157</v>
      </c>
      <c r="I172" s="152" t="s">
        <v>21</v>
      </c>
      <c r="J172" s="152" t="s">
        <v>21</v>
      </c>
      <c r="K172" s="152" t="s">
        <v>21</v>
      </c>
      <c r="L172" s="152" t="s">
        <v>21</v>
      </c>
      <c r="M172" s="328">
        <v>15000</v>
      </c>
      <c r="N172" s="328">
        <v>10000</v>
      </c>
      <c r="O172" s="328">
        <v>10000</v>
      </c>
      <c r="P172" s="328">
        <v>10000</v>
      </c>
    </row>
    <row r="173" ht="15.75" spans="1:16">
      <c r="A173" s="115">
        <v>32</v>
      </c>
      <c r="B173" s="328" t="s">
        <v>187</v>
      </c>
      <c r="C173" s="365">
        <v>20</v>
      </c>
      <c r="D173" s="331">
        <v>550</v>
      </c>
      <c r="E173" s="328">
        <f t="shared" si="5"/>
        <v>11000</v>
      </c>
      <c r="F173" s="308" t="s">
        <v>33</v>
      </c>
      <c r="G173" s="308" t="s">
        <v>19</v>
      </c>
      <c r="H173" s="308" t="s">
        <v>157</v>
      </c>
      <c r="I173" s="152" t="s">
        <v>21</v>
      </c>
      <c r="J173" s="152" t="s">
        <v>21</v>
      </c>
      <c r="K173" s="152" t="s">
        <v>21</v>
      </c>
      <c r="L173" s="152" t="s">
        <v>21</v>
      </c>
      <c r="M173" s="328">
        <v>5500</v>
      </c>
      <c r="N173" s="328"/>
      <c r="O173" s="328">
        <v>5500</v>
      </c>
      <c r="P173" s="328"/>
    </row>
    <row r="174" ht="15.75" spans="1:16">
      <c r="A174" s="115">
        <v>33</v>
      </c>
      <c r="B174" s="348" t="s">
        <v>188</v>
      </c>
      <c r="C174" s="340">
        <v>10</v>
      </c>
      <c r="D174" s="341">
        <v>3210</v>
      </c>
      <c r="E174" s="341">
        <f t="shared" si="5"/>
        <v>32100</v>
      </c>
      <c r="F174" s="318" t="s">
        <v>104</v>
      </c>
      <c r="G174" s="308" t="s">
        <v>19</v>
      </c>
      <c r="H174" s="308" t="s">
        <v>157</v>
      </c>
      <c r="I174" s="152" t="s">
        <v>21</v>
      </c>
      <c r="J174" s="152" t="s">
        <v>21</v>
      </c>
      <c r="K174" s="152" t="s">
        <v>21</v>
      </c>
      <c r="L174" s="152" t="s">
        <v>21</v>
      </c>
      <c r="M174" s="328">
        <v>16050</v>
      </c>
      <c r="N174" s="328"/>
      <c r="O174" s="328">
        <v>16050</v>
      </c>
      <c r="P174" s="328"/>
    </row>
    <row r="175" ht="15.75" spans="1:16">
      <c r="A175" s="115">
        <v>34</v>
      </c>
      <c r="B175" s="348" t="s">
        <v>189</v>
      </c>
      <c r="C175" s="340">
        <v>20</v>
      </c>
      <c r="D175" s="341">
        <v>1650</v>
      </c>
      <c r="E175" s="341">
        <f t="shared" si="5"/>
        <v>33000</v>
      </c>
      <c r="F175" s="318" t="s">
        <v>104</v>
      </c>
      <c r="G175" s="308" t="s">
        <v>19</v>
      </c>
      <c r="H175" s="308" t="s">
        <v>157</v>
      </c>
      <c r="I175" s="152" t="s">
        <v>21</v>
      </c>
      <c r="J175" s="152" t="s">
        <v>21</v>
      </c>
      <c r="K175" s="152" t="s">
        <v>21</v>
      </c>
      <c r="L175" s="152" t="s">
        <v>21</v>
      </c>
      <c r="M175" s="331">
        <v>8250</v>
      </c>
      <c r="N175" s="331">
        <v>8250</v>
      </c>
      <c r="O175" s="331">
        <v>8250</v>
      </c>
      <c r="P175" s="332">
        <v>8250</v>
      </c>
    </row>
    <row r="176" ht="15.75" spans="1:16">
      <c r="A176" s="115">
        <v>35</v>
      </c>
      <c r="B176" s="348" t="s">
        <v>190</v>
      </c>
      <c r="C176" s="340">
        <v>2</v>
      </c>
      <c r="D176" s="341">
        <v>3200</v>
      </c>
      <c r="E176" s="341">
        <f t="shared" si="5"/>
        <v>6400</v>
      </c>
      <c r="F176" s="318" t="s">
        <v>104</v>
      </c>
      <c r="G176" s="308" t="s">
        <v>19</v>
      </c>
      <c r="H176" s="308" t="s">
        <v>157</v>
      </c>
      <c r="I176" s="152" t="s">
        <v>21</v>
      </c>
      <c r="J176" s="152" t="s">
        <v>21</v>
      </c>
      <c r="K176" s="152" t="s">
        <v>21</v>
      </c>
      <c r="L176" s="152" t="s">
        <v>21</v>
      </c>
      <c r="M176" s="331">
        <v>3200</v>
      </c>
      <c r="N176" s="331"/>
      <c r="O176" s="331">
        <v>3200</v>
      </c>
      <c r="P176" s="332"/>
    </row>
    <row r="177" ht="15.75" spans="1:16">
      <c r="A177" s="115">
        <v>36</v>
      </c>
      <c r="B177" s="348" t="s">
        <v>191</v>
      </c>
      <c r="C177" s="340">
        <v>2</v>
      </c>
      <c r="D177" s="341">
        <v>2400</v>
      </c>
      <c r="E177" s="341">
        <f t="shared" si="5"/>
        <v>4800</v>
      </c>
      <c r="F177" s="318" t="s">
        <v>104</v>
      </c>
      <c r="G177" s="308" t="s">
        <v>19</v>
      </c>
      <c r="H177" s="308" t="s">
        <v>157</v>
      </c>
      <c r="I177" s="152" t="s">
        <v>21</v>
      </c>
      <c r="J177" s="152" t="s">
        <v>21</v>
      </c>
      <c r="K177" s="152" t="s">
        <v>21</v>
      </c>
      <c r="L177" s="152" t="s">
        <v>21</v>
      </c>
      <c r="M177" s="328">
        <v>2400</v>
      </c>
      <c r="N177" s="328"/>
      <c r="O177" s="328">
        <v>2400</v>
      </c>
      <c r="P177" s="328"/>
    </row>
    <row r="178" ht="15.75" spans="1:16">
      <c r="A178" s="115">
        <v>37</v>
      </c>
      <c r="B178" s="348" t="s">
        <v>192</v>
      </c>
      <c r="C178" s="340">
        <v>3</v>
      </c>
      <c r="D178" s="341">
        <v>1200</v>
      </c>
      <c r="E178" s="341">
        <f t="shared" si="5"/>
        <v>3600</v>
      </c>
      <c r="F178" s="318" t="s">
        <v>104</v>
      </c>
      <c r="G178" s="308" t="s">
        <v>19</v>
      </c>
      <c r="H178" s="308" t="s">
        <v>157</v>
      </c>
      <c r="I178" s="152" t="s">
        <v>21</v>
      </c>
      <c r="J178" s="152" t="s">
        <v>21</v>
      </c>
      <c r="K178" s="152" t="s">
        <v>21</v>
      </c>
      <c r="L178" s="152" t="s">
        <v>21</v>
      </c>
      <c r="M178" s="331">
        <v>1200</v>
      </c>
      <c r="N178" s="331">
        <v>1200</v>
      </c>
      <c r="O178" s="331"/>
      <c r="P178" s="332">
        <v>1200</v>
      </c>
    </row>
    <row r="179" ht="15.75" spans="1:16">
      <c r="A179" s="115">
        <v>38</v>
      </c>
      <c r="B179" s="348" t="s">
        <v>193</v>
      </c>
      <c r="C179" s="340">
        <v>2</v>
      </c>
      <c r="D179" s="341">
        <v>13000</v>
      </c>
      <c r="E179" s="341">
        <f t="shared" si="5"/>
        <v>26000</v>
      </c>
      <c r="F179" s="318" t="s">
        <v>104</v>
      </c>
      <c r="G179" s="308" t="s">
        <v>19</v>
      </c>
      <c r="H179" s="308" t="s">
        <v>157</v>
      </c>
      <c r="I179" s="152" t="s">
        <v>21</v>
      </c>
      <c r="J179" s="152" t="s">
        <v>21</v>
      </c>
      <c r="K179" s="152" t="s">
        <v>21</v>
      </c>
      <c r="L179" s="152" t="s">
        <v>21</v>
      </c>
      <c r="M179" s="328">
        <v>13000</v>
      </c>
      <c r="N179" s="328"/>
      <c r="O179" s="328">
        <v>13000</v>
      </c>
      <c r="P179" s="328"/>
    </row>
    <row r="180" ht="15.75" spans="1:16">
      <c r="A180" s="115">
        <v>39</v>
      </c>
      <c r="B180" s="348" t="s">
        <v>194</v>
      </c>
      <c r="C180" s="340">
        <v>2</v>
      </c>
      <c r="D180" s="341">
        <v>9600</v>
      </c>
      <c r="E180" s="341">
        <f t="shared" si="5"/>
        <v>19200</v>
      </c>
      <c r="F180" s="318" t="s">
        <v>104</v>
      </c>
      <c r="G180" s="308" t="s">
        <v>19</v>
      </c>
      <c r="H180" s="308" t="s">
        <v>157</v>
      </c>
      <c r="I180" s="152" t="s">
        <v>21</v>
      </c>
      <c r="J180" s="152" t="s">
        <v>21</v>
      </c>
      <c r="K180" s="152" t="s">
        <v>21</v>
      </c>
      <c r="L180" s="152" t="s">
        <v>21</v>
      </c>
      <c r="M180" s="331">
        <v>9600</v>
      </c>
      <c r="N180" s="331"/>
      <c r="O180" s="332">
        <v>9600</v>
      </c>
      <c r="P180" s="332"/>
    </row>
    <row r="181" ht="15.75" spans="1:16">
      <c r="A181" s="115">
        <v>40</v>
      </c>
      <c r="B181" s="348" t="s">
        <v>195</v>
      </c>
      <c r="C181" s="340">
        <v>2</v>
      </c>
      <c r="D181" s="341">
        <v>1800</v>
      </c>
      <c r="E181" s="341">
        <f t="shared" si="5"/>
        <v>3600</v>
      </c>
      <c r="F181" s="318" t="s">
        <v>104</v>
      </c>
      <c r="G181" s="308" t="s">
        <v>19</v>
      </c>
      <c r="H181" s="308" t="s">
        <v>157</v>
      </c>
      <c r="I181" s="152" t="s">
        <v>21</v>
      </c>
      <c r="J181" s="152" t="s">
        <v>21</v>
      </c>
      <c r="K181" s="152" t="s">
        <v>21</v>
      </c>
      <c r="L181" s="152" t="s">
        <v>21</v>
      </c>
      <c r="M181" s="331">
        <v>1800</v>
      </c>
      <c r="N181" s="331"/>
      <c r="O181" s="331">
        <v>1800</v>
      </c>
      <c r="P181" s="332"/>
    </row>
    <row r="182" ht="15.75" spans="1:16">
      <c r="A182" s="115">
        <v>41</v>
      </c>
      <c r="B182" s="348" t="s">
        <v>196</v>
      </c>
      <c r="C182" s="340">
        <v>2</v>
      </c>
      <c r="D182" s="341">
        <v>1560</v>
      </c>
      <c r="E182" s="341">
        <f t="shared" si="5"/>
        <v>3120</v>
      </c>
      <c r="F182" s="318" t="s">
        <v>104</v>
      </c>
      <c r="G182" s="308" t="s">
        <v>19</v>
      </c>
      <c r="H182" s="308" t="s">
        <v>157</v>
      </c>
      <c r="I182" s="152" t="s">
        <v>21</v>
      </c>
      <c r="J182" s="152" t="s">
        <v>21</v>
      </c>
      <c r="K182" s="152" t="s">
        <v>21</v>
      </c>
      <c r="L182" s="152" t="s">
        <v>21</v>
      </c>
      <c r="M182" s="328">
        <v>1560</v>
      </c>
      <c r="N182" s="328"/>
      <c r="O182" s="328">
        <v>1560</v>
      </c>
      <c r="P182" s="328"/>
    </row>
    <row r="183" ht="15.75" spans="1:16">
      <c r="A183" s="115">
        <v>42</v>
      </c>
      <c r="B183" s="348" t="s">
        <v>197</v>
      </c>
      <c r="C183" s="340">
        <v>1</v>
      </c>
      <c r="D183" s="341">
        <v>7500</v>
      </c>
      <c r="E183" s="341">
        <f t="shared" si="5"/>
        <v>7500</v>
      </c>
      <c r="F183" s="318" t="s">
        <v>104</v>
      </c>
      <c r="G183" s="308" t="s">
        <v>19</v>
      </c>
      <c r="H183" s="308" t="s">
        <v>157</v>
      </c>
      <c r="I183" s="152" t="s">
        <v>21</v>
      </c>
      <c r="J183" s="152" t="s">
        <v>21</v>
      </c>
      <c r="K183" s="152" t="s">
        <v>21</v>
      </c>
      <c r="L183" s="152" t="s">
        <v>21</v>
      </c>
      <c r="M183" s="331">
        <v>7500</v>
      </c>
      <c r="N183" s="331"/>
      <c r="O183" s="331"/>
      <c r="P183" s="332"/>
    </row>
    <row r="184" ht="15.75" spans="1:16">
      <c r="A184" s="115">
        <v>43</v>
      </c>
      <c r="B184" s="348" t="s">
        <v>198</v>
      </c>
      <c r="C184" s="340">
        <v>6</v>
      </c>
      <c r="D184" s="341">
        <v>1110</v>
      </c>
      <c r="E184" s="341">
        <f t="shared" si="5"/>
        <v>6660</v>
      </c>
      <c r="F184" s="318" t="s">
        <v>104</v>
      </c>
      <c r="G184" s="308" t="s">
        <v>19</v>
      </c>
      <c r="H184" s="308" t="s">
        <v>157</v>
      </c>
      <c r="I184" s="152" t="s">
        <v>21</v>
      </c>
      <c r="J184" s="152" t="s">
        <v>21</v>
      </c>
      <c r="K184" s="152" t="s">
        <v>21</v>
      </c>
      <c r="L184" s="152" t="s">
        <v>21</v>
      </c>
      <c r="M184" s="331"/>
      <c r="N184" s="331">
        <v>6660</v>
      </c>
      <c r="O184" s="331"/>
      <c r="P184" s="332"/>
    </row>
    <row r="185" ht="15.75" spans="1:16">
      <c r="A185" s="115">
        <v>44</v>
      </c>
      <c r="B185" s="348" t="s">
        <v>199</v>
      </c>
      <c r="C185" s="340">
        <v>180</v>
      </c>
      <c r="D185" s="341">
        <v>150</v>
      </c>
      <c r="E185" s="341">
        <f t="shared" si="5"/>
        <v>27000</v>
      </c>
      <c r="F185" s="318" t="s">
        <v>104</v>
      </c>
      <c r="G185" s="308" t="s">
        <v>19</v>
      </c>
      <c r="H185" s="308" t="s">
        <v>157</v>
      </c>
      <c r="I185" s="152" t="s">
        <v>21</v>
      </c>
      <c r="J185" s="152" t="s">
        <v>21</v>
      </c>
      <c r="K185" s="152" t="s">
        <v>21</v>
      </c>
      <c r="L185" s="152" t="s">
        <v>21</v>
      </c>
      <c r="M185" s="328">
        <v>6750</v>
      </c>
      <c r="N185" s="328">
        <v>6750</v>
      </c>
      <c r="O185" s="328">
        <v>6750</v>
      </c>
      <c r="P185" s="328">
        <v>6750</v>
      </c>
    </row>
    <row r="186" ht="15.75" spans="1:16">
      <c r="A186" s="115">
        <v>45</v>
      </c>
      <c r="B186" s="348" t="s">
        <v>200</v>
      </c>
      <c r="C186" s="340">
        <v>360</v>
      </c>
      <c r="D186" s="341">
        <v>140</v>
      </c>
      <c r="E186" s="341">
        <f t="shared" si="5"/>
        <v>50400</v>
      </c>
      <c r="F186" s="318" t="s">
        <v>104</v>
      </c>
      <c r="G186" s="308" t="s">
        <v>19</v>
      </c>
      <c r="H186" s="308" t="s">
        <v>157</v>
      </c>
      <c r="I186" s="152" t="s">
        <v>21</v>
      </c>
      <c r="J186" s="152" t="s">
        <v>21</v>
      </c>
      <c r="K186" s="152" t="s">
        <v>21</v>
      </c>
      <c r="L186" s="152" t="s">
        <v>21</v>
      </c>
      <c r="M186" s="331">
        <v>12600</v>
      </c>
      <c r="N186" s="331">
        <v>12600</v>
      </c>
      <c r="O186" s="331">
        <v>12600</v>
      </c>
      <c r="P186" s="332">
        <v>12600</v>
      </c>
    </row>
    <row r="187" ht="15.75" spans="1:16">
      <c r="A187" s="115">
        <v>46</v>
      </c>
      <c r="B187" s="348" t="s">
        <v>201</v>
      </c>
      <c r="C187" s="340">
        <v>75</v>
      </c>
      <c r="D187" s="341">
        <v>650</v>
      </c>
      <c r="E187" s="341">
        <f t="shared" si="5"/>
        <v>48750</v>
      </c>
      <c r="F187" s="318" t="s">
        <v>104</v>
      </c>
      <c r="G187" s="308" t="s">
        <v>19</v>
      </c>
      <c r="H187" s="308" t="s">
        <v>157</v>
      </c>
      <c r="I187" s="152" t="s">
        <v>21</v>
      </c>
      <c r="J187" s="152" t="s">
        <v>21</v>
      </c>
      <c r="K187" s="152" t="s">
        <v>21</v>
      </c>
      <c r="L187" s="152" t="s">
        <v>21</v>
      </c>
      <c r="M187" s="328">
        <v>24375</v>
      </c>
      <c r="N187" s="328"/>
      <c r="O187" s="328">
        <v>24375</v>
      </c>
      <c r="P187" s="328"/>
    </row>
    <row r="188" ht="15.75" spans="1:16">
      <c r="A188" s="115">
        <v>47</v>
      </c>
      <c r="B188" s="348" t="s">
        <v>177</v>
      </c>
      <c r="C188" s="340">
        <v>10</v>
      </c>
      <c r="D188" s="341">
        <v>800</v>
      </c>
      <c r="E188" s="341">
        <f t="shared" si="5"/>
        <v>8000</v>
      </c>
      <c r="F188" s="318" t="s">
        <v>104</v>
      </c>
      <c r="G188" s="308" t="s">
        <v>19</v>
      </c>
      <c r="H188" s="308" t="s">
        <v>157</v>
      </c>
      <c r="I188" s="152" t="s">
        <v>21</v>
      </c>
      <c r="J188" s="152" t="s">
        <v>21</v>
      </c>
      <c r="K188" s="152" t="s">
        <v>21</v>
      </c>
      <c r="L188" s="152" t="s">
        <v>21</v>
      </c>
      <c r="M188" s="331"/>
      <c r="N188" s="331">
        <v>4000</v>
      </c>
      <c r="O188" s="332"/>
      <c r="P188" s="332">
        <v>4000</v>
      </c>
    </row>
    <row r="189" ht="15.75" spans="1:16">
      <c r="A189" s="115">
        <v>48</v>
      </c>
      <c r="B189" s="348" t="s">
        <v>178</v>
      </c>
      <c r="C189" s="340">
        <v>10</v>
      </c>
      <c r="D189" s="341">
        <v>480</v>
      </c>
      <c r="E189" s="341">
        <f t="shared" si="5"/>
        <v>4800</v>
      </c>
      <c r="F189" s="318" t="s">
        <v>104</v>
      </c>
      <c r="G189" s="308" t="s">
        <v>19</v>
      </c>
      <c r="H189" s="308" t="s">
        <v>157</v>
      </c>
      <c r="I189" s="152" t="s">
        <v>21</v>
      </c>
      <c r="J189" s="152" t="s">
        <v>21</v>
      </c>
      <c r="K189" s="152" t="s">
        <v>21</v>
      </c>
      <c r="L189" s="152" t="s">
        <v>21</v>
      </c>
      <c r="M189" s="331"/>
      <c r="N189" s="331">
        <v>2400</v>
      </c>
      <c r="O189" s="331"/>
      <c r="P189" s="332">
        <v>2400</v>
      </c>
    </row>
    <row r="190" ht="15.75" spans="1:16">
      <c r="A190" s="115">
        <v>49</v>
      </c>
      <c r="B190" s="348" t="s">
        <v>202</v>
      </c>
      <c r="C190" s="340">
        <v>15</v>
      </c>
      <c r="D190" s="341">
        <v>350</v>
      </c>
      <c r="E190" s="341">
        <f t="shared" si="5"/>
        <v>5250</v>
      </c>
      <c r="F190" s="318" t="s">
        <v>104</v>
      </c>
      <c r="G190" s="308" t="s">
        <v>19</v>
      </c>
      <c r="H190" s="308" t="s">
        <v>157</v>
      </c>
      <c r="I190" s="152" t="s">
        <v>21</v>
      </c>
      <c r="J190" s="152" t="s">
        <v>21</v>
      </c>
      <c r="K190" s="152" t="s">
        <v>21</v>
      </c>
      <c r="L190" s="152" t="s">
        <v>21</v>
      </c>
      <c r="M190" s="328"/>
      <c r="N190" s="328">
        <v>2625</v>
      </c>
      <c r="O190" s="328"/>
      <c r="P190" s="328">
        <v>2625</v>
      </c>
    </row>
    <row r="191" ht="15.75" spans="1:16">
      <c r="A191" s="115">
        <v>50</v>
      </c>
      <c r="B191" s="348" t="s">
        <v>203</v>
      </c>
      <c r="C191" s="340">
        <v>10</v>
      </c>
      <c r="D191" s="341">
        <v>350</v>
      </c>
      <c r="E191" s="341">
        <f t="shared" si="5"/>
        <v>3500</v>
      </c>
      <c r="F191" s="318" t="s">
        <v>104</v>
      </c>
      <c r="G191" s="308" t="s">
        <v>19</v>
      </c>
      <c r="H191" s="308" t="s">
        <v>157</v>
      </c>
      <c r="I191" s="152" t="s">
        <v>21</v>
      </c>
      <c r="J191" s="152" t="s">
        <v>21</v>
      </c>
      <c r="K191" s="152" t="s">
        <v>21</v>
      </c>
      <c r="L191" s="152" t="s">
        <v>21</v>
      </c>
      <c r="M191" s="331"/>
      <c r="N191" s="331">
        <v>3500</v>
      </c>
      <c r="O191" s="331"/>
      <c r="P191" s="332"/>
    </row>
    <row r="192" ht="15.75" spans="1:16">
      <c r="A192" s="115">
        <v>51</v>
      </c>
      <c r="B192" s="348" t="s">
        <v>204</v>
      </c>
      <c r="C192" s="340">
        <v>15</v>
      </c>
      <c r="D192" s="341">
        <v>400</v>
      </c>
      <c r="E192" s="341">
        <f t="shared" si="5"/>
        <v>6000</v>
      </c>
      <c r="F192" s="318" t="s">
        <v>104</v>
      </c>
      <c r="G192" s="308" t="s">
        <v>19</v>
      </c>
      <c r="H192" s="308" t="s">
        <v>157</v>
      </c>
      <c r="I192" s="152" t="s">
        <v>21</v>
      </c>
      <c r="J192" s="152" t="s">
        <v>21</v>
      </c>
      <c r="K192" s="152" t="s">
        <v>21</v>
      </c>
      <c r="L192" s="152" t="s">
        <v>21</v>
      </c>
      <c r="M192" s="331"/>
      <c r="N192" s="331">
        <v>3000</v>
      </c>
      <c r="O192" s="331"/>
      <c r="P192" s="332">
        <v>3000</v>
      </c>
    </row>
    <row r="193" ht="15.75" spans="1:16">
      <c r="A193" s="115">
        <v>52</v>
      </c>
      <c r="B193" s="348" t="s">
        <v>205</v>
      </c>
      <c r="C193" s="340">
        <v>10</v>
      </c>
      <c r="D193" s="341">
        <v>400</v>
      </c>
      <c r="E193" s="341">
        <f t="shared" si="5"/>
        <v>4000</v>
      </c>
      <c r="F193" s="318" t="s">
        <v>104</v>
      </c>
      <c r="G193" s="308" t="s">
        <v>19</v>
      </c>
      <c r="H193" s="308" t="s">
        <v>157</v>
      </c>
      <c r="I193" s="152" t="s">
        <v>21</v>
      </c>
      <c r="J193" s="152" t="s">
        <v>21</v>
      </c>
      <c r="K193" s="152" t="s">
        <v>21</v>
      </c>
      <c r="L193" s="152" t="s">
        <v>21</v>
      </c>
      <c r="M193" s="328"/>
      <c r="N193" s="328">
        <v>2000</v>
      </c>
      <c r="O193" s="328"/>
      <c r="P193" s="328">
        <v>2000</v>
      </c>
    </row>
    <row r="194" ht="15.75" spans="1:16">
      <c r="A194" s="115">
        <v>53</v>
      </c>
      <c r="B194" s="348" t="s">
        <v>206</v>
      </c>
      <c r="C194" s="340">
        <v>30</v>
      </c>
      <c r="D194" s="341">
        <v>210</v>
      </c>
      <c r="E194" s="341">
        <f t="shared" si="5"/>
        <v>6300</v>
      </c>
      <c r="F194" s="318" t="s">
        <v>104</v>
      </c>
      <c r="G194" s="308" t="s">
        <v>19</v>
      </c>
      <c r="H194" s="308" t="s">
        <v>157</v>
      </c>
      <c r="I194" s="152" t="s">
        <v>21</v>
      </c>
      <c r="J194" s="152" t="s">
        <v>21</v>
      </c>
      <c r="K194" s="152" t="s">
        <v>21</v>
      </c>
      <c r="L194" s="152" t="s">
        <v>21</v>
      </c>
      <c r="M194" s="331"/>
      <c r="N194" s="331">
        <v>3150</v>
      </c>
      <c r="O194" s="331"/>
      <c r="P194" s="332">
        <v>3150</v>
      </c>
    </row>
    <row r="195" ht="15.75" spans="1:16">
      <c r="A195" s="115">
        <v>54</v>
      </c>
      <c r="B195" s="348" t="s">
        <v>207</v>
      </c>
      <c r="C195" s="340">
        <v>3</v>
      </c>
      <c r="D195" s="341">
        <v>6500</v>
      </c>
      <c r="E195" s="341">
        <f t="shared" si="5"/>
        <v>19500</v>
      </c>
      <c r="F195" s="318" t="s">
        <v>104</v>
      </c>
      <c r="G195" s="308" t="s">
        <v>19</v>
      </c>
      <c r="H195" s="308" t="s">
        <v>157</v>
      </c>
      <c r="I195" s="152" t="s">
        <v>21</v>
      </c>
      <c r="J195" s="152" t="s">
        <v>21</v>
      </c>
      <c r="K195" s="152" t="s">
        <v>21</v>
      </c>
      <c r="L195" s="152" t="s">
        <v>21</v>
      </c>
      <c r="M195" s="328"/>
      <c r="N195" s="328">
        <v>9750</v>
      </c>
      <c r="O195" s="328"/>
      <c r="P195" s="328">
        <v>9750</v>
      </c>
    </row>
    <row r="196" ht="15.75" spans="1:16">
      <c r="A196" s="115">
        <v>55</v>
      </c>
      <c r="B196" s="115" t="s">
        <v>208</v>
      </c>
      <c r="C196" s="115">
        <v>12</v>
      </c>
      <c r="D196" s="115">
        <v>700</v>
      </c>
      <c r="E196" s="319">
        <v>8400</v>
      </c>
      <c r="F196" s="308" t="s">
        <v>37</v>
      </c>
      <c r="G196" s="320" t="s">
        <v>19</v>
      </c>
      <c r="H196" s="308" t="s">
        <v>157</v>
      </c>
      <c r="I196" s="333" t="s">
        <v>38</v>
      </c>
      <c r="J196" s="333" t="s">
        <v>38</v>
      </c>
      <c r="K196" s="333" t="s">
        <v>38</v>
      </c>
      <c r="L196" s="333" t="s">
        <v>38</v>
      </c>
      <c r="M196" s="115">
        <v>2800</v>
      </c>
      <c r="N196" s="115">
        <v>1400</v>
      </c>
      <c r="O196" s="115">
        <v>1400</v>
      </c>
      <c r="P196" s="115">
        <v>1400</v>
      </c>
    </row>
    <row r="197" ht="15.75" spans="1:16">
      <c r="A197" s="115">
        <v>56</v>
      </c>
      <c r="B197" s="115" t="s">
        <v>209</v>
      </c>
      <c r="C197" s="115">
        <v>3</v>
      </c>
      <c r="D197" s="115">
        <v>1800</v>
      </c>
      <c r="E197" s="319">
        <v>5400</v>
      </c>
      <c r="F197" s="308" t="s">
        <v>37</v>
      </c>
      <c r="G197" s="320" t="s">
        <v>19</v>
      </c>
      <c r="H197" s="308" t="s">
        <v>157</v>
      </c>
      <c r="I197" s="333" t="s">
        <v>38</v>
      </c>
      <c r="J197" s="333" t="s">
        <v>38</v>
      </c>
      <c r="K197" s="333" t="s">
        <v>38</v>
      </c>
      <c r="L197" s="333" t="s">
        <v>38</v>
      </c>
      <c r="M197" s="115"/>
      <c r="N197" s="115">
        <v>2700</v>
      </c>
      <c r="O197" s="115">
        <v>2700</v>
      </c>
      <c r="P197" s="115"/>
    </row>
    <row r="198" spans="1:16">
      <c r="A198" s="115">
        <v>57</v>
      </c>
      <c r="B198" s="322" t="s">
        <v>186</v>
      </c>
      <c r="C198" s="115" t="s">
        <v>210</v>
      </c>
      <c r="D198" s="115">
        <v>1200</v>
      </c>
      <c r="E198" s="115">
        <v>36000</v>
      </c>
      <c r="F198" s="308" t="s">
        <v>43</v>
      </c>
      <c r="G198" s="308" t="s">
        <v>19</v>
      </c>
      <c r="H198" s="368" t="s">
        <v>211</v>
      </c>
      <c r="I198" s="333" t="s">
        <v>38</v>
      </c>
      <c r="J198" s="333" t="s">
        <v>38</v>
      </c>
      <c r="K198" s="333" t="s">
        <v>38</v>
      </c>
      <c r="L198" s="333" t="s">
        <v>38</v>
      </c>
      <c r="M198" s="331">
        <v>9000</v>
      </c>
      <c r="N198" s="331">
        <v>9000</v>
      </c>
      <c r="O198" s="331">
        <v>9000</v>
      </c>
      <c r="P198" s="332">
        <v>9000</v>
      </c>
    </row>
    <row r="199" ht="15.75" spans="1:16">
      <c r="A199" s="115"/>
      <c r="B199" s="369" t="s">
        <v>22</v>
      </c>
      <c r="C199" s="370"/>
      <c r="D199" s="371"/>
      <c r="E199" s="372">
        <f>SUM(E143:E198)</f>
        <v>1417770</v>
      </c>
      <c r="F199" s="308"/>
      <c r="G199" s="308"/>
      <c r="H199" s="308"/>
      <c r="I199" s="152"/>
      <c r="J199" s="152"/>
      <c r="K199" s="152"/>
      <c r="L199" s="152"/>
      <c r="M199" s="328"/>
      <c r="N199" s="328"/>
      <c r="O199" s="328"/>
      <c r="P199" s="328"/>
    </row>
    <row r="200" ht="15.75" spans="1:16">
      <c r="A200" s="115"/>
      <c r="B200" s="369"/>
      <c r="C200" s="370"/>
      <c r="D200" s="371"/>
      <c r="E200" s="372"/>
      <c r="F200" s="308"/>
      <c r="G200" s="308"/>
      <c r="H200" s="308"/>
      <c r="I200" s="152"/>
      <c r="J200" s="152"/>
      <c r="K200" s="152"/>
      <c r="L200" s="152"/>
      <c r="M200" s="328"/>
      <c r="N200" s="328"/>
      <c r="O200" s="328"/>
      <c r="P200" s="328"/>
    </row>
    <row r="201" spans="1:16">
      <c r="A201" s="115"/>
      <c r="B201" s="115"/>
      <c r="C201" s="115"/>
      <c r="D201" s="115"/>
      <c r="E201" s="115"/>
      <c r="F201" s="115"/>
      <c r="G201" s="115"/>
      <c r="H201" s="115"/>
      <c r="I201" s="115"/>
      <c r="J201" s="115"/>
      <c r="K201" s="115"/>
      <c r="L201" s="115"/>
      <c r="M201" s="115"/>
      <c r="N201" s="115"/>
      <c r="O201" s="115"/>
      <c r="P201" s="115"/>
    </row>
    <row r="202" spans="1:16">
      <c r="A202" s="306" t="s">
        <v>212</v>
      </c>
      <c r="B202" s="115"/>
      <c r="C202" s="115"/>
      <c r="D202" s="115"/>
      <c r="E202" s="115"/>
      <c r="F202" s="115"/>
      <c r="G202" s="115"/>
      <c r="H202" s="115"/>
      <c r="I202" s="115"/>
      <c r="J202" s="115"/>
      <c r="K202" s="115"/>
      <c r="L202" s="115"/>
      <c r="M202" s="115"/>
      <c r="N202" s="115"/>
      <c r="O202" s="115"/>
      <c r="P202" s="115"/>
    </row>
    <row r="203" ht="31.5" spans="1:16">
      <c r="A203" s="115">
        <v>1</v>
      </c>
      <c r="B203" s="28" t="s">
        <v>213</v>
      </c>
      <c r="C203" s="115">
        <v>0</v>
      </c>
      <c r="D203" s="115">
        <v>75000</v>
      </c>
      <c r="E203" s="310">
        <v>75000</v>
      </c>
      <c r="F203" s="255" t="s">
        <v>25</v>
      </c>
      <c r="G203" s="152" t="s">
        <v>19</v>
      </c>
      <c r="H203" s="152" t="s">
        <v>157</v>
      </c>
      <c r="I203" s="152" t="s">
        <v>21</v>
      </c>
      <c r="J203" s="152" t="s">
        <v>21</v>
      </c>
      <c r="K203" s="152" t="s">
        <v>21</v>
      </c>
      <c r="L203" s="152" t="s">
        <v>21</v>
      </c>
      <c r="M203" s="71">
        <v>75000</v>
      </c>
      <c r="N203" s="71"/>
      <c r="O203" s="71">
        <v>75000</v>
      </c>
      <c r="P203" s="71"/>
    </row>
    <row r="204" ht="15.75" spans="1:16">
      <c r="A204" s="115">
        <v>2</v>
      </c>
      <c r="B204" s="115" t="s">
        <v>214</v>
      </c>
      <c r="C204" s="115"/>
      <c r="D204" s="310"/>
      <c r="E204" s="310">
        <v>45000</v>
      </c>
      <c r="F204" s="308" t="s">
        <v>99</v>
      </c>
      <c r="G204" s="308" t="s">
        <v>19</v>
      </c>
      <c r="H204" s="152" t="s">
        <v>157</v>
      </c>
      <c r="I204" s="152" t="s">
        <v>21</v>
      </c>
      <c r="J204" s="152" t="s">
        <v>21</v>
      </c>
      <c r="K204" s="152" t="s">
        <v>21</v>
      </c>
      <c r="L204" s="152" t="s">
        <v>21</v>
      </c>
      <c r="M204" s="334"/>
      <c r="N204" s="334">
        <v>45000</v>
      </c>
      <c r="O204" s="115"/>
      <c r="P204" s="115"/>
    </row>
    <row r="205" ht="15.75" spans="1:16">
      <c r="A205" s="115">
        <v>3</v>
      </c>
      <c r="B205" s="307" t="s">
        <v>215</v>
      </c>
      <c r="C205" s="115">
        <v>1000</v>
      </c>
      <c r="D205" s="115">
        <v>80</v>
      </c>
      <c r="E205" s="115">
        <f>C205*D205</f>
        <v>80000</v>
      </c>
      <c r="F205" s="308" t="s">
        <v>18</v>
      </c>
      <c r="G205" s="308" t="s">
        <v>19</v>
      </c>
      <c r="H205" s="152" t="s">
        <v>157</v>
      </c>
      <c r="I205" s="152" t="s">
        <v>21</v>
      </c>
      <c r="J205" s="152" t="s">
        <v>21</v>
      </c>
      <c r="K205" s="152" t="s">
        <v>21</v>
      </c>
      <c r="L205" s="152" t="s">
        <v>21</v>
      </c>
      <c r="M205" s="115">
        <v>80000</v>
      </c>
      <c r="N205" s="115"/>
      <c r="O205" s="115"/>
      <c r="P205" s="115"/>
    </row>
    <row r="206" ht="30" spans="1:16">
      <c r="A206" s="115">
        <v>4</v>
      </c>
      <c r="B206" s="307" t="s">
        <v>216</v>
      </c>
      <c r="C206" s="115">
        <v>2000</v>
      </c>
      <c r="D206" s="115">
        <v>80</v>
      </c>
      <c r="E206" s="115">
        <f>C206*D206</f>
        <v>160000</v>
      </c>
      <c r="F206" s="308" t="s">
        <v>18</v>
      </c>
      <c r="G206" s="308" t="s">
        <v>19</v>
      </c>
      <c r="H206" s="152" t="s">
        <v>157</v>
      </c>
      <c r="I206" s="152" t="s">
        <v>21</v>
      </c>
      <c r="J206" s="152" t="s">
        <v>21</v>
      </c>
      <c r="K206" s="152" t="s">
        <v>21</v>
      </c>
      <c r="L206" s="152" t="s">
        <v>21</v>
      </c>
      <c r="M206" s="115">
        <v>160000</v>
      </c>
      <c r="N206" s="115"/>
      <c r="O206" s="115"/>
      <c r="P206" s="115"/>
    </row>
    <row r="207" ht="15.75" spans="1:16">
      <c r="A207" s="115">
        <v>5</v>
      </c>
      <c r="B207" s="115" t="s">
        <v>217</v>
      </c>
      <c r="C207" s="115">
        <v>2000</v>
      </c>
      <c r="D207" s="115">
        <v>30</v>
      </c>
      <c r="E207" s="115">
        <f>C207*D207</f>
        <v>60000</v>
      </c>
      <c r="F207" s="308" t="s">
        <v>18</v>
      </c>
      <c r="G207" s="308" t="s">
        <v>19</v>
      </c>
      <c r="H207" s="152" t="s">
        <v>157</v>
      </c>
      <c r="I207" s="152" t="s">
        <v>21</v>
      </c>
      <c r="J207" s="152" t="s">
        <v>21</v>
      </c>
      <c r="K207" s="152" t="s">
        <v>21</v>
      </c>
      <c r="L207" s="152" t="s">
        <v>21</v>
      </c>
      <c r="M207" s="115">
        <v>60000</v>
      </c>
      <c r="N207" s="115"/>
      <c r="O207" s="115"/>
      <c r="P207" s="115"/>
    </row>
    <row r="208" ht="15.75" spans="1:16">
      <c r="A208" s="115">
        <v>6</v>
      </c>
      <c r="B208" s="315" t="s">
        <v>218</v>
      </c>
      <c r="C208" s="315" t="s">
        <v>219</v>
      </c>
      <c r="D208" s="317">
        <v>3600</v>
      </c>
      <c r="E208" s="317">
        <v>43200</v>
      </c>
      <c r="F208" s="318" t="s">
        <v>35</v>
      </c>
      <c r="G208" s="308" t="s">
        <v>19</v>
      </c>
      <c r="H208" s="152" t="s">
        <v>157</v>
      </c>
      <c r="I208" s="152" t="s">
        <v>21</v>
      </c>
      <c r="J208" s="152" t="s">
        <v>21</v>
      </c>
      <c r="K208" s="152" t="s">
        <v>21</v>
      </c>
      <c r="L208" s="152" t="s">
        <v>21</v>
      </c>
      <c r="M208" s="331">
        <v>21600</v>
      </c>
      <c r="N208" s="331"/>
      <c r="O208" s="331">
        <v>21600</v>
      </c>
      <c r="P208" s="115"/>
    </row>
    <row r="209" ht="15.75" spans="1:16">
      <c r="A209" s="115">
        <v>7</v>
      </c>
      <c r="B209" s="315" t="s">
        <v>220</v>
      </c>
      <c r="C209" s="315" t="s">
        <v>219</v>
      </c>
      <c r="D209" s="317">
        <v>3600</v>
      </c>
      <c r="E209" s="317">
        <v>43200</v>
      </c>
      <c r="F209" s="318" t="s">
        <v>35</v>
      </c>
      <c r="G209" s="308" t="s">
        <v>19</v>
      </c>
      <c r="H209" s="152" t="s">
        <v>157</v>
      </c>
      <c r="I209" s="152" t="s">
        <v>21</v>
      </c>
      <c r="J209" s="152" t="s">
        <v>21</v>
      </c>
      <c r="K209" s="152" t="s">
        <v>21</v>
      </c>
      <c r="L209" s="152" t="s">
        <v>21</v>
      </c>
      <c r="M209" s="328">
        <v>21600</v>
      </c>
      <c r="N209" s="328"/>
      <c r="O209" s="328">
        <v>21600</v>
      </c>
      <c r="P209" s="328"/>
    </row>
    <row r="210" ht="15.75" spans="1:16">
      <c r="A210" s="115">
        <v>8</v>
      </c>
      <c r="B210" s="321" t="s">
        <v>221</v>
      </c>
      <c r="C210" s="321">
        <v>200</v>
      </c>
      <c r="D210" s="115">
        <v>400</v>
      </c>
      <c r="E210" s="310">
        <f>C210*D210</f>
        <v>80000</v>
      </c>
      <c r="F210" s="308" t="s">
        <v>42</v>
      </c>
      <c r="G210" s="320" t="s">
        <v>19</v>
      </c>
      <c r="H210" s="152" t="s">
        <v>157</v>
      </c>
      <c r="I210" s="333" t="s">
        <v>38</v>
      </c>
      <c r="J210" s="333" t="s">
        <v>38</v>
      </c>
      <c r="K210" s="333" t="s">
        <v>38</v>
      </c>
      <c r="L210" s="333" t="s">
        <v>38</v>
      </c>
      <c r="M210" s="115"/>
      <c r="N210" s="115">
        <v>80000</v>
      </c>
      <c r="O210" s="115"/>
      <c r="P210" s="71"/>
    </row>
    <row r="211" ht="15.75" spans="1:16">
      <c r="A211" s="115">
        <v>9</v>
      </c>
      <c r="B211" s="321" t="s">
        <v>222</v>
      </c>
      <c r="C211" s="321">
        <v>10</v>
      </c>
      <c r="D211" s="317">
        <v>1200</v>
      </c>
      <c r="E211" s="317">
        <f>C211*D211</f>
        <v>12000</v>
      </c>
      <c r="F211" s="308" t="s">
        <v>42</v>
      </c>
      <c r="G211" s="320" t="s">
        <v>19</v>
      </c>
      <c r="H211" s="152" t="s">
        <v>157</v>
      </c>
      <c r="I211" s="333" t="s">
        <v>38</v>
      </c>
      <c r="J211" s="333" t="s">
        <v>38</v>
      </c>
      <c r="K211" s="333" t="s">
        <v>38</v>
      </c>
      <c r="L211" s="333" t="s">
        <v>38</v>
      </c>
      <c r="M211" s="328">
        <v>12000</v>
      </c>
      <c r="N211" s="328"/>
      <c r="O211" s="328"/>
      <c r="P211" s="328"/>
    </row>
    <row r="212" ht="15.75" spans="1:16">
      <c r="A212" s="115"/>
      <c r="B212" s="306" t="s">
        <v>22</v>
      </c>
      <c r="C212" s="306"/>
      <c r="D212" s="309"/>
      <c r="E212" s="309">
        <f>SUM(E203:E211)</f>
        <v>598400</v>
      </c>
      <c r="F212" s="373"/>
      <c r="G212" s="308"/>
      <c r="H212" s="152"/>
      <c r="I212" s="152"/>
      <c r="J212" s="152"/>
      <c r="K212" s="152"/>
      <c r="L212" s="152"/>
      <c r="M212" s="334"/>
      <c r="N212" s="334"/>
      <c r="O212" s="115"/>
      <c r="P212" s="115"/>
    </row>
    <row r="213" ht="15.75" spans="1:16">
      <c r="A213" s="115"/>
      <c r="B213" s="115"/>
      <c r="C213" s="115"/>
      <c r="D213" s="310"/>
      <c r="E213" s="310"/>
      <c r="F213" s="308"/>
      <c r="G213" s="308"/>
      <c r="H213" s="152"/>
      <c r="I213" s="152"/>
      <c r="J213" s="152"/>
      <c r="K213" s="152"/>
      <c r="L213" s="152"/>
      <c r="M213" s="334"/>
      <c r="N213" s="334"/>
      <c r="O213" s="115"/>
      <c r="P213" s="115"/>
    </row>
    <row r="214" ht="15.75" spans="1:16">
      <c r="A214" s="115"/>
      <c r="B214" s="115"/>
      <c r="C214" s="115"/>
      <c r="D214" s="115"/>
      <c r="E214" s="115"/>
      <c r="F214" s="115"/>
      <c r="G214" s="115"/>
      <c r="H214" s="152"/>
      <c r="I214" s="115"/>
      <c r="J214" s="115"/>
      <c r="K214" s="115"/>
      <c r="L214" s="115"/>
      <c r="M214" s="115"/>
      <c r="N214" s="115"/>
      <c r="O214" s="115"/>
      <c r="P214" s="115"/>
    </row>
    <row r="215" ht="15.75" spans="1:16">
      <c r="A215" s="306" t="s">
        <v>223</v>
      </c>
      <c r="B215" s="115"/>
      <c r="C215" s="115"/>
      <c r="D215" s="115"/>
      <c r="E215" s="115"/>
      <c r="F215" s="115"/>
      <c r="G215" s="115"/>
      <c r="H215" s="152"/>
      <c r="I215" s="115"/>
      <c r="J215" s="115"/>
      <c r="K215" s="115"/>
      <c r="L215" s="115"/>
      <c r="M215" s="115"/>
      <c r="N215" s="115"/>
      <c r="O215" s="115"/>
      <c r="P215" s="115"/>
    </row>
    <row r="216" ht="15.75" spans="1:16">
      <c r="A216" s="115">
        <v>1</v>
      </c>
      <c r="B216" s="151" t="s">
        <v>224</v>
      </c>
      <c r="C216" s="115">
        <v>500</v>
      </c>
      <c r="D216" s="115">
        <v>12</v>
      </c>
      <c r="E216" s="115">
        <f t="shared" ref="E216:E235" si="6">C216*D216</f>
        <v>6000</v>
      </c>
      <c r="F216" s="152" t="s">
        <v>155</v>
      </c>
      <c r="G216" s="152" t="s">
        <v>156</v>
      </c>
      <c r="H216" s="152" t="s">
        <v>157</v>
      </c>
      <c r="I216" s="152" t="s">
        <v>21</v>
      </c>
      <c r="J216" s="152" t="s">
        <v>21</v>
      </c>
      <c r="K216" s="152" t="s">
        <v>21</v>
      </c>
      <c r="L216" s="152" t="s">
        <v>21</v>
      </c>
      <c r="M216" s="71">
        <v>6000</v>
      </c>
      <c r="N216" s="71"/>
      <c r="O216" s="71"/>
      <c r="P216" s="71"/>
    </row>
    <row r="217" ht="15.75" spans="1:16">
      <c r="A217" s="115">
        <v>2</v>
      </c>
      <c r="B217" s="151" t="s">
        <v>225</v>
      </c>
      <c r="C217" s="115">
        <v>40</v>
      </c>
      <c r="D217" s="115">
        <v>80</v>
      </c>
      <c r="E217" s="115">
        <f t="shared" si="6"/>
        <v>3200</v>
      </c>
      <c r="F217" s="255" t="s">
        <v>155</v>
      </c>
      <c r="G217" s="152" t="s">
        <v>156</v>
      </c>
      <c r="H217" s="152" t="s">
        <v>157</v>
      </c>
      <c r="I217" s="152" t="s">
        <v>21</v>
      </c>
      <c r="J217" s="152" t="s">
        <v>21</v>
      </c>
      <c r="K217" s="152" t="s">
        <v>21</v>
      </c>
      <c r="L217" s="152" t="s">
        <v>21</v>
      </c>
      <c r="M217" s="71">
        <v>3200</v>
      </c>
      <c r="N217" s="71"/>
      <c r="O217" s="71"/>
      <c r="P217" s="71"/>
    </row>
    <row r="218" ht="15.75" spans="1:16">
      <c r="A218" s="115">
        <v>3</v>
      </c>
      <c r="B218" s="151" t="s">
        <v>226</v>
      </c>
      <c r="C218" s="115">
        <v>500</v>
      </c>
      <c r="D218" s="115">
        <v>10</v>
      </c>
      <c r="E218" s="115">
        <f t="shared" si="6"/>
        <v>5000</v>
      </c>
      <c r="F218" s="255" t="s">
        <v>155</v>
      </c>
      <c r="G218" s="152" t="s">
        <v>156</v>
      </c>
      <c r="H218" s="152" t="s">
        <v>157</v>
      </c>
      <c r="I218" s="152" t="s">
        <v>21</v>
      </c>
      <c r="J218" s="152" t="s">
        <v>21</v>
      </c>
      <c r="K218" s="152" t="s">
        <v>21</v>
      </c>
      <c r="L218" s="152" t="s">
        <v>21</v>
      </c>
      <c r="M218" s="71">
        <v>5000</v>
      </c>
      <c r="N218" s="71"/>
      <c r="O218" s="71"/>
      <c r="P218" s="71"/>
    </row>
    <row r="219" ht="15.75" spans="1:16">
      <c r="A219" s="115">
        <v>4</v>
      </c>
      <c r="B219" s="151" t="s">
        <v>227</v>
      </c>
      <c r="C219" s="115">
        <v>80</v>
      </c>
      <c r="D219" s="115">
        <v>174</v>
      </c>
      <c r="E219" s="115">
        <f t="shared" si="6"/>
        <v>13920</v>
      </c>
      <c r="F219" s="255" t="s">
        <v>155</v>
      </c>
      <c r="G219" s="152" t="s">
        <v>156</v>
      </c>
      <c r="H219" s="152" t="s">
        <v>157</v>
      </c>
      <c r="I219" s="152" t="s">
        <v>21</v>
      </c>
      <c r="J219" s="152" t="s">
        <v>21</v>
      </c>
      <c r="K219" s="152" t="s">
        <v>21</v>
      </c>
      <c r="L219" s="152" t="s">
        <v>21</v>
      </c>
      <c r="M219" s="71">
        <v>3480</v>
      </c>
      <c r="N219" s="71">
        <v>3480</v>
      </c>
      <c r="O219" s="71">
        <v>3480</v>
      </c>
      <c r="P219" s="71">
        <v>3480</v>
      </c>
    </row>
    <row r="220" ht="15.75" spans="1:16">
      <c r="A220" s="115">
        <v>5</v>
      </c>
      <c r="B220" s="151" t="s">
        <v>228</v>
      </c>
      <c r="C220" s="115">
        <v>48</v>
      </c>
      <c r="D220" s="115">
        <v>60</v>
      </c>
      <c r="E220" s="115">
        <f t="shared" si="6"/>
        <v>2880</v>
      </c>
      <c r="F220" s="255" t="s">
        <v>155</v>
      </c>
      <c r="G220" s="152" t="s">
        <v>156</v>
      </c>
      <c r="H220" s="152" t="s">
        <v>157</v>
      </c>
      <c r="I220" s="152" t="s">
        <v>21</v>
      </c>
      <c r="J220" s="152" t="s">
        <v>21</v>
      </c>
      <c r="K220" s="152" t="s">
        <v>21</v>
      </c>
      <c r="L220" s="152" t="s">
        <v>21</v>
      </c>
      <c r="M220" s="71">
        <v>720</v>
      </c>
      <c r="N220" s="71">
        <v>720</v>
      </c>
      <c r="O220" s="71">
        <v>720</v>
      </c>
      <c r="P220" s="71">
        <v>720</v>
      </c>
    </row>
    <row r="221" ht="15.75" spans="1:16">
      <c r="A221" s="115">
        <v>6</v>
      </c>
      <c r="B221" s="151" t="s">
        <v>229</v>
      </c>
      <c r="C221" s="115">
        <v>96</v>
      </c>
      <c r="D221" s="115">
        <v>262</v>
      </c>
      <c r="E221" s="115">
        <f t="shared" si="6"/>
        <v>25152</v>
      </c>
      <c r="F221" s="255" t="s">
        <v>155</v>
      </c>
      <c r="G221" s="152" t="s">
        <v>156</v>
      </c>
      <c r="H221" s="152" t="s">
        <v>157</v>
      </c>
      <c r="I221" s="152" t="s">
        <v>21</v>
      </c>
      <c r="J221" s="152" t="s">
        <v>21</v>
      </c>
      <c r="K221" s="152" t="s">
        <v>21</v>
      </c>
      <c r="L221" s="152" t="s">
        <v>21</v>
      </c>
      <c r="M221" s="71">
        <v>6312</v>
      </c>
      <c r="N221" s="71">
        <v>6312</v>
      </c>
      <c r="O221" s="71">
        <v>6312</v>
      </c>
      <c r="P221" s="71">
        <v>6312</v>
      </c>
    </row>
    <row r="222" ht="15.75" spans="1:16">
      <c r="A222" s="115">
        <v>7</v>
      </c>
      <c r="B222" s="151" t="s">
        <v>230</v>
      </c>
      <c r="C222" s="115">
        <v>48</v>
      </c>
      <c r="D222" s="115">
        <v>225</v>
      </c>
      <c r="E222" s="115">
        <f t="shared" si="6"/>
        <v>10800</v>
      </c>
      <c r="F222" s="255" t="s">
        <v>155</v>
      </c>
      <c r="G222" s="152" t="s">
        <v>156</v>
      </c>
      <c r="H222" s="152" t="s">
        <v>157</v>
      </c>
      <c r="I222" s="152" t="s">
        <v>21</v>
      </c>
      <c r="J222" s="152" t="s">
        <v>21</v>
      </c>
      <c r="K222" s="152" t="s">
        <v>21</v>
      </c>
      <c r="L222" s="152" t="s">
        <v>21</v>
      </c>
      <c r="M222" s="71">
        <v>2712</v>
      </c>
      <c r="N222" s="71">
        <v>2712</v>
      </c>
      <c r="O222" s="71">
        <v>2712</v>
      </c>
      <c r="P222" s="71">
        <v>2712</v>
      </c>
    </row>
    <row r="223" ht="15.75" spans="1:16">
      <c r="A223" s="115">
        <v>8</v>
      </c>
      <c r="B223" s="151" t="s">
        <v>231</v>
      </c>
      <c r="C223" s="115">
        <v>40</v>
      </c>
      <c r="D223" s="115">
        <v>331</v>
      </c>
      <c r="E223" s="115">
        <f t="shared" si="6"/>
        <v>13240</v>
      </c>
      <c r="F223" s="255" t="s">
        <v>155</v>
      </c>
      <c r="G223" s="152" t="s">
        <v>156</v>
      </c>
      <c r="H223" s="152" t="s">
        <v>157</v>
      </c>
      <c r="I223" s="152" t="s">
        <v>21</v>
      </c>
      <c r="J223" s="152" t="s">
        <v>21</v>
      </c>
      <c r="K223" s="152" t="s">
        <v>21</v>
      </c>
      <c r="L223" s="152" t="s">
        <v>21</v>
      </c>
      <c r="M223" s="71">
        <v>3310</v>
      </c>
      <c r="N223" s="71">
        <v>3310</v>
      </c>
      <c r="O223" s="71">
        <v>3310</v>
      </c>
      <c r="P223" s="71">
        <v>3310</v>
      </c>
    </row>
    <row r="224" ht="15.75" spans="1:16">
      <c r="A224" s="115">
        <v>9</v>
      </c>
      <c r="B224" s="151" t="s">
        <v>232</v>
      </c>
      <c r="C224" s="115">
        <v>48</v>
      </c>
      <c r="D224" s="115">
        <v>225</v>
      </c>
      <c r="E224" s="115">
        <f t="shared" si="6"/>
        <v>10800</v>
      </c>
      <c r="F224" s="255" t="s">
        <v>155</v>
      </c>
      <c r="G224" s="152" t="s">
        <v>156</v>
      </c>
      <c r="H224" s="152" t="s">
        <v>157</v>
      </c>
      <c r="I224" s="152" t="s">
        <v>21</v>
      </c>
      <c r="J224" s="152" t="s">
        <v>21</v>
      </c>
      <c r="K224" s="152" t="s">
        <v>21</v>
      </c>
      <c r="L224" s="152" t="s">
        <v>21</v>
      </c>
      <c r="M224" s="71">
        <v>2700</v>
      </c>
      <c r="N224" s="71">
        <v>2700</v>
      </c>
      <c r="O224" s="71">
        <v>2700</v>
      </c>
      <c r="P224" s="71">
        <v>2700</v>
      </c>
    </row>
    <row r="225" ht="15.75" spans="1:16">
      <c r="A225" s="115">
        <v>10</v>
      </c>
      <c r="B225" s="151" t="s">
        <v>233</v>
      </c>
      <c r="C225" s="115">
        <v>48</v>
      </c>
      <c r="D225" s="115">
        <v>42</v>
      </c>
      <c r="E225" s="115">
        <f t="shared" si="6"/>
        <v>2016</v>
      </c>
      <c r="F225" s="255" t="s">
        <v>155</v>
      </c>
      <c r="G225" s="152" t="s">
        <v>156</v>
      </c>
      <c r="H225" s="152" t="s">
        <v>157</v>
      </c>
      <c r="I225" s="152" t="s">
        <v>21</v>
      </c>
      <c r="J225" s="152" t="s">
        <v>21</v>
      </c>
      <c r="K225" s="152" t="s">
        <v>21</v>
      </c>
      <c r="L225" s="152" t="s">
        <v>21</v>
      </c>
      <c r="M225" s="71">
        <v>504</v>
      </c>
      <c r="N225" s="71">
        <v>504</v>
      </c>
      <c r="O225" s="71">
        <v>504</v>
      </c>
      <c r="P225" s="71">
        <v>504</v>
      </c>
    </row>
    <row r="226" ht="15.75" spans="1:16">
      <c r="A226" s="115">
        <v>11</v>
      </c>
      <c r="B226" s="151" t="s">
        <v>234</v>
      </c>
      <c r="C226" s="115">
        <v>96</v>
      </c>
      <c r="D226" s="115">
        <v>83</v>
      </c>
      <c r="E226" s="313">
        <f t="shared" si="6"/>
        <v>7968</v>
      </c>
      <c r="F226" s="255" t="s">
        <v>155</v>
      </c>
      <c r="G226" s="152" t="s">
        <v>156</v>
      </c>
      <c r="H226" s="152" t="s">
        <v>157</v>
      </c>
      <c r="I226" s="152" t="s">
        <v>21</v>
      </c>
      <c r="J226" s="152" t="s">
        <v>21</v>
      </c>
      <c r="K226" s="152" t="s">
        <v>21</v>
      </c>
      <c r="L226" s="152" t="s">
        <v>21</v>
      </c>
      <c r="M226" s="71">
        <v>1992</v>
      </c>
      <c r="N226" s="71">
        <v>1992</v>
      </c>
      <c r="O226" s="71">
        <v>1992</v>
      </c>
      <c r="P226" s="71">
        <v>1992</v>
      </c>
    </row>
    <row r="227" ht="15.75" spans="1:16">
      <c r="A227" s="115">
        <v>12</v>
      </c>
      <c r="B227" s="151" t="s">
        <v>235</v>
      </c>
      <c r="C227" s="115">
        <v>48</v>
      </c>
      <c r="D227" s="115">
        <v>60</v>
      </c>
      <c r="E227" s="313">
        <f t="shared" si="6"/>
        <v>2880</v>
      </c>
      <c r="F227" s="255" t="s">
        <v>155</v>
      </c>
      <c r="G227" s="152" t="s">
        <v>156</v>
      </c>
      <c r="H227" s="152" t="s">
        <v>157</v>
      </c>
      <c r="I227" s="152" t="s">
        <v>21</v>
      </c>
      <c r="J227" s="152" t="s">
        <v>21</v>
      </c>
      <c r="K227" s="152" t="s">
        <v>21</v>
      </c>
      <c r="L227" s="152" t="s">
        <v>21</v>
      </c>
      <c r="M227" s="71">
        <v>720</v>
      </c>
      <c r="N227" s="71">
        <v>720</v>
      </c>
      <c r="O227" s="71">
        <v>720</v>
      </c>
      <c r="P227" s="71">
        <v>720</v>
      </c>
    </row>
    <row r="228" ht="15.75" spans="1:16">
      <c r="A228" s="115">
        <v>13</v>
      </c>
      <c r="B228" s="151" t="s">
        <v>236</v>
      </c>
      <c r="C228" s="115">
        <v>120</v>
      </c>
      <c r="D228" s="115">
        <v>40</v>
      </c>
      <c r="E228" s="313">
        <f t="shared" si="6"/>
        <v>4800</v>
      </c>
      <c r="F228" s="255" t="s">
        <v>155</v>
      </c>
      <c r="G228" s="152" t="s">
        <v>156</v>
      </c>
      <c r="H228" s="152" t="s">
        <v>157</v>
      </c>
      <c r="I228" s="152" t="s">
        <v>21</v>
      </c>
      <c r="J228" s="152" t="s">
        <v>21</v>
      </c>
      <c r="K228" s="152" t="s">
        <v>21</v>
      </c>
      <c r="L228" s="152" t="s">
        <v>21</v>
      </c>
      <c r="M228" s="71">
        <v>1200</v>
      </c>
      <c r="N228" s="71">
        <v>1200</v>
      </c>
      <c r="O228" s="71">
        <v>1200</v>
      </c>
      <c r="P228" s="71">
        <v>1200</v>
      </c>
    </row>
    <row r="229" ht="15.75" spans="1:16">
      <c r="A229" s="115">
        <v>14</v>
      </c>
      <c r="B229" s="151" t="s">
        <v>237</v>
      </c>
      <c r="C229" s="115">
        <v>10</v>
      </c>
      <c r="D229" s="115">
        <v>640</v>
      </c>
      <c r="E229" s="313">
        <f t="shared" si="6"/>
        <v>6400</v>
      </c>
      <c r="F229" s="255" t="s">
        <v>155</v>
      </c>
      <c r="G229" s="152" t="s">
        <v>156</v>
      </c>
      <c r="H229" s="152" t="s">
        <v>157</v>
      </c>
      <c r="I229" s="152" t="s">
        <v>21</v>
      </c>
      <c r="J229" s="152" t="s">
        <v>21</v>
      </c>
      <c r="K229" s="152" t="s">
        <v>21</v>
      </c>
      <c r="L229" s="152" t="s">
        <v>21</v>
      </c>
      <c r="M229" s="71">
        <v>1600</v>
      </c>
      <c r="N229" s="71">
        <v>1600</v>
      </c>
      <c r="O229" s="71">
        <v>1600</v>
      </c>
      <c r="P229" s="71">
        <v>1600</v>
      </c>
    </row>
    <row r="230" ht="15.75" spans="1:16">
      <c r="A230" s="115">
        <v>15</v>
      </c>
      <c r="B230" s="151" t="s">
        <v>238</v>
      </c>
      <c r="C230" s="115">
        <v>200</v>
      </c>
      <c r="D230" s="115">
        <v>538</v>
      </c>
      <c r="E230" s="115">
        <f t="shared" si="6"/>
        <v>107600</v>
      </c>
      <c r="F230" s="255" t="s">
        <v>155</v>
      </c>
      <c r="G230" s="152" t="s">
        <v>156</v>
      </c>
      <c r="H230" s="152" t="s">
        <v>157</v>
      </c>
      <c r="I230" s="152" t="s">
        <v>21</v>
      </c>
      <c r="J230" s="152" t="s">
        <v>21</v>
      </c>
      <c r="K230" s="152" t="s">
        <v>21</v>
      </c>
      <c r="L230" s="152" t="s">
        <v>21</v>
      </c>
      <c r="M230" s="71">
        <v>26900</v>
      </c>
      <c r="N230" s="71">
        <v>26900</v>
      </c>
      <c r="O230" s="71">
        <v>26900</v>
      </c>
      <c r="P230" s="71">
        <v>26900</v>
      </c>
    </row>
    <row r="231" ht="15.75" spans="1:16">
      <c r="A231" s="115">
        <v>16</v>
      </c>
      <c r="B231" s="151" t="s">
        <v>239</v>
      </c>
      <c r="C231" s="115">
        <v>96</v>
      </c>
      <c r="D231" s="115">
        <v>36</v>
      </c>
      <c r="E231" s="313">
        <f t="shared" si="6"/>
        <v>3456</v>
      </c>
      <c r="F231" s="255" t="s">
        <v>155</v>
      </c>
      <c r="G231" s="152" t="s">
        <v>156</v>
      </c>
      <c r="H231" s="152" t="s">
        <v>157</v>
      </c>
      <c r="I231" s="152" t="s">
        <v>21</v>
      </c>
      <c r="J231" s="152" t="s">
        <v>21</v>
      </c>
      <c r="K231" s="152" t="s">
        <v>21</v>
      </c>
      <c r="L231" s="152" t="s">
        <v>21</v>
      </c>
      <c r="M231" s="71">
        <v>864</v>
      </c>
      <c r="N231" s="71">
        <v>864</v>
      </c>
      <c r="O231" s="71">
        <v>864</v>
      </c>
      <c r="P231" s="71">
        <v>864</v>
      </c>
    </row>
    <row r="232" ht="15.75" spans="1:16">
      <c r="A232" s="115">
        <v>17</v>
      </c>
      <c r="B232" s="151" t="s">
        <v>240</v>
      </c>
      <c r="C232" s="115">
        <v>480</v>
      </c>
      <c r="D232" s="115">
        <v>89</v>
      </c>
      <c r="E232" s="313">
        <f t="shared" si="6"/>
        <v>42720</v>
      </c>
      <c r="F232" s="255" t="s">
        <v>155</v>
      </c>
      <c r="G232" s="152" t="s">
        <v>156</v>
      </c>
      <c r="H232" s="152" t="s">
        <v>157</v>
      </c>
      <c r="I232" s="152" t="s">
        <v>21</v>
      </c>
      <c r="J232" s="152" t="s">
        <v>21</v>
      </c>
      <c r="K232" s="152" t="s">
        <v>21</v>
      </c>
      <c r="L232" s="152" t="s">
        <v>21</v>
      </c>
      <c r="M232" s="71">
        <v>10680</v>
      </c>
      <c r="N232" s="71">
        <v>10680</v>
      </c>
      <c r="O232" s="71">
        <v>10680</v>
      </c>
      <c r="P232" s="71">
        <v>10680</v>
      </c>
    </row>
    <row r="233" ht="15.75" spans="1:16">
      <c r="A233" s="115">
        <v>18</v>
      </c>
      <c r="B233" s="151" t="s">
        <v>241</v>
      </c>
      <c r="C233" s="115">
        <v>96</v>
      </c>
      <c r="D233" s="115">
        <v>36</v>
      </c>
      <c r="E233" s="313">
        <f t="shared" si="6"/>
        <v>3456</v>
      </c>
      <c r="F233" s="255" t="s">
        <v>155</v>
      </c>
      <c r="G233" s="152" t="s">
        <v>156</v>
      </c>
      <c r="H233" s="152" t="s">
        <v>157</v>
      </c>
      <c r="I233" s="152" t="s">
        <v>21</v>
      </c>
      <c r="J233" s="152" t="s">
        <v>21</v>
      </c>
      <c r="K233" s="152" t="s">
        <v>21</v>
      </c>
      <c r="L233" s="152" t="s">
        <v>21</v>
      </c>
      <c r="M233" s="71">
        <v>864</v>
      </c>
      <c r="N233" s="71">
        <v>864</v>
      </c>
      <c r="O233" s="71">
        <v>864</v>
      </c>
      <c r="P233" s="71">
        <v>864</v>
      </c>
    </row>
    <row r="234" ht="15.75" spans="1:16">
      <c r="A234" s="115">
        <v>19</v>
      </c>
      <c r="B234" s="28" t="s">
        <v>242</v>
      </c>
      <c r="C234" s="115">
        <v>4</v>
      </c>
      <c r="D234" s="115">
        <v>960</v>
      </c>
      <c r="E234" s="313">
        <f t="shared" si="6"/>
        <v>3840</v>
      </c>
      <c r="F234" s="255" t="s">
        <v>155</v>
      </c>
      <c r="G234" s="152" t="s">
        <v>156</v>
      </c>
      <c r="H234" s="152" t="s">
        <v>157</v>
      </c>
      <c r="I234" s="152" t="s">
        <v>21</v>
      </c>
      <c r="J234" s="152" t="s">
        <v>21</v>
      </c>
      <c r="K234" s="152" t="s">
        <v>21</v>
      </c>
      <c r="L234" s="152" t="s">
        <v>21</v>
      </c>
      <c r="M234" s="71">
        <v>960</v>
      </c>
      <c r="N234" s="71">
        <v>960</v>
      </c>
      <c r="O234" s="71">
        <v>960</v>
      </c>
      <c r="P234" s="71">
        <v>960</v>
      </c>
    </row>
    <row r="235" ht="15.75" spans="1:16">
      <c r="A235" s="115">
        <v>20</v>
      </c>
      <c r="B235" s="115" t="s">
        <v>243</v>
      </c>
      <c r="C235" s="115">
        <v>7</v>
      </c>
      <c r="D235" s="310">
        <v>1000</v>
      </c>
      <c r="E235" s="310">
        <f t="shared" si="6"/>
        <v>7000</v>
      </c>
      <c r="F235" s="308" t="s">
        <v>99</v>
      </c>
      <c r="G235" s="308" t="s">
        <v>19</v>
      </c>
      <c r="H235" s="152" t="s">
        <v>157</v>
      </c>
      <c r="I235" s="152" t="s">
        <v>21</v>
      </c>
      <c r="J235" s="152" t="s">
        <v>21</v>
      </c>
      <c r="K235" s="152" t="s">
        <v>21</v>
      </c>
      <c r="L235" s="152" t="s">
        <v>21</v>
      </c>
      <c r="M235" s="334">
        <v>7000</v>
      </c>
      <c r="N235" s="115"/>
      <c r="O235" s="115"/>
      <c r="P235" s="115"/>
    </row>
    <row r="236" ht="15.75" spans="1:16">
      <c r="A236" s="115">
        <v>21</v>
      </c>
      <c r="B236" s="115" t="s">
        <v>244</v>
      </c>
      <c r="C236" s="115"/>
      <c r="D236" s="310"/>
      <c r="E236" s="310">
        <v>5000</v>
      </c>
      <c r="F236" s="308" t="s">
        <v>99</v>
      </c>
      <c r="G236" s="308" t="s">
        <v>19</v>
      </c>
      <c r="H236" s="152" t="s">
        <v>157</v>
      </c>
      <c r="I236" s="152" t="s">
        <v>21</v>
      </c>
      <c r="J236" s="152" t="s">
        <v>21</v>
      </c>
      <c r="K236" s="152" t="s">
        <v>21</v>
      </c>
      <c r="L236" s="152" t="s">
        <v>21</v>
      </c>
      <c r="M236" s="334">
        <v>5000</v>
      </c>
      <c r="N236" s="115"/>
      <c r="O236" s="115"/>
      <c r="P236" s="115"/>
    </row>
    <row r="237" ht="15.75" spans="1:16">
      <c r="A237" s="115">
        <v>22</v>
      </c>
      <c r="B237" s="348" t="s">
        <v>245</v>
      </c>
      <c r="C237" s="340">
        <v>2</v>
      </c>
      <c r="D237" s="341">
        <v>12000</v>
      </c>
      <c r="E237" s="341">
        <f t="shared" ref="E237:E252" si="7">C237*D237</f>
        <v>24000</v>
      </c>
      <c r="F237" s="318" t="s">
        <v>104</v>
      </c>
      <c r="G237" s="308" t="s">
        <v>19</v>
      </c>
      <c r="H237" s="152" t="s">
        <v>157</v>
      </c>
      <c r="I237" s="152" t="s">
        <v>21</v>
      </c>
      <c r="J237" s="152" t="s">
        <v>21</v>
      </c>
      <c r="K237" s="152" t="s">
        <v>21</v>
      </c>
      <c r="L237" s="152" t="s">
        <v>21</v>
      </c>
      <c r="M237" s="328">
        <v>12000</v>
      </c>
      <c r="N237" s="328"/>
      <c r="O237" s="328">
        <v>12000</v>
      </c>
      <c r="P237" s="328"/>
    </row>
    <row r="238" ht="15.75" spans="1:16">
      <c r="A238" s="115">
        <v>23</v>
      </c>
      <c r="B238" s="348" t="s">
        <v>246</v>
      </c>
      <c r="C238" s="340">
        <v>1</v>
      </c>
      <c r="D238" s="341">
        <v>10250</v>
      </c>
      <c r="E238" s="341">
        <f t="shared" si="7"/>
        <v>10250</v>
      </c>
      <c r="F238" s="318" t="s">
        <v>104</v>
      </c>
      <c r="G238" s="308" t="s">
        <v>19</v>
      </c>
      <c r="H238" s="152" t="s">
        <v>157</v>
      </c>
      <c r="I238" s="152" t="s">
        <v>21</v>
      </c>
      <c r="J238" s="152" t="s">
        <v>21</v>
      </c>
      <c r="K238" s="152" t="s">
        <v>21</v>
      </c>
      <c r="L238" s="152" t="s">
        <v>21</v>
      </c>
      <c r="M238" s="331">
        <v>10250</v>
      </c>
      <c r="N238" s="331"/>
      <c r="O238" s="331"/>
      <c r="P238" s="332"/>
    </row>
    <row r="239" ht="15.75" spans="1:16">
      <c r="A239" s="115">
        <v>24</v>
      </c>
      <c r="B239" s="348" t="s">
        <v>247</v>
      </c>
      <c r="C239" s="340">
        <v>3</v>
      </c>
      <c r="D239" s="341">
        <v>4000</v>
      </c>
      <c r="E239" s="341">
        <f t="shared" si="7"/>
        <v>12000</v>
      </c>
      <c r="F239" s="318" t="s">
        <v>104</v>
      </c>
      <c r="G239" s="308" t="s">
        <v>19</v>
      </c>
      <c r="H239" s="152" t="s">
        <v>157</v>
      </c>
      <c r="I239" s="152" t="s">
        <v>21</v>
      </c>
      <c r="J239" s="152" t="s">
        <v>21</v>
      </c>
      <c r="K239" s="152" t="s">
        <v>21</v>
      </c>
      <c r="L239" s="152" t="s">
        <v>21</v>
      </c>
      <c r="M239" s="331">
        <v>12000</v>
      </c>
      <c r="N239" s="331"/>
      <c r="O239" s="332"/>
      <c r="P239" s="115"/>
    </row>
    <row r="240" ht="15.75" spans="1:16">
      <c r="A240" s="115">
        <v>25</v>
      </c>
      <c r="B240" s="348" t="s">
        <v>248</v>
      </c>
      <c r="C240" s="340">
        <v>2</v>
      </c>
      <c r="D240" s="341">
        <v>1440</v>
      </c>
      <c r="E240" s="341">
        <f t="shared" si="7"/>
        <v>2880</v>
      </c>
      <c r="F240" s="318" t="s">
        <v>104</v>
      </c>
      <c r="G240" s="308" t="s">
        <v>19</v>
      </c>
      <c r="H240" s="152" t="s">
        <v>157</v>
      </c>
      <c r="I240" s="152" t="s">
        <v>21</v>
      </c>
      <c r="J240" s="152" t="s">
        <v>21</v>
      </c>
      <c r="K240" s="152" t="s">
        <v>21</v>
      </c>
      <c r="L240" s="152" t="s">
        <v>21</v>
      </c>
      <c r="M240" s="331"/>
      <c r="N240" s="331">
        <v>2880</v>
      </c>
      <c r="O240" s="331"/>
      <c r="P240" s="332"/>
    </row>
    <row r="241" ht="15.75" spans="1:16">
      <c r="A241" s="115">
        <v>26</v>
      </c>
      <c r="B241" s="348" t="s">
        <v>249</v>
      </c>
      <c r="C241" s="340">
        <v>2</v>
      </c>
      <c r="D241" s="341">
        <v>1440</v>
      </c>
      <c r="E241" s="341">
        <f t="shared" si="7"/>
        <v>2880</v>
      </c>
      <c r="F241" s="318" t="s">
        <v>104</v>
      </c>
      <c r="G241" s="308" t="s">
        <v>19</v>
      </c>
      <c r="H241" s="152" t="s">
        <v>157</v>
      </c>
      <c r="I241" s="152" t="s">
        <v>21</v>
      </c>
      <c r="J241" s="152" t="s">
        <v>21</v>
      </c>
      <c r="K241" s="152" t="s">
        <v>21</v>
      </c>
      <c r="L241" s="152" t="s">
        <v>21</v>
      </c>
      <c r="M241" s="331"/>
      <c r="N241" s="331">
        <v>2880</v>
      </c>
      <c r="O241" s="331"/>
      <c r="P241" s="332"/>
    </row>
    <row r="242" ht="15.75" spans="1:16">
      <c r="A242" s="115">
        <v>27</v>
      </c>
      <c r="B242" s="348" t="s">
        <v>250</v>
      </c>
      <c r="C242" s="340">
        <v>2</v>
      </c>
      <c r="D242" s="341">
        <v>350</v>
      </c>
      <c r="E242" s="341">
        <f t="shared" si="7"/>
        <v>700</v>
      </c>
      <c r="F242" s="318" t="s">
        <v>104</v>
      </c>
      <c r="G242" s="308" t="s">
        <v>19</v>
      </c>
      <c r="H242" s="152" t="s">
        <v>157</v>
      </c>
      <c r="I242" s="152" t="s">
        <v>21</v>
      </c>
      <c r="J242" s="152" t="s">
        <v>21</v>
      </c>
      <c r="K242" s="152" t="s">
        <v>21</v>
      </c>
      <c r="L242" s="152" t="s">
        <v>21</v>
      </c>
      <c r="M242" s="331"/>
      <c r="N242" s="331">
        <v>700</v>
      </c>
      <c r="O242" s="331"/>
      <c r="P242" s="332"/>
    </row>
    <row r="243" ht="15.75" spans="1:16">
      <c r="A243" s="115">
        <v>28</v>
      </c>
      <c r="B243" s="348" t="s">
        <v>251</v>
      </c>
      <c r="C243" s="340">
        <v>3</v>
      </c>
      <c r="D243" s="341">
        <v>350</v>
      </c>
      <c r="E243" s="341">
        <f t="shared" si="7"/>
        <v>1050</v>
      </c>
      <c r="F243" s="318" t="s">
        <v>104</v>
      </c>
      <c r="G243" s="308" t="s">
        <v>19</v>
      </c>
      <c r="H243" s="152" t="s">
        <v>157</v>
      </c>
      <c r="I243" s="152" t="s">
        <v>21</v>
      </c>
      <c r="J243" s="152" t="s">
        <v>21</v>
      </c>
      <c r="K243" s="152" t="s">
        <v>21</v>
      </c>
      <c r="L243" s="152" t="s">
        <v>21</v>
      </c>
      <c r="M243" s="331"/>
      <c r="N243" s="331">
        <v>1050</v>
      </c>
      <c r="O243" s="331"/>
      <c r="P243" s="332"/>
    </row>
    <row r="244" ht="15.75" spans="1:16">
      <c r="A244" s="115">
        <v>29</v>
      </c>
      <c r="B244" s="348" t="s">
        <v>252</v>
      </c>
      <c r="C244" s="340">
        <v>3</v>
      </c>
      <c r="D244" s="341">
        <v>450</v>
      </c>
      <c r="E244" s="341">
        <f t="shared" si="7"/>
        <v>1350</v>
      </c>
      <c r="F244" s="318" t="s">
        <v>104</v>
      </c>
      <c r="G244" s="308" t="s">
        <v>19</v>
      </c>
      <c r="H244" s="152" t="s">
        <v>157</v>
      </c>
      <c r="I244" s="152" t="s">
        <v>21</v>
      </c>
      <c r="J244" s="152" t="s">
        <v>21</v>
      </c>
      <c r="K244" s="152" t="s">
        <v>21</v>
      </c>
      <c r="L244" s="152" t="s">
        <v>21</v>
      </c>
      <c r="M244" s="331"/>
      <c r="N244" s="331">
        <v>1350</v>
      </c>
      <c r="O244" s="331"/>
      <c r="P244" s="332"/>
    </row>
    <row r="245" ht="15.75" spans="1:16">
      <c r="A245" s="115">
        <v>30</v>
      </c>
      <c r="B245" s="348" t="s">
        <v>253</v>
      </c>
      <c r="C245" s="340">
        <v>3</v>
      </c>
      <c r="D245" s="341">
        <v>700</v>
      </c>
      <c r="E245" s="341">
        <f t="shared" si="7"/>
        <v>2100</v>
      </c>
      <c r="F245" s="318" t="s">
        <v>104</v>
      </c>
      <c r="G245" s="308" t="s">
        <v>19</v>
      </c>
      <c r="H245" s="152" t="s">
        <v>157</v>
      </c>
      <c r="I245" s="152" t="s">
        <v>21</v>
      </c>
      <c r="J245" s="152" t="s">
        <v>21</v>
      </c>
      <c r="K245" s="152" t="s">
        <v>21</v>
      </c>
      <c r="L245" s="152" t="s">
        <v>21</v>
      </c>
      <c r="M245" s="328"/>
      <c r="N245" s="328">
        <v>2100</v>
      </c>
      <c r="O245" s="328"/>
      <c r="P245" s="328"/>
    </row>
    <row r="246" ht="15.75" spans="1:16">
      <c r="A246" s="115">
        <v>31</v>
      </c>
      <c r="B246" s="348" t="s">
        <v>254</v>
      </c>
      <c r="C246" s="340">
        <v>12</v>
      </c>
      <c r="D246" s="341">
        <v>350</v>
      </c>
      <c r="E246" s="341">
        <f t="shared" si="7"/>
        <v>4200</v>
      </c>
      <c r="F246" s="318" t="s">
        <v>104</v>
      </c>
      <c r="G246" s="308" t="s">
        <v>19</v>
      </c>
      <c r="H246" s="152" t="s">
        <v>157</v>
      </c>
      <c r="I246" s="152" t="s">
        <v>21</v>
      </c>
      <c r="J246" s="152" t="s">
        <v>21</v>
      </c>
      <c r="K246" s="152" t="s">
        <v>21</v>
      </c>
      <c r="L246" s="152" t="s">
        <v>21</v>
      </c>
      <c r="M246" s="331">
        <v>2100</v>
      </c>
      <c r="N246" s="331">
        <v>2100</v>
      </c>
      <c r="O246" s="331"/>
      <c r="P246" s="332"/>
    </row>
    <row r="247" ht="15.75" spans="1:16">
      <c r="A247" s="115">
        <v>32</v>
      </c>
      <c r="B247" s="348" t="s">
        <v>255</v>
      </c>
      <c r="C247" s="340">
        <v>24</v>
      </c>
      <c r="D247" s="341">
        <v>250</v>
      </c>
      <c r="E247" s="341">
        <f t="shared" si="7"/>
        <v>6000</v>
      </c>
      <c r="F247" s="318" t="s">
        <v>104</v>
      </c>
      <c r="G247" s="308" t="s">
        <v>19</v>
      </c>
      <c r="H247" s="152" t="s">
        <v>157</v>
      </c>
      <c r="I247" s="152" t="s">
        <v>21</v>
      </c>
      <c r="J247" s="152" t="s">
        <v>21</v>
      </c>
      <c r="K247" s="152" t="s">
        <v>21</v>
      </c>
      <c r="L247" s="152" t="s">
        <v>21</v>
      </c>
      <c r="M247" s="328">
        <v>3000</v>
      </c>
      <c r="N247" s="328">
        <v>3000</v>
      </c>
      <c r="O247" s="328"/>
      <c r="P247" s="328"/>
    </row>
    <row r="248" ht="15.75" spans="1:16">
      <c r="A248" s="115">
        <v>33</v>
      </c>
      <c r="B248" s="321" t="s">
        <v>256</v>
      </c>
      <c r="C248" s="321">
        <v>150</v>
      </c>
      <c r="D248" s="342">
        <v>180</v>
      </c>
      <c r="E248" s="342">
        <f t="shared" si="7"/>
        <v>27000</v>
      </c>
      <c r="F248" s="308" t="s">
        <v>42</v>
      </c>
      <c r="G248" s="320" t="s">
        <v>19</v>
      </c>
      <c r="H248" s="152" t="s">
        <v>157</v>
      </c>
      <c r="I248" s="333" t="s">
        <v>38</v>
      </c>
      <c r="J248" s="333" t="s">
        <v>38</v>
      </c>
      <c r="K248" s="333" t="s">
        <v>38</v>
      </c>
      <c r="L248" s="333" t="s">
        <v>38</v>
      </c>
      <c r="M248" s="331">
        <v>27000</v>
      </c>
      <c r="N248" s="331"/>
      <c r="O248" s="331"/>
      <c r="P248" s="332"/>
    </row>
    <row r="249" ht="15.75" spans="1:16">
      <c r="A249" s="115">
        <v>34</v>
      </c>
      <c r="B249" s="321" t="s">
        <v>257</v>
      </c>
      <c r="C249" s="321">
        <v>6</v>
      </c>
      <c r="D249" s="313">
        <v>450</v>
      </c>
      <c r="E249" s="310">
        <f t="shared" si="7"/>
        <v>2700</v>
      </c>
      <c r="F249" s="308" t="s">
        <v>42</v>
      </c>
      <c r="G249" s="320" t="s">
        <v>19</v>
      </c>
      <c r="H249" s="152" t="s">
        <v>157</v>
      </c>
      <c r="I249" s="333" t="s">
        <v>38</v>
      </c>
      <c r="J249" s="333" t="s">
        <v>38</v>
      </c>
      <c r="K249" s="333" t="s">
        <v>38</v>
      </c>
      <c r="L249" s="333" t="s">
        <v>38</v>
      </c>
      <c r="M249" s="71">
        <v>2700</v>
      </c>
      <c r="N249" s="71"/>
      <c r="O249" s="71"/>
      <c r="P249" s="71"/>
    </row>
    <row r="250" ht="15.75" spans="1:16">
      <c r="A250" s="115">
        <v>35</v>
      </c>
      <c r="B250" s="321" t="s">
        <v>258</v>
      </c>
      <c r="C250" s="321">
        <v>300</v>
      </c>
      <c r="D250" s="317">
        <v>20</v>
      </c>
      <c r="E250" s="317">
        <f t="shared" si="7"/>
        <v>6000</v>
      </c>
      <c r="F250" s="308" t="s">
        <v>42</v>
      </c>
      <c r="G250" s="320" t="s">
        <v>19</v>
      </c>
      <c r="H250" s="152" t="s">
        <v>157</v>
      </c>
      <c r="I250" s="333" t="s">
        <v>38</v>
      </c>
      <c r="J250" s="333" t="s">
        <v>38</v>
      </c>
      <c r="K250" s="333" t="s">
        <v>38</v>
      </c>
      <c r="L250" s="333" t="s">
        <v>38</v>
      </c>
      <c r="M250" s="328">
        <v>6000</v>
      </c>
      <c r="N250" s="328"/>
      <c r="O250" s="328"/>
      <c r="P250" s="115"/>
    </row>
    <row r="251" ht="15.75" spans="1:16">
      <c r="A251" s="115">
        <v>36</v>
      </c>
      <c r="B251" s="321" t="s">
        <v>259</v>
      </c>
      <c r="C251" s="374">
        <v>300</v>
      </c>
      <c r="D251" s="317">
        <v>10</v>
      </c>
      <c r="E251" s="317">
        <f t="shared" si="7"/>
        <v>3000</v>
      </c>
      <c r="F251" s="308" t="s">
        <v>42</v>
      </c>
      <c r="G251" s="320" t="s">
        <v>19</v>
      </c>
      <c r="H251" s="152" t="s">
        <v>157</v>
      </c>
      <c r="I251" s="333" t="s">
        <v>38</v>
      </c>
      <c r="J251" s="333" t="s">
        <v>38</v>
      </c>
      <c r="K251" s="333" t="s">
        <v>38</v>
      </c>
      <c r="L251" s="333" t="s">
        <v>38</v>
      </c>
      <c r="M251" s="328">
        <v>3000</v>
      </c>
      <c r="N251" s="328"/>
      <c r="O251" s="328"/>
      <c r="P251" s="332"/>
    </row>
    <row r="252" ht="15.75" spans="1:16">
      <c r="A252" s="115">
        <v>37</v>
      </c>
      <c r="B252" s="321" t="s">
        <v>260</v>
      </c>
      <c r="C252" s="321">
        <v>2</v>
      </c>
      <c r="D252" s="115">
        <v>3000</v>
      </c>
      <c r="E252" s="310">
        <f t="shared" si="7"/>
        <v>6000</v>
      </c>
      <c r="F252" s="308" t="s">
        <v>42</v>
      </c>
      <c r="G252" s="320" t="s">
        <v>19</v>
      </c>
      <c r="H252" s="152" t="s">
        <v>157</v>
      </c>
      <c r="I252" s="333" t="s">
        <v>38</v>
      </c>
      <c r="J252" s="333" t="s">
        <v>38</v>
      </c>
      <c r="K252" s="333" t="s">
        <v>38</v>
      </c>
      <c r="L252" s="333" t="s">
        <v>38</v>
      </c>
      <c r="M252" s="115">
        <v>6000</v>
      </c>
      <c r="N252" s="115"/>
      <c r="O252" s="115"/>
      <c r="P252" s="115"/>
    </row>
    <row r="253" ht="15.75" spans="1:16">
      <c r="A253" s="306"/>
      <c r="B253" s="344" t="s">
        <v>22</v>
      </c>
      <c r="C253" s="344"/>
      <c r="D253" s="375"/>
      <c r="E253" s="375">
        <f>SUM(E216:E252)</f>
        <v>400238</v>
      </c>
      <c r="F253" s="308"/>
      <c r="G253" s="320"/>
      <c r="H253" s="349"/>
      <c r="I253" s="333"/>
      <c r="J253" s="333"/>
      <c r="K253" s="333"/>
      <c r="L253" s="333"/>
      <c r="M253" s="331"/>
      <c r="N253" s="331"/>
      <c r="O253" s="331"/>
      <c r="P253" s="332"/>
    </row>
    <row r="254" spans="1:16">
      <c r="A254" s="115"/>
      <c r="B254" s="115"/>
      <c r="C254" s="115"/>
      <c r="D254" s="115"/>
      <c r="E254" s="115"/>
      <c r="F254" s="115"/>
      <c r="G254" s="115"/>
      <c r="H254" s="348"/>
      <c r="I254" s="115"/>
      <c r="J254" s="115"/>
      <c r="K254" s="115"/>
      <c r="L254" s="115"/>
      <c r="M254" s="115"/>
      <c r="N254" s="115"/>
      <c r="O254" s="115"/>
      <c r="P254" s="115"/>
    </row>
    <row r="255" spans="1:16">
      <c r="A255" s="306" t="s">
        <v>261</v>
      </c>
      <c r="B255" s="306"/>
      <c r="C255" s="115"/>
      <c r="D255" s="115"/>
      <c r="E255" s="115"/>
      <c r="F255" s="115"/>
      <c r="G255" s="115"/>
      <c r="H255" s="348"/>
      <c r="I255" s="115"/>
      <c r="J255" s="115"/>
      <c r="K255" s="115"/>
      <c r="L255" s="115"/>
      <c r="M255" s="115"/>
      <c r="N255" s="115"/>
      <c r="O255" s="115"/>
      <c r="P255" s="115"/>
    </row>
    <row r="256" ht="15.75" spans="1:16">
      <c r="A256" s="115">
        <v>1</v>
      </c>
      <c r="B256" s="28" t="s">
        <v>262</v>
      </c>
      <c r="C256" s="115">
        <v>6</v>
      </c>
      <c r="D256" s="115">
        <v>5000</v>
      </c>
      <c r="E256" s="310">
        <f>C256*D256</f>
        <v>30000</v>
      </c>
      <c r="F256" s="255" t="s">
        <v>25</v>
      </c>
      <c r="G256" s="152" t="s">
        <v>19</v>
      </c>
      <c r="H256" s="152" t="s">
        <v>157</v>
      </c>
      <c r="I256" s="152" t="s">
        <v>21</v>
      </c>
      <c r="J256" s="152" t="s">
        <v>21</v>
      </c>
      <c r="K256" s="152" t="s">
        <v>21</v>
      </c>
      <c r="L256" s="152" t="s">
        <v>21</v>
      </c>
      <c r="M256" s="71">
        <v>30000</v>
      </c>
      <c r="N256" s="71"/>
      <c r="O256" s="71"/>
      <c r="P256" s="71"/>
    </row>
    <row r="257" ht="15.75" spans="1:16">
      <c r="A257" s="115">
        <v>2</v>
      </c>
      <c r="B257" s="307" t="s">
        <v>263</v>
      </c>
      <c r="C257" s="115"/>
      <c r="D257" s="115"/>
      <c r="E257" s="310">
        <v>300000</v>
      </c>
      <c r="F257" s="308" t="s">
        <v>18</v>
      </c>
      <c r="G257" s="308" t="s">
        <v>19</v>
      </c>
      <c r="H257" s="152" t="s">
        <v>157</v>
      </c>
      <c r="I257" s="115"/>
      <c r="J257" s="115"/>
      <c r="K257" s="115"/>
      <c r="L257" s="152" t="s">
        <v>21</v>
      </c>
      <c r="M257" s="115">
        <v>300000</v>
      </c>
      <c r="N257" s="115"/>
      <c r="O257" s="115"/>
      <c r="P257" s="115"/>
    </row>
    <row r="258" ht="15.75" spans="1:16">
      <c r="A258" s="115">
        <v>3</v>
      </c>
      <c r="B258" s="321" t="s">
        <v>264</v>
      </c>
      <c r="C258" s="321">
        <v>2</v>
      </c>
      <c r="D258" s="115">
        <v>10000</v>
      </c>
      <c r="E258" s="310">
        <f>C258*D258</f>
        <v>20000</v>
      </c>
      <c r="F258" s="308" t="s">
        <v>42</v>
      </c>
      <c r="G258" s="320" t="s">
        <v>19</v>
      </c>
      <c r="H258" s="152" t="s">
        <v>157</v>
      </c>
      <c r="I258" s="333" t="s">
        <v>38</v>
      </c>
      <c r="J258" s="333" t="s">
        <v>38</v>
      </c>
      <c r="K258" s="333" t="s">
        <v>38</v>
      </c>
      <c r="L258" s="333" t="s">
        <v>38</v>
      </c>
      <c r="M258" s="115">
        <v>20000</v>
      </c>
      <c r="N258" s="115"/>
      <c r="O258" s="115"/>
      <c r="P258" s="115"/>
    </row>
    <row r="259" spans="1:16">
      <c r="A259" s="306"/>
      <c r="B259" s="306" t="s">
        <v>22</v>
      </c>
      <c r="C259" s="306"/>
      <c r="D259" s="306"/>
      <c r="E259" s="324">
        <f>SUM(E256:E258)</f>
        <v>350000</v>
      </c>
      <c r="F259" s="115"/>
      <c r="G259" s="115"/>
      <c r="H259" s="348"/>
      <c r="I259" s="115"/>
      <c r="J259" s="115"/>
      <c r="K259" s="115"/>
      <c r="L259" s="115"/>
      <c r="M259" s="115"/>
      <c r="N259" s="115"/>
      <c r="O259" s="115"/>
      <c r="P259" s="115"/>
    </row>
    <row r="260" spans="1:16">
      <c r="A260" s="115"/>
      <c r="B260" s="115"/>
      <c r="C260" s="115"/>
      <c r="D260" s="115"/>
      <c r="E260" s="115"/>
      <c r="F260" s="115"/>
      <c r="G260" s="115"/>
      <c r="H260" s="348"/>
      <c r="I260" s="115"/>
      <c r="J260" s="115"/>
      <c r="K260" s="115"/>
      <c r="L260" s="115"/>
      <c r="M260" s="115"/>
      <c r="N260" s="115"/>
      <c r="O260" s="115"/>
      <c r="P260" s="115"/>
    </row>
    <row r="261" spans="1:16">
      <c r="A261" s="115"/>
      <c r="B261" s="115"/>
      <c r="C261" s="115"/>
      <c r="D261" s="115"/>
      <c r="E261" s="115"/>
      <c r="F261" s="115"/>
      <c r="G261" s="115"/>
      <c r="H261" s="348"/>
      <c r="I261" s="115"/>
      <c r="J261" s="115"/>
      <c r="K261" s="115"/>
      <c r="L261" s="115"/>
      <c r="M261" s="115"/>
      <c r="N261" s="115"/>
      <c r="O261" s="115"/>
      <c r="P261" s="115"/>
    </row>
    <row r="262" spans="1:16">
      <c r="A262" s="115"/>
      <c r="B262" s="115"/>
      <c r="C262" s="115"/>
      <c r="D262" s="115"/>
      <c r="E262" s="115"/>
      <c r="F262" s="115"/>
      <c r="G262" s="115"/>
      <c r="H262" s="348"/>
      <c r="I262" s="115"/>
      <c r="J262" s="115"/>
      <c r="K262" s="115"/>
      <c r="L262" s="115"/>
      <c r="M262" s="115"/>
      <c r="N262" s="115"/>
      <c r="O262" s="115"/>
      <c r="P262" s="115"/>
    </row>
    <row r="263" spans="1:16">
      <c r="A263" s="306" t="s">
        <v>265</v>
      </c>
      <c r="B263" s="115"/>
      <c r="C263" s="115"/>
      <c r="D263" s="115"/>
      <c r="E263" s="115"/>
      <c r="F263" s="115"/>
      <c r="G263" s="115"/>
      <c r="H263" s="115"/>
      <c r="I263" s="115"/>
      <c r="J263" s="115"/>
      <c r="K263" s="115"/>
      <c r="L263" s="115"/>
      <c r="M263" s="115"/>
      <c r="N263" s="115"/>
      <c r="O263" s="115"/>
      <c r="P263" s="115"/>
    </row>
    <row r="264" spans="1:16">
      <c r="A264" s="115"/>
      <c r="B264" s="376" t="s">
        <v>266</v>
      </c>
      <c r="C264" s="376"/>
      <c r="D264" s="376"/>
      <c r="E264" s="376"/>
      <c r="F264" s="376"/>
      <c r="G264" s="376"/>
      <c r="H264" s="376"/>
      <c r="I264" s="376"/>
      <c r="J264" s="376"/>
      <c r="K264" s="376"/>
      <c r="L264" s="376"/>
      <c r="M264" s="376"/>
      <c r="N264" s="376"/>
      <c r="O264" s="376"/>
      <c r="P264" s="376"/>
    </row>
    <row r="265" spans="1:16">
      <c r="A265" s="115"/>
      <c r="B265" s="376"/>
      <c r="C265" s="376"/>
      <c r="D265" s="376"/>
      <c r="E265" s="376"/>
      <c r="F265" s="376"/>
      <c r="G265" s="376"/>
      <c r="H265" s="376"/>
      <c r="I265" s="376"/>
      <c r="J265" s="376"/>
      <c r="K265" s="376"/>
      <c r="L265" s="376"/>
      <c r="M265" s="376"/>
      <c r="N265" s="376"/>
      <c r="O265" s="376"/>
      <c r="P265" s="376"/>
    </row>
    <row r="266" ht="15.75" spans="1:16">
      <c r="A266" s="115"/>
      <c r="B266" s="377" t="s">
        <v>267</v>
      </c>
      <c r="C266" s="377" t="s">
        <v>268</v>
      </c>
      <c r="D266" s="378">
        <v>800</v>
      </c>
      <c r="E266" s="379">
        <v>80000</v>
      </c>
      <c r="F266" s="378"/>
      <c r="G266" s="320" t="s">
        <v>19</v>
      </c>
      <c r="H266" s="320" t="s">
        <v>157</v>
      </c>
      <c r="I266" s="333" t="s">
        <v>38</v>
      </c>
      <c r="J266" s="333" t="s">
        <v>38</v>
      </c>
      <c r="K266" s="333" t="s">
        <v>38</v>
      </c>
      <c r="L266" s="333" t="s">
        <v>38</v>
      </c>
      <c r="M266" s="384">
        <v>20000</v>
      </c>
      <c r="N266" s="384">
        <v>20000</v>
      </c>
      <c r="O266" s="384">
        <v>20000</v>
      </c>
      <c r="P266" s="384">
        <v>20000</v>
      </c>
    </row>
    <row r="267" ht="15.75" spans="1:16">
      <c r="A267" s="115"/>
      <c r="B267" s="377" t="s">
        <v>269</v>
      </c>
      <c r="C267" s="377" t="s">
        <v>270</v>
      </c>
      <c r="D267" s="378">
        <v>1700</v>
      </c>
      <c r="E267" s="379">
        <v>27200</v>
      </c>
      <c r="F267" s="378"/>
      <c r="G267" s="320" t="s">
        <v>19</v>
      </c>
      <c r="H267" s="320" t="s">
        <v>157</v>
      </c>
      <c r="I267" s="333" t="s">
        <v>38</v>
      </c>
      <c r="J267" s="333" t="s">
        <v>38</v>
      </c>
      <c r="K267" s="333" t="s">
        <v>38</v>
      </c>
      <c r="L267" s="333" t="s">
        <v>38</v>
      </c>
      <c r="M267" s="384">
        <v>6800</v>
      </c>
      <c r="N267" s="384">
        <v>6800</v>
      </c>
      <c r="O267" s="384">
        <v>6800</v>
      </c>
      <c r="P267" s="384">
        <v>6800</v>
      </c>
    </row>
    <row r="268" ht="15.75" spans="1:16">
      <c r="A268" s="115"/>
      <c r="B268" s="377" t="s">
        <v>271</v>
      </c>
      <c r="C268" s="377" t="s">
        <v>272</v>
      </c>
      <c r="D268" s="378">
        <v>1900</v>
      </c>
      <c r="E268" s="379">
        <v>45600</v>
      </c>
      <c r="F268" s="378"/>
      <c r="G268" s="320" t="s">
        <v>19</v>
      </c>
      <c r="H268" s="320" t="s">
        <v>157</v>
      </c>
      <c r="I268" s="333" t="s">
        <v>38</v>
      </c>
      <c r="J268" s="333" t="s">
        <v>38</v>
      </c>
      <c r="K268" s="333" t="s">
        <v>38</v>
      </c>
      <c r="L268" s="333" t="s">
        <v>38</v>
      </c>
      <c r="M268" s="384">
        <v>11400</v>
      </c>
      <c r="N268" s="384">
        <v>11400</v>
      </c>
      <c r="O268" s="384">
        <v>11400</v>
      </c>
      <c r="P268" s="384">
        <v>11400</v>
      </c>
    </row>
    <row r="269" ht="15.75" spans="1:16">
      <c r="A269" s="115"/>
      <c r="B269" s="377" t="s">
        <v>273</v>
      </c>
      <c r="C269" s="377" t="s">
        <v>272</v>
      </c>
      <c r="D269" s="378">
        <v>1700</v>
      </c>
      <c r="E269" s="379">
        <v>40800</v>
      </c>
      <c r="F269" s="378"/>
      <c r="G269" s="320" t="s">
        <v>19</v>
      </c>
      <c r="H269" s="320" t="s">
        <v>157</v>
      </c>
      <c r="I269" s="333" t="s">
        <v>38</v>
      </c>
      <c r="J269" s="333" t="s">
        <v>38</v>
      </c>
      <c r="K269" s="333" t="s">
        <v>38</v>
      </c>
      <c r="L269" s="333" t="s">
        <v>38</v>
      </c>
      <c r="M269" s="384">
        <v>10200</v>
      </c>
      <c r="N269" s="384">
        <v>10200</v>
      </c>
      <c r="O269" s="384">
        <v>10200</v>
      </c>
      <c r="P269" s="384">
        <v>10200</v>
      </c>
    </row>
    <row r="270" ht="15.75" spans="1:16">
      <c r="A270" s="115"/>
      <c r="B270" s="377" t="s">
        <v>274</v>
      </c>
      <c r="C270" s="377" t="s">
        <v>272</v>
      </c>
      <c r="D270" s="378">
        <v>1900</v>
      </c>
      <c r="E270" s="379">
        <v>45600</v>
      </c>
      <c r="F270" s="378"/>
      <c r="G270" s="320" t="s">
        <v>19</v>
      </c>
      <c r="H270" s="320" t="s">
        <v>157</v>
      </c>
      <c r="I270" s="333" t="s">
        <v>38</v>
      </c>
      <c r="J270" s="333" t="s">
        <v>38</v>
      </c>
      <c r="K270" s="333" t="s">
        <v>38</v>
      </c>
      <c r="L270" s="333" t="s">
        <v>38</v>
      </c>
      <c r="M270" s="384">
        <v>11400</v>
      </c>
      <c r="N270" s="384">
        <v>11400</v>
      </c>
      <c r="O270" s="384">
        <v>11400</v>
      </c>
      <c r="P270" s="384">
        <v>11400</v>
      </c>
    </row>
    <row r="271" ht="15.75" spans="1:16">
      <c r="A271" s="115"/>
      <c r="B271" s="377" t="s">
        <v>275</v>
      </c>
      <c r="C271" s="377" t="s">
        <v>276</v>
      </c>
      <c r="D271" s="378">
        <v>1300</v>
      </c>
      <c r="E271" s="379">
        <v>15600</v>
      </c>
      <c r="F271" s="378"/>
      <c r="G271" s="320" t="s">
        <v>19</v>
      </c>
      <c r="H271" s="320" t="s">
        <v>157</v>
      </c>
      <c r="I271" s="333" t="s">
        <v>38</v>
      </c>
      <c r="J271" s="333" t="s">
        <v>38</v>
      </c>
      <c r="K271" s="333" t="s">
        <v>38</v>
      </c>
      <c r="L271" s="333" t="s">
        <v>38</v>
      </c>
      <c r="M271" s="384">
        <v>5200</v>
      </c>
      <c r="N271" s="384"/>
      <c r="O271" s="384">
        <v>5200</v>
      </c>
      <c r="P271" s="384">
        <v>5200</v>
      </c>
    </row>
    <row r="272" ht="15.75" spans="1:16">
      <c r="A272" s="115"/>
      <c r="B272" s="377" t="s">
        <v>277</v>
      </c>
      <c r="C272" s="377" t="s">
        <v>278</v>
      </c>
      <c r="D272" s="378">
        <v>1000</v>
      </c>
      <c r="E272" s="379">
        <v>12000</v>
      </c>
      <c r="F272" s="378"/>
      <c r="G272" s="320" t="s">
        <v>19</v>
      </c>
      <c r="H272" s="320" t="s">
        <v>157</v>
      </c>
      <c r="I272" s="333" t="s">
        <v>38</v>
      </c>
      <c r="J272" s="333" t="s">
        <v>38</v>
      </c>
      <c r="K272" s="333" t="s">
        <v>38</v>
      </c>
      <c r="L272" s="333" t="s">
        <v>38</v>
      </c>
      <c r="M272" s="384">
        <v>4000</v>
      </c>
      <c r="N272" s="384">
        <v>4000</v>
      </c>
      <c r="O272" s="384"/>
      <c r="P272" s="384">
        <v>4000</v>
      </c>
    </row>
    <row r="273" ht="15.75" spans="1:16">
      <c r="A273" s="115"/>
      <c r="B273" s="377" t="s">
        <v>279</v>
      </c>
      <c r="C273" s="377" t="s">
        <v>280</v>
      </c>
      <c r="D273" s="378">
        <v>2000</v>
      </c>
      <c r="E273" s="379">
        <v>20000</v>
      </c>
      <c r="F273" s="378"/>
      <c r="G273" s="320" t="s">
        <v>19</v>
      </c>
      <c r="H273" s="320" t="s">
        <v>157</v>
      </c>
      <c r="I273" s="333" t="s">
        <v>38</v>
      </c>
      <c r="J273" s="333" t="s">
        <v>38</v>
      </c>
      <c r="K273" s="333" t="s">
        <v>38</v>
      </c>
      <c r="L273" s="333" t="s">
        <v>38</v>
      </c>
      <c r="M273" s="384">
        <v>10000</v>
      </c>
      <c r="N273" s="384"/>
      <c r="O273" s="384"/>
      <c r="P273" s="384">
        <v>10000</v>
      </c>
    </row>
    <row r="274" ht="15.75" spans="1:16">
      <c r="A274" s="115"/>
      <c r="B274" s="377" t="s">
        <v>281</v>
      </c>
      <c r="C274" s="377" t="s">
        <v>282</v>
      </c>
      <c r="D274" s="378">
        <v>2600</v>
      </c>
      <c r="E274" s="379">
        <v>62400</v>
      </c>
      <c r="F274" s="378"/>
      <c r="G274" s="320" t="s">
        <v>19</v>
      </c>
      <c r="H274" s="320" t="s">
        <v>157</v>
      </c>
      <c r="I274" s="333" t="s">
        <v>38</v>
      </c>
      <c r="J274" s="333" t="s">
        <v>38</v>
      </c>
      <c r="K274" s="333" t="s">
        <v>38</v>
      </c>
      <c r="L274" s="333" t="s">
        <v>38</v>
      </c>
      <c r="M274" s="384">
        <v>15600</v>
      </c>
      <c r="N274" s="384">
        <v>15600</v>
      </c>
      <c r="O274" s="384">
        <v>15600</v>
      </c>
      <c r="P274" s="384">
        <v>15600</v>
      </c>
    </row>
    <row r="275" ht="15.75" spans="1:16">
      <c r="A275" s="115"/>
      <c r="B275" s="377" t="s">
        <v>283</v>
      </c>
      <c r="C275" s="377" t="s">
        <v>272</v>
      </c>
      <c r="D275" s="378">
        <v>220</v>
      </c>
      <c r="E275" s="379">
        <v>5280</v>
      </c>
      <c r="F275" s="378"/>
      <c r="G275" s="320" t="s">
        <v>19</v>
      </c>
      <c r="H275" s="320" t="s">
        <v>157</v>
      </c>
      <c r="I275" s="333" t="s">
        <v>38</v>
      </c>
      <c r="J275" s="333" t="s">
        <v>38</v>
      </c>
      <c r="K275" s="333" t="s">
        <v>38</v>
      </c>
      <c r="L275" s="333" t="s">
        <v>38</v>
      </c>
      <c r="M275" s="384">
        <v>2640</v>
      </c>
      <c r="N275" s="384"/>
      <c r="O275" s="384">
        <v>2640</v>
      </c>
      <c r="P275" s="384"/>
    </row>
    <row r="276" ht="15.75" spans="1:16">
      <c r="A276" s="115"/>
      <c r="B276" s="377" t="s">
        <v>284</v>
      </c>
      <c r="C276" s="377" t="s">
        <v>285</v>
      </c>
      <c r="D276" s="378">
        <v>350</v>
      </c>
      <c r="E276" s="379">
        <v>7000</v>
      </c>
      <c r="F276" s="378"/>
      <c r="G276" s="320" t="s">
        <v>19</v>
      </c>
      <c r="H276" s="320" t="s">
        <v>157</v>
      </c>
      <c r="I276" s="333" t="s">
        <v>38</v>
      </c>
      <c r="J276" s="333" t="s">
        <v>38</v>
      </c>
      <c r="K276" s="333" t="s">
        <v>38</v>
      </c>
      <c r="L276" s="333" t="s">
        <v>38</v>
      </c>
      <c r="M276" s="384">
        <v>3500</v>
      </c>
      <c r="N276" s="384"/>
      <c r="O276" s="384"/>
      <c r="P276" s="384">
        <v>3500</v>
      </c>
    </row>
    <row r="277" ht="15.75" spans="1:16">
      <c r="A277" s="115"/>
      <c r="B277" s="377" t="s">
        <v>286</v>
      </c>
      <c r="C277" s="377" t="s">
        <v>272</v>
      </c>
      <c r="D277" s="378">
        <v>340</v>
      </c>
      <c r="E277" s="379">
        <v>8160</v>
      </c>
      <c r="F277" s="378"/>
      <c r="G277" s="320" t="s">
        <v>19</v>
      </c>
      <c r="H277" s="320" t="s">
        <v>157</v>
      </c>
      <c r="I277" s="333" t="s">
        <v>38</v>
      </c>
      <c r="J277" s="333" t="s">
        <v>38</v>
      </c>
      <c r="K277" s="333" t="s">
        <v>38</v>
      </c>
      <c r="L277" s="333" t="s">
        <v>38</v>
      </c>
      <c r="M277" s="384">
        <v>2040</v>
      </c>
      <c r="N277" s="384">
        <v>2040</v>
      </c>
      <c r="O277" s="384">
        <v>2040</v>
      </c>
      <c r="P277" s="384">
        <v>2040</v>
      </c>
    </row>
    <row r="278" ht="15.75" spans="1:16">
      <c r="A278" s="115"/>
      <c r="B278" s="377" t="s">
        <v>287</v>
      </c>
      <c r="C278" s="377" t="s">
        <v>288</v>
      </c>
      <c r="D278" s="378">
        <v>2400</v>
      </c>
      <c r="E278" s="379">
        <v>57600</v>
      </c>
      <c r="F278" s="378"/>
      <c r="G278" s="320" t="s">
        <v>19</v>
      </c>
      <c r="H278" s="320" t="s">
        <v>157</v>
      </c>
      <c r="I278" s="333" t="s">
        <v>38</v>
      </c>
      <c r="J278" s="333" t="s">
        <v>38</v>
      </c>
      <c r="K278" s="333" t="s">
        <v>38</v>
      </c>
      <c r="L278" s="333" t="s">
        <v>38</v>
      </c>
      <c r="M278" s="384">
        <v>14400</v>
      </c>
      <c r="N278" s="384">
        <v>14400</v>
      </c>
      <c r="O278" s="384">
        <v>14400</v>
      </c>
      <c r="P278" s="384">
        <v>14400</v>
      </c>
    </row>
    <row r="279" ht="15.75" spans="1:16">
      <c r="A279" s="115"/>
      <c r="B279" s="377" t="s">
        <v>289</v>
      </c>
      <c r="C279" s="377" t="s">
        <v>280</v>
      </c>
      <c r="D279" s="378">
        <v>350</v>
      </c>
      <c r="E279" s="379">
        <v>3500</v>
      </c>
      <c r="F279" s="378"/>
      <c r="G279" s="320" t="s">
        <v>19</v>
      </c>
      <c r="H279" s="320" t="s">
        <v>157</v>
      </c>
      <c r="I279" s="333" t="s">
        <v>38</v>
      </c>
      <c r="J279" s="333" t="s">
        <v>38</v>
      </c>
      <c r="K279" s="333" t="s">
        <v>38</v>
      </c>
      <c r="L279" s="333" t="s">
        <v>38</v>
      </c>
      <c r="M279" s="384"/>
      <c r="N279" s="384"/>
      <c r="O279" s="384">
        <v>3500</v>
      </c>
      <c r="P279" s="384"/>
    </row>
    <row r="280" ht="15.75" spans="1:16">
      <c r="A280" s="115"/>
      <c r="B280" s="377" t="s">
        <v>290</v>
      </c>
      <c r="C280" s="377" t="s">
        <v>291</v>
      </c>
      <c r="D280" s="378">
        <v>350</v>
      </c>
      <c r="E280" s="379">
        <v>1750</v>
      </c>
      <c r="F280" s="378"/>
      <c r="G280" s="320" t="s">
        <v>19</v>
      </c>
      <c r="H280" s="320" t="s">
        <v>157</v>
      </c>
      <c r="I280" s="333" t="s">
        <v>38</v>
      </c>
      <c r="J280" s="333" t="s">
        <v>38</v>
      </c>
      <c r="K280" s="333" t="s">
        <v>38</v>
      </c>
      <c r="L280" s="333" t="s">
        <v>38</v>
      </c>
      <c r="M280" s="384">
        <v>1750</v>
      </c>
      <c r="N280" s="384"/>
      <c r="O280" s="384"/>
      <c r="P280" s="384"/>
    </row>
    <row r="281" ht="15.75" spans="1:16">
      <c r="A281" s="115"/>
      <c r="B281" s="377" t="s">
        <v>292</v>
      </c>
      <c r="C281" s="377" t="s">
        <v>280</v>
      </c>
      <c r="D281" s="378">
        <v>350</v>
      </c>
      <c r="E281" s="379">
        <v>3500</v>
      </c>
      <c r="F281" s="378"/>
      <c r="G281" s="320" t="s">
        <v>19</v>
      </c>
      <c r="H281" s="320" t="s">
        <v>157</v>
      </c>
      <c r="I281" s="333" t="s">
        <v>38</v>
      </c>
      <c r="J281" s="333" t="s">
        <v>38</v>
      </c>
      <c r="K281" s="333" t="s">
        <v>38</v>
      </c>
      <c r="L281" s="333" t="s">
        <v>38</v>
      </c>
      <c r="M281" s="384"/>
      <c r="N281" s="384"/>
      <c r="O281" s="384">
        <v>3500</v>
      </c>
      <c r="P281" s="384"/>
    </row>
    <row r="282" ht="15.75" spans="1:16">
      <c r="A282" s="115"/>
      <c r="B282" s="377" t="s">
        <v>293</v>
      </c>
      <c r="C282" s="377" t="s">
        <v>280</v>
      </c>
      <c r="D282" s="378">
        <v>550</v>
      </c>
      <c r="E282" s="379">
        <v>5500</v>
      </c>
      <c r="F282" s="378"/>
      <c r="G282" s="320" t="s">
        <v>19</v>
      </c>
      <c r="H282" s="320" t="s">
        <v>157</v>
      </c>
      <c r="I282" s="333" t="s">
        <v>38</v>
      </c>
      <c r="J282" s="333" t="s">
        <v>38</v>
      </c>
      <c r="K282" s="333" t="s">
        <v>38</v>
      </c>
      <c r="L282" s="333" t="s">
        <v>38</v>
      </c>
      <c r="M282" s="384"/>
      <c r="N282" s="384"/>
      <c r="O282" s="384">
        <v>5500</v>
      </c>
      <c r="P282" s="384"/>
    </row>
    <row r="283" ht="15.75" spans="1:16">
      <c r="A283" s="115"/>
      <c r="B283" s="377" t="s">
        <v>294</v>
      </c>
      <c r="C283" s="377" t="s">
        <v>280</v>
      </c>
      <c r="D283" s="378">
        <v>650</v>
      </c>
      <c r="E283" s="379">
        <v>6500</v>
      </c>
      <c r="F283" s="378"/>
      <c r="G283" s="320" t="s">
        <v>19</v>
      </c>
      <c r="H283" s="320" t="s">
        <v>157</v>
      </c>
      <c r="I283" s="333" t="s">
        <v>38</v>
      </c>
      <c r="J283" s="333" t="s">
        <v>38</v>
      </c>
      <c r="K283" s="333" t="s">
        <v>38</v>
      </c>
      <c r="L283" s="333" t="s">
        <v>38</v>
      </c>
      <c r="M283" s="384"/>
      <c r="N283" s="384"/>
      <c r="O283" s="384">
        <v>6500</v>
      </c>
      <c r="P283" s="384"/>
    </row>
    <row r="284" ht="15.75" spans="1:16">
      <c r="A284" s="115"/>
      <c r="B284" s="377" t="s">
        <v>295</v>
      </c>
      <c r="C284" s="377" t="s">
        <v>276</v>
      </c>
      <c r="D284" s="378">
        <v>450</v>
      </c>
      <c r="E284" s="379">
        <v>5400</v>
      </c>
      <c r="F284" s="378"/>
      <c r="G284" s="320" t="s">
        <v>19</v>
      </c>
      <c r="H284" s="320" t="s">
        <v>157</v>
      </c>
      <c r="I284" s="333" t="s">
        <v>38</v>
      </c>
      <c r="J284" s="333" t="s">
        <v>38</v>
      </c>
      <c r="K284" s="333" t="s">
        <v>38</v>
      </c>
      <c r="L284" s="333" t="s">
        <v>38</v>
      </c>
      <c r="M284" s="384">
        <v>2700</v>
      </c>
      <c r="N284" s="384"/>
      <c r="O284" s="384">
        <v>2700</v>
      </c>
      <c r="P284" s="384"/>
    </row>
    <row r="285" ht="15.75" spans="1:16">
      <c r="A285" s="115"/>
      <c r="B285" s="377" t="s">
        <v>296</v>
      </c>
      <c r="C285" s="377" t="s">
        <v>270</v>
      </c>
      <c r="D285" s="378">
        <v>750</v>
      </c>
      <c r="E285" s="379">
        <v>12000</v>
      </c>
      <c r="F285" s="378"/>
      <c r="G285" s="320" t="s">
        <v>19</v>
      </c>
      <c r="H285" s="320" t="s">
        <v>157</v>
      </c>
      <c r="I285" s="333" t="s">
        <v>38</v>
      </c>
      <c r="J285" s="333" t="s">
        <v>38</v>
      </c>
      <c r="K285" s="333" t="s">
        <v>38</v>
      </c>
      <c r="L285" s="333" t="s">
        <v>38</v>
      </c>
      <c r="M285" s="384">
        <v>3000</v>
      </c>
      <c r="N285" s="384">
        <v>3000</v>
      </c>
      <c r="O285" s="384">
        <v>3000</v>
      </c>
      <c r="P285" s="384">
        <v>3000</v>
      </c>
    </row>
    <row r="286" ht="15.75" spans="1:16">
      <c r="A286" s="115"/>
      <c r="B286" s="380" t="s">
        <v>22</v>
      </c>
      <c r="C286" s="377"/>
      <c r="D286" s="378"/>
      <c r="E286" s="381">
        <f>SUM(E266:E285)</f>
        <v>465390</v>
      </c>
      <c r="F286" s="378"/>
      <c r="G286" s="320"/>
      <c r="H286" s="320"/>
      <c r="I286" s="333"/>
      <c r="J286" s="333"/>
      <c r="K286" s="333"/>
      <c r="L286" s="333"/>
      <c r="M286" s="384"/>
      <c r="N286" s="384"/>
      <c r="O286" s="384"/>
      <c r="P286" s="384"/>
    </row>
    <row r="287" spans="1:16">
      <c r="A287" s="115"/>
      <c r="B287" s="115"/>
      <c r="C287" s="115"/>
      <c r="D287" s="115"/>
      <c r="E287" s="115"/>
      <c r="F287" s="115"/>
      <c r="G287" s="115"/>
      <c r="H287" s="115"/>
      <c r="I287" s="115"/>
      <c r="J287" s="115"/>
      <c r="K287" s="115"/>
      <c r="L287" s="115"/>
      <c r="M287" s="115"/>
      <c r="N287" s="115"/>
      <c r="O287" s="115"/>
      <c r="P287" s="115"/>
    </row>
    <row r="288" spans="1:16">
      <c r="A288" s="115"/>
      <c r="B288" s="115"/>
      <c r="C288" s="115"/>
      <c r="D288" s="115"/>
      <c r="E288" s="115"/>
      <c r="F288" s="115"/>
      <c r="G288" s="115"/>
      <c r="H288" s="115"/>
      <c r="I288" s="115"/>
      <c r="J288" s="115"/>
      <c r="K288" s="115"/>
      <c r="L288" s="115"/>
      <c r="M288" s="115"/>
      <c r="N288" s="115"/>
      <c r="O288" s="115"/>
      <c r="P288" s="115"/>
    </row>
    <row r="289" spans="1:16">
      <c r="A289" s="115"/>
      <c r="B289" s="115"/>
      <c r="C289" s="115"/>
      <c r="D289" s="115"/>
      <c r="E289" s="115"/>
      <c r="F289" s="115"/>
      <c r="G289" s="115"/>
      <c r="H289" s="115"/>
      <c r="I289" s="115"/>
      <c r="J289" s="115"/>
      <c r="K289" s="115"/>
      <c r="L289" s="115"/>
      <c r="M289" s="115"/>
      <c r="N289" s="115"/>
      <c r="O289" s="115"/>
      <c r="P289" s="115"/>
    </row>
    <row r="290" spans="1:16">
      <c r="A290" s="306" t="s">
        <v>297</v>
      </c>
      <c r="B290" s="115"/>
      <c r="C290" s="115"/>
      <c r="D290" s="115"/>
      <c r="E290" s="115"/>
      <c r="F290" s="115"/>
      <c r="G290" s="115"/>
      <c r="H290" s="115"/>
      <c r="I290" s="115"/>
      <c r="J290" s="115"/>
      <c r="K290" s="115"/>
      <c r="L290" s="115"/>
      <c r="M290" s="115"/>
      <c r="N290" s="115"/>
      <c r="O290" s="115"/>
      <c r="P290" s="115"/>
    </row>
    <row r="291" ht="30" spans="1:16">
      <c r="A291" s="115">
        <v>1</v>
      </c>
      <c r="B291" s="307" t="s">
        <v>298</v>
      </c>
      <c r="C291" s="115"/>
      <c r="D291" s="115"/>
      <c r="E291" s="319">
        <v>300000</v>
      </c>
      <c r="F291" s="308" t="s">
        <v>18</v>
      </c>
      <c r="G291" s="308" t="s">
        <v>19</v>
      </c>
      <c r="H291" s="308" t="s">
        <v>157</v>
      </c>
      <c r="I291" s="152" t="s">
        <v>21</v>
      </c>
      <c r="J291" s="152" t="s">
        <v>21</v>
      </c>
      <c r="K291" s="152" t="s">
        <v>21</v>
      </c>
      <c r="L291" s="152" t="s">
        <v>21</v>
      </c>
      <c r="M291" s="115"/>
      <c r="N291" s="115"/>
      <c r="O291" s="115"/>
      <c r="P291" s="115"/>
    </row>
    <row r="292" spans="1:16">
      <c r="A292" s="115"/>
      <c r="B292" s="115"/>
      <c r="C292" s="115"/>
      <c r="D292" s="115"/>
      <c r="E292" s="115"/>
      <c r="F292" s="115"/>
      <c r="G292" s="115"/>
      <c r="H292" s="115"/>
      <c r="I292" s="115"/>
      <c r="J292" s="115"/>
      <c r="K292" s="115"/>
      <c r="L292" s="115"/>
      <c r="M292" s="115"/>
      <c r="N292" s="115"/>
      <c r="O292" s="115"/>
      <c r="P292" s="115"/>
    </row>
    <row r="293" spans="1:16">
      <c r="A293" s="115"/>
      <c r="B293" s="115" t="s">
        <v>299</v>
      </c>
      <c r="C293" s="115"/>
      <c r="D293" s="115"/>
      <c r="E293" s="382">
        <f>SUM(E291:E292)</f>
        <v>300000</v>
      </c>
      <c r="F293" s="115"/>
      <c r="G293" s="115"/>
      <c r="H293" s="115"/>
      <c r="I293" s="115"/>
      <c r="J293" s="115"/>
      <c r="K293" s="115"/>
      <c r="L293" s="115"/>
      <c r="M293" s="115"/>
      <c r="N293" s="115"/>
      <c r="O293" s="115"/>
      <c r="P293" s="115"/>
    </row>
    <row r="294" spans="1:16">
      <c r="A294" s="115"/>
      <c r="B294" s="115"/>
      <c r="C294" s="115"/>
      <c r="D294" s="115"/>
      <c r="E294" s="115"/>
      <c r="F294" s="115"/>
      <c r="G294" s="115"/>
      <c r="H294" s="115"/>
      <c r="I294" s="115"/>
      <c r="J294" s="115"/>
      <c r="K294" s="115"/>
      <c r="L294" s="115"/>
      <c r="M294" s="115"/>
      <c r="N294" s="115"/>
      <c r="O294" s="115"/>
      <c r="P294" s="115"/>
    </row>
    <row r="295" spans="1:16">
      <c r="A295" s="306" t="s">
        <v>300</v>
      </c>
      <c r="B295" s="115"/>
      <c r="C295" s="115"/>
      <c r="D295" s="115"/>
      <c r="E295" s="115"/>
      <c r="F295" s="115"/>
      <c r="G295" s="115"/>
      <c r="H295" s="115"/>
      <c r="I295" s="115"/>
      <c r="J295" s="115"/>
      <c r="K295" s="115"/>
      <c r="L295" s="115"/>
      <c r="M295" s="115"/>
      <c r="N295" s="115"/>
      <c r="O295" s="115"/>
      <c r="P295" s="115"/>
    </row>
    <row r="296" ht="15.75" spans="1:16">
      <c r="A296" s="115">
        <v>1</v>
      </c>
      <c r="B296" s="115" t="s">
        <v>301</v>
      </c>
      <c r="C296" s="115">
        <v>1</v>
      </c>
      <c r="D296" s="310">
        <v>18000</v>
      </c>
      <c r="E296" s="310">
        <f>C296*D296</f>
        <v>18000</v>
      </c>
      <c r="F296" s="308" t="s">
        <v>99</v>
      </c>
      <c r="G296" s="308" t="s">
        <v>19</v>
      </c>
      <c r="H296" s="308" t="s">
        <v>157</v>
      </c>
      <c r="I296" s="152" t="s">
        <v>21</v>
      </c>
      <c r="J296" s="152" t="s">
        <v>21</v>
      </c>
      <c r="K296" s="152" t="s">
        <v>21</v>
      </c>
      <c r="L296" s="152" t="s">
        <v>21</v>
      </c>
      <c r="M296" s="115"/>
      <c r="N296" s="334">
        <v>18000</v>
      </c>
      <c r="O296" s="115"/>
      <c r="P296" s="115"/>
    </row>
    <row r="297" ht="15.75" spans="1:16">
      <c r="A297" s="115">
        <v>2</v>
      </c>
      <c r="B297" s="115" t="s">
        <v>302</v>
      </c>
      <c r="C297" s="115">
        <v>1</v>
      </c>
      <c r="D297" s="310">
        <v>2500</v>
      </c>
      <c r="E297" s="310">
        <f>C297*D297</f>
        <v>2500</v>
      </c>
      <c r="F297" s="308" t="s">
        <v>99</v>
      </c>
      <c r="G297" s="308" t="s">
        <v>303</v>
      </c>
      <c r="H297" s="308" t="s">
        <v>157</v>
      </c>
      <c r="I297" s="152" t="s">
        <v>21</v>
      </c>
      <c r="J297" s="152" t="s">
        <v>21</v>
      </c>
      <c r="K297" s="152" t="s">
        <v>21</v>
      </c>
      <c r="L297" s="152" t="s">
        <v>21</v>
      </c>
      <c r="M297" s="334">
        <v>2500</v>
      </c>
      <c r="N297" s="115"/>
      <c r="O297" s="115"/>
      <c r="P297" s="115"/>
    </row>
    <row r="298" ht="15.75" spans="1:16">
      <c r="A298" s="115">
        <v>3</v>
      </c>
      <c r="B298" s="313" t="s">
        <v>304</v>
      </c>
      <c r="C298" s="308">
        <v>1</v>
      </c>
      <c r="D298" s="115">
        <v>30000</v>
      </c>
      <c r="E298" s="310">
        <v>30000</v>
      </c>
      <c r="F298" s="308" t="s">
        <v>31</v>
      </c>
      <c r="G298" s="308" t="s">
        <v>19</v>
      </c>
      <c r="H298" s="308" t="s">
        <v>157</v>
      </c>
      <c r="I298" s="152" t="s">
        <v>21</v>
      </c>
      <c r="J298" s="152" t="s">
        <v>21</v>
      </c>
      <c r="K298" s="152" t="s">
        <v>21</v>
      </c>
      <c r="L298" s="152" t="s">
        <v>21</v>
      </c>
      <c r="M298" s="115">
        <v>30000</v>
      </c>
      <c r="N298" s="115"/>
      <c r="O298" s="115"/>
      <c r="P298" s="71"/>
    </row>
    <row r="299" ht="15.75" spans="1:16">
      <c r="A299" s="115">
        <v>4</v>
      </c>
      <c r="B299" s="348" t="s">
        <v>305</v>
      </c>
      <c r="C299" s="115">
        <v>5</v>
      </c>
      <c r="D299" s="115">
        <v>8000</v>
      </c>
      <c r="E299" s="115">
        <f>C299*D299</f>
        <v>40000</v>
      </c>
      <c r="F299" s="308" t="s">
        <v>46</v>
      </c>
      <c r="G299" s="308" t="s">
        <v>19</v>
      </c>
      <c r="H299" s="308" t="s">
        <v>157</v>
      </c>
      <c r="I299" s="152" t="s">
        <v>21</v>
      </c>
      <c r="J299" s="152" t="s">
        <v>21</v>
      </c>
      <c r="K299" s="152" t="s">
        <v>21</v>
      </c>
      <c r="L299" s="152" t="s">
        <v>21</v>
      </c>
      <c r="M299" s="115">
        <v>24000</v>
      </c>
      <c r="N299" s="115">
        <v>16000</v>
      </c>
      <c r="O299" s="115"/>
      <c r="P299" s="115"/>
    </row>
    <row r="300" ht="15.75" spans="1:16">
      <c r="A300" s="115">
        <v>5</v>
      </c>
      <c r="B300" s="315" t="s">
        <v>306</v>
      </c>
      <c r="C300" s="315" t="s">
        <v>307</v>
      </c>
      <c r="D300" s="317">
        <v>40000</v>
      </c>
      <c r="E300" s="317">
        <v>160000</v>
      </c>
      <c r="F300" s="318" t="s">
        <v>35</v>
      </c>
      <c r="G300" s="308" t="s">
        <v>19</v>
      </c>
      <c r="H300" s="308" t="s">
        <v>157</v>
      </c>
      <c r="I300" s="152" t="s">
        <v>21</v>
      </c>
      <c r="J300" s="152" t="s">
        <v>21</v>
      </c>
      <c r="K300" s="152" t="s">
        <v>21</v>
      </c>
      <c r="L300" s="152" t="s">
        <v>21</v>
      </c>
      <c r="M300" s="317">
        <v>160000</v>
      </c>
      <c r="N300" s="331"/>
      <c r="O300" s="331"/>
      <c r="P300" s="332"/>
    </row>
    <row r="301" ht="15.75" spans="1:16">
      <c r="A301" s="115">
        <v>6</v>
      </c>
      <c r="B301" s="315" t="s">
        <v>308</v>
      </c>
      <c r="C301" s="315" t="s">
        <v>307</v>
      </c>
      <c r="D301" s="317">
        <v>2500</v>
      </c>
      <c r="E301" s="317">
        <v>10000</v>
      </c>
      <c r="F301" s="318" t="s">
        <v>35</v>
      </c>
      <c r="G301" s="308" t="s">
        <v>19</v>
      </c>
      <c r="H301" s="308" t="s">
        <v>157</v>
      </c>
      <c r="I301" s="152" t="s">
        <v>21</v>
      </c>
      <c r="J301" s="152" t="s">
        <v>21</v>
      </c>
      <c r="K301" s="152" t="s">
        <v>21</v>
      </c>
      <c r="L301" s="152" t="s">
        <v>21</v>
      </c>
      <c r="M301" s="331">
        <v>5000</v>
      </c>
      <c r="N301" s="331">
        <v>5000</v>
      </c>
      <c r="O301" s="331"/>
      <c r="P301" s="332"/>
    </row>
    <row r="302" ht="15.75" spans="1:16">
      <c r="A302" s="115">
        <v>7</v>
      </c>
      <c r="B302" s="315" t="s">
        <v>309</v>
      </c>
      <c r="C302" s="315" t="s">
        <v>310</v>
      </c>
      <c r="D302" s="317">
        <v>1500</v>
      </c>
      <c r="E302" s="317">
        <v>15000</v>
      </c>
      <c r="F302" s="318" t="s">
        <v>35</v>
      </c>
      <c r="G302" s="308" t="s">
        <v>19</v>
      </c>
      <c r="H302" s="308" t="s">
        <v>157</v>
      </c>
      <c r="I302" s="152" t="s">
        <v>21</v>
      </c>
      <c r="J302" s="152" t="s">
        <v>21</v>
      </c>
      <c r="K302" s="152" t="s">
        <v>21</v>
      </c>
      <c r="L302" s="152" t="s">
        <v>21</v>
      </c>
      <c r="M302" s="331">
        <v>15000</v>
      </c>
      <c r="N302" s="331"/>
      <c r="O302" s="332"/>
      <c r="P302" s="115"/>
    </row>
    <row r="303" ht="15.75" spans="1:16">
      <c r="A303" s="115">
        <v>8</v>
      </c>
      <c r="B303" s="377" t="s">
        <v>311</v>
      </c>
      <c r="C303" s="377">
        <v>1</v>
      </c>
      <c r="D303" s="378">
        <v>3500</v>
      </c>
      <c r="E303" s="378">
        <v>3500</v>
      </c>
      <c r="F303" s="320" t="s">
        <v>312</v>
      </c>
      <c r="G303" s="320" t="s">
        <v>19</v>
      </c>
      <c r="H303" s="308" t="s">
        <v>157</v>
      </c>
      <c r="I303" s="333" t="s">
        <v>38</v>
      </c>
      <c r="J303" s="333" t="s">
        <v>38</v>
      </c>
      <c r="K303" s="333" t="s">
        <v>38</v>
      </c>
      <c r="L303" s="333" t="s">
        <v>38</v>
      </c>
      <c r="M303" s="115"/>
      <c r="N303" s="378"/>
      <c r="O303" s="378">
        <v>3500</v>
      </c>
      <c r="P303" s="378"/>
    </row>
    <row r="304" ht="15.75" spans="1:16">
      <c r="A304" s="115">
        <v>9</v>
      </c>
      <c r="B304" s="377" t="s">
        <v>313</v>
      </c>
      <c r="C304" s="377">
        <v>1</v>
      </c>
      <c r="D304" s="378">
        <v>2300</v>
      </c>
      <c r="E304" s="378">
        <v>2300</v>
      </c>
      <c r="F304" s="320" t="s">
        <v>312</v>
      </c>
      <c r="G304" s="320" t="s">
        <v>19</v>
      </c>
      <c r="H304" s="308" t="s">
        <v>157</v>
      </c>
      <c r="I304" s="333" t="s">
        <v>38</v>
      </c>
      <c r="J304" s="333" t="s">
        <v>38</v>
      </c>
      <c r="K304" s="333" t="s">
        <v>38</v>
      </c>
      <c r="L304" s="333" t="s">
        <v>38</v>
      </c>
      <c r="M304" s="378">
        <v>2300</v>
      </c>
      <c r="N304" s="378"/>
      <c r="O304" s="378"/>
      <c r="P304" s="378"/>
    </row>
    <row r="305" ht="15.75" spans="1:16">
      <c r="A305" s="115">
        <v>10</v>
      </c>
      <c r="B305" s="377" t="s">
        <v>314</v>
      </c>
      <c r="C305" s="377">
        <v>1</v>
      </c>
      <c r="D305" s="378">
        <v>40000</v>
      </c>
      <c r="E305" s="378">
        <v>40000</v>
      </c>
      <c r="F305" s="320" t="s">
        <v>312</v>
      </c>
      <c r="G305" s="320" t="s">
        <v>19</v>
      </c>
      <c r="H305" s="308" t="s">
        <v>157</v>
      </c>
      <c r="I305" s="333" t="s">
        <v>38</v>
      </c>
      <c r="J305" s="333" t="s">
        <v>38</v>
      </c>
      <c r="K305" s="333" t="s">
        <v>38</v>
      </c>
      <c r="L305" s="333" t="s">
        <v>38</v>
      </c>
      <c r="M305" s="378">
        <v>40000</v>
      </c>
      <c r="N305" s="378"/>
      <c r="O305" s="378"/>
      <c r="P305" s="378"/>
    </row>
    <row r="306" ht="15.75" spans="1:16">
      <c r="A306" s="115">
        <v>11</v>
      </c>
      <c r="B306" s="377" t="s">
        <v>315</v>
      </c>
      <c r="C306" s="377">
        <v>1</v>
      </c>
      <c r="D306" s="378">
        <v>3500</v>
      </c>
      <c r="E306" s="378">
        <v>3500</v>
      </c>
      <c r="F306" s="320" t="s">
        <v>312</v>
      </c>
      <c r="G306" s="320" t="s">
        <v>19</v>
      </c>
      <c r="H306" s="308" t="s">
        <v>157</v>
      </c>
      <c r="I306" s="333" t="s">
        <v>38</v>
      </c>
      <c r="J306" s="333" t="s">
        <v>38</v>
      </c>
      <c r="K306" s="333" t="s">
        <v>38</v>
      </c>
      <c r="L306" s="333" t="s">
        <v>38</v>
      </c>
      <c r="M306" s="378">
        <v>3500</v>
      </c>
      <c r="N306" s="378"/>
      <c r="O306" s="378"/>
      <c r="P306" s="378"/>
    </row>
    <row r="307" ht="15.75" spans="1:16">
      <c r="A307" s="115">
        <v>12</v>
      </c>
      <c r="B307" s="377" t="s">
        <v>316</v>
      </c>
      <c r="C307" s="377">
        <v>1</v>
      </c>
      <c r="D307" s="378">
        <v>3500</v>
      </c>
      <c r="E307" s="378">
        <v>3500</v>
      </c>
      <c r="F307" s="320" t="s">
        <v>312</v>
      </c>
      <c r="G307" s="320" t="s">
        <v>19</v>
      </c>
      <c r="H307" s="308" t="s">
        <v>157</v>
      </c>
      <c r="I307" s="333" t="s">
        <v>38</v>
      </c>
      <c r="J307" s="333" t="s">
        <v>38</v>
      </c>
      <c r="K307" s="333" t="s">
        <v>38</v>
      </c>
      <c r="L307" s="333" t="s">
        <v>38</v>
      </c>
      <c r="M307" s="378">
        <v>3500</v>
      </c>
      <c r="N307" s="378"/>
      <c r="O307" s="378"/>
      <c r="P307" s="378"/>
    </row>
    <row r="308" ht="15.75" spans="1:16">
      <c r="A308" s="115">
        <v>13</v>
      </c>
      <c r="B308" s="377" t="s">
        <v>317</v>
      </c>
      <c r="C308" s="377">
        <v>1</v>
      </c>
      <c r="D308" s="378">
        <v>4500</v>
      </c>
      <c r="E308" s="378">
        <v>4500</v>
      </c>
      <c r="F308" s="320" t="s">
        <v>312</v>
      </c>
      <c r="G308" s="320" t="s">
        <v>19</v>
      </c>
      <c r="H308" s="308" t="s">
        <v>157</v>
      </c>
      <c r="I308" s="333" t="s">
        <v>38</v>
      </c>
      <c r="J308" s="333" t="s">
        <v>38</v>
      </c>
      <c r="K308" s="333" t="s">
        <v>38</v>
      </c>
      <c r="L308" s="333" t="s">
        <v>38</v>
      </c>
      <c r="M308" s="378">
        <v>4500</v>
      </c>
      <c r="N308" s="378"/>
      <c r="O308" s="378"/>
      <c r="P308" s="378"/>
    </row>
    <row r="309" ht="15.75" spans="1:16">
      <c r="A309" s="115">
        <v>14</v>
      </c>
      <c r="B309" s="377" t="s">
        <v>318</v>
      </c>
      <c r="C309" s="377">
        <v>1</v>
      </c>
      <c r="D309" s="378">
        <v>2000</v>
      </c>
      <c r="E309" s="378">
        <v>2000</v>
      </c>
      <c r="F309" s="320" t="s">
        <v>312</v>
      </c>
      <c r="G309" s="320" t="s">
        <v>19</v>
      </c>
      <c r="H309" s="308" t="s">
        <v>157</v>
      </c>
      <c r="I309" s="333" t="s">
        <v>38</v>
      </c>
      <c r="J309" s="333" t="s">
        <v>38</v>
      </c>
      <c r="K309" s="333" t="s">
        <v>38</v>
      </c>
      <c r="L309" s="333" t="s">
        <v>38</v>
      </c>
      <c r="M309" s="378">
        <v>2000</v>
      </c>
      <c r="N309" s="378"/>
      <c r="O309" s="378"/>
      <c r="P309" s="378"/>
    </row>
    <row r="310" ht="15.75" spans="1:16">
      <c r="A310" s="115">
        <v>15</v>
      </c>
      <c r="B310" s="377" t="s">
        <v>319</v>
      </c>
      <c r="C310" s="377">
        <v>1</v>
      </c>
      <c r="D310" s="378">
        <v>3500</v>
      </c>
      <c r="E310" s="378">
        <v>3500</v>
      </c>
      <c r="F310" s="320" t="s">
        <v>312</v>
      </c>
      <c r="G310" s="320" t="s">
        <v>19</v>
      </c>
      <c r="H310" s="308" t="s">
        <v>157</v>
      </c>
      <c r="I310" s="333" t="s">
        <v>38</v>
      </c>
      <c r="J310" s="333" t="s">
        <v>38</v>
      </c>
      <c r="K310" s="333" t="s">
        <v>38</v>
      </c>
      <c r="L310" s="333" t="s">
        <v>38</v>
      </c>
      <c r="M310" s="378">
        <v>3500</v>
      </c>
      <c r="N310" s="378"/>
      <c r="O310" s="378"/>
      <c r="P310" s="378"/>
    </row>
    <row r="311" ht="15.75" spans="1:16">
      <c r="A311" s="115">
        <v>16</v>
      </c>
      <c r="B311" s="377" t="s">
        <v>320</v>
      </c>
      <c r="C311" s="377" t="s">
        <v>321</v>
      </c>
      <c r="D311" s="378">
        <v>2000</v>
      </c>
      <c r="E311" s="378">
        <v>2000</v>
      </c>
      <c r="F311" s="320" t="s">
        <v>312</v>
      </c>
      <c r="G311" s="320" t="s">
        <v>19</v>
      </c>
      <c r="H311" s="308" t="s">
        <v>157</v>
      </c>
      <c r="I311" s="333" t="s">
        <v>38</v>
      </c>
      <c r="J311" s="333" t="s">
        <v>38</v>
      </c>
      <c r="K311" s="333" t="s">
        <v>38</v>
      </c>
      <c r="L311" s="333" t="s">
        <v>38</v>
      </c>
      <c r="M311" s="378">
        <v>2000</v>
      </c>
      <c r="N311" s="378"/>
      <c r="O311" s="378"/>
      <c r="P311" s="378"/>
    </row>
    <row r="312" ht="15.75" spans="1:16">
      <c r="A312" s="115">
        <v>17</v>
      </c>
      <c r="B312" s="377" t="s">
        <v>322</v>
      </c>
      <c r="C312" s="377">
        <v>1</v>
      </c>
      <c r="D312" s="378">
        <v>2000</v>
      </c>
      <c r="E312" s="378">
        <v>2000</v>
      </c>
      <c r="F312" s="320" t="s">
        <v>312</v>
      </c>
      <c r="G312" s="320" t="s">
        <v>19</v>
      </c>
      <c r="H312" s="308" t="s">
        <v>157</v>
      </c>
      <c r="I312" s="333" t="s">
        <v>38</v>
      </c>
      <c r="J312" s="333" t="s">
        <v>38</v>
      </c>
      <c r="K312" s="333" t="s">
        <v>38</v>
      </c>
      <c r="L312" s="333" t="s">
        <v>38</v>
      </c>
      <c r="M312" s="378">
        <v>2000</v>
      </c>
      <c r="N312" s="378"/>
      <c r="O312" s="378"/>
      <c r="P312" s="378"/>
    </row>
    <row r="313" ht="15.75" spans="1:16">
      <c r="A313" s="115">
        <v>18</v>
      </c>
      <c r="B313" s="377" t="s">
        <v>323</v>
      </c>
      <c r="C313" s="377">
        <v>1</v>
      </c>
      <c r="D313" s="378">
        <v>500</v>
      </c>
      <c r="E313" s="378">
        <v>500</v>
      </c>
      <c r="F313" s="320" t="s">
        <v>312</v>
      </c>
      <c r="G313" s="320" t="s">
        <v>19</v>
      </c>
      <c r="H313" s="308" t="s">
        <v>157</v>
      </c>
      <c r="I313" s="333" t="s">
        <v>38</v>
      </c>
      <c r="J313" s="333" t="s">
        <v>38</v>
      </c>
      <c r="K313" s="333" t="s">
        <v>38</v>
      </c>
      <c r="L313" s="333" t="s">
        <v>38</v>
      </c>
      <c r="M313" s="378">
        <v>500</v>
      </c>
      <c r="N313" s="378"/>
      <c r="O313" s="378"/>
      <c r="P313" s="378"/>
    </row>
    <row r="314" ht="15.75" spans="1:16">
      <c r="A314" s="115">
        <v>19</v>
      </c>
      <c r="B314" s="377" t="s">
        <v>324</v>
      </c>
      <c r="C314" s="377">
        <v>1</v>
      </c>
      <c r="D314" s="378">
        <v>2500</v>
      </c>
      <c r="E314" s="378">
        <v>2500</v>
      </c>
      <c r="F314" s="320" t="s">
        <v>312</v>
      </c>
      <c r="G314" s="320" t="s">
        <v>19</v>
      </c>
      <c r="H314" s="308" t="s">
        <v>157</v>
      </c>
      <c r="I314" s="333" t="s">
        <v>38</v>
      </c>
      <c r="J314" s="333" t="s">
        <v>38</v>
      </c>
      <c r="K314" s="333" t="s">
        <v>38</v>
      </c>
      <c r="L314" s="333" t="s">
        <v>38</v>
      </c>
      <c r="M314" s="378">
        <v>2500</v>
      </c>
      <c r="N314" s="378"/>
      <c r="O314" s="378"/>
      <c r="P314" s="378"/>
    </row>
    <row r="315" ht="15.75" spans="1:16">
      <c r="A315" s="115">
        <v>20</v>
      </c>
      <c r="B315" s="377" t="s">
        <v>325</v>
      </c>
      <c r="C315" s="377">
        <v>1</v>
      </c>
      <c r="D315" s="378">
        <v>3500</v>
      </c>
      <c r="E315" s="378">
        <v>3500</v>
      </c>
      <c r="F315" s="320" t="s">
        <v>312</v>
      </c>
      <c r="G315" s="320" t="s">
        <v>19</v>
      </c>
      <c r="H315" s="308" t="s">
        <v>157</v>
      </c>
      <c r="I315" s="333" t="s">
        <v>38</v>
      </c>
      <c r="J315" s="333" t="s">
        <v>38</v>
      </c>
      <c r="K315" s="333" t="s">
        <v>38</v>
      </c>
      <c r="L315" s="333" t="s">
        <v>38</v>
      </c>
      <c r="M315" s="378">
        <v>3500</v>
      </c>
      <c r="N315" s="378"/>
      <c r="O315" s="378"/>
      <c r="P315" s="378"/>
    </row>
    <row r="316" ht="31.5" spans="1:16">
      <c r="A316" s="115">
        <v>21</v>
      </c>
      <c r="B316" s="377" t="s">
        <v>326</v>
      </c>
      <c r="C316" s="377">
        <v>1</v>
      </c>
      <c r="D316" s="378">
        <v>55000</v>
      </c>
      <c r="E316" s="378">
        <v>55000</v>
      </c>
      <c r="F316" s="320" t="s">
        <v>312</v>
      </c>
      <c r="G316" s="320" t="s">
        <v>19</v>
      </c>
      <c r="H316" s="308" t="s">
        <v>157</v>
      </c>
      <c r="I316" s="333" t="s">
        <v>38</v>
      </c>
      <c r="J316" s="333" t="s">
        <v>38</v>
      </c>
      <c r="K316" s="333" t="s">
        <v>38</v>
      </c>
      <c r="L316" s="333" t="s">
        <v>38</v>
      </c>
      <c r="M316" s="378">
        <v>55000</v>
      </c>
      <c r="N316" s="378"/>
      <c r="O316" s="378"/>
      <c r="P316" s="378"/>
    </row>
    <row r="317" ht="15.75" spans="1:16">
      <c r="A317" s="115">
        <v>22</v>
      </c>
      <c r="B317" s="377" t="s">
        <v>327</v>
      </c>
      <c r="C317" s="377">
        <v>1</v>
      </c>
      <c r="D317" s="378">
        <v>6000</v>
      </c>
      <c r="E317" s="378">
        <v>6000</v>
      </c>
      <c r="F317" s="320" t="s">
        <v>312</v>
      </c>
      <c r="G317" s="320" t="s">
        <v>19</v>
      </c>
      <c r="H317" s="308" t="s">
        <v>157</v>
      </c>
      <c r="I317" s="333" t="s">
        <v>38</v>
      </c>
      <c r="J317" s="333" t="s">
        <v>38</v>
      </c>
      <c r="K317" s="333" t="s">
        <v>38</v>
      </c>
      <c r="L317" s="333" t="s">
        <v>38</v>
      </c>
      <c r="M317" s="378">
        <v>6000</v>
      </c>
      <c r="N317" s="378"/>
      <c r="O317" s="378"/>
      <c r="P317" s="378"/>
    </row>
    <row r="318" ht="15.75" spans="1:16">
      <c r="A318" s="115">
        <v>23</v>
      </c>
      <c r="B318" s="377" t="s">
        <v>328</v>
      </c>
      <c r="C318" s="377">
        <v>1</v>
      </c>
      <c r="D318" s="378">
        <v>3500</v>
      </c>
      <c r="E318" s="378">
        <v>3500</v>
      </c>
      <c r="F318" s="320" t="s">
        <v>312</v>
      </c>
      <c r="G318" s="320" t="s">
        <v>19</v>
      </c>
      <c r="H318" s="308" t="s">
        <v>157</v>
      </c>
      <c r="I318" s="333" t="s">
        <v>38</v>
      </c>
      <c r="J318" s="333" t="s">
        <v>38</v>
      </c>
      <c r="K318" s="333" t="s">
        <v>38</v>
      </c>
      <c r="L318" s="333" t="s">
        <v>38</v>
      </c>
      <c r="M318" s="378">
        <v>3500</v>
      </c>
      <c r="N318" s="378"/>
      <c r="O318" s="378"/>
      <c r="P318" s="378"/>
    </row>
    <row r="319" ht="15.75" spans="1:16">
      <c r="A319" s="115">
        <v>24</v>
      </c>
      <c r="B319" s="377" t="s">
        <v>329</v>
      </c>
      <c r="C319" s="383" t="s">
        <v>330</v>
      </c>
      <c r="D319" s="378">
        <v>7500</v>
      </c>
      <c r="E319" s="378">
        <v>7500</v>
      </c>
      <c r="F319" s="320" t="s">
        <v>312</v>
      </c>
      <c r="G319" s="320" t="s">
        <v>19</v>
      </c>
      <c r="H319" s="308" t="s">
        <v>157</v>
      </c>
      <c r="I319" s="333" t="s">
        <v>38</v>
      </c>
      <c r="J319" s="333" t="s">
        <v>38</v>
      </c>
      <c r="K319" s="333" t="s">
        <v>38</v>
      </c>
      <c r="L319" s="333" t="s">
        <v>38</v>
      </c>
      <c r="M319" s="378">
        <v>7500</v>
      </c>
      <c r="N319" s="378"/>
      <c r="O319" s="378"/>
      <c r="P319" s="378"/>
    </row>
    <row r="320" ht="15.75" spans="1:16">
      <c r="A320" s="115">
        <v>25</v>
      </c>
      <c r="B320" s="377" t="s">
        <v>331</v>
      </c>
      <c r="C320" s="377">
        <v>1</v>
      </c>
      <c r="D320" s="378">
        <v>15000</v>
      </c>
      <c r="E320" s="378">
        <v>15000</v>
      </c>
      <c r="F320" s="320" t="s">
        <v>312</v>
      </c>
      <c r="G320" s="320" t="s">
        <v>19</v>
      </c>
      <c r="H320" s="308" t="s">
        <v>157</v>
      </c>
      <c r="I320" s="333" t="s">
        <v>38</v>
      </c>
      <c r="J320" s="333" t="s">
        <v>38</v>
      </c>
      <c r="K320" s="333" t="s">
        <v>38</v>
      </c>
      <c r="L320" s="333" t="s">
        <v>38</v>
      </c>
      <c r="M320" s="378">
        <v>15000</v>
      </c>
      <c r="N320" s="378"/>
      <c r="O320" s="378"/>
      <c r="P320" s="378"/>
    </row>
    <row r="321" ht="15.75" spans="1:16">
      <c r="A321" s="115">
        <v>26</v>
      </c>
      <c r="B321" s="377" t="s">
        <v>332</v>
      </c>
      <c r="C321" s="377">
        <v>1</v>
      </c>
      <c r="D321" s="378">
        <v>12000</v>
      </c>
      <c r="E321" s="378">
        <v>12000</v>
      </c>
      <c r="F321" s="320" t="s">
        <v>312</v>
      </c>
      <c r="G321" s="320" t="s">
        <v>19</v>
      </c>
      <c r="H321" s="308" t="s">
        <v>157</v>
      </c>
      <c r="I321" s="333" t="s">
        <v>38</v>
      </c>
      <c r="J321" s="333" t="s">
        <v>38</v>
      </c>
      <c r="K321" s="333" t="s">
        <v>38</v>
      </c>
      <c r="L321" s="333" t="s">
        <v>38</v>
      </c>
      <c r="M321" s="378">
        <v>12000</v>
      </c>
      <c r="N321" s="378"/>
      <c r="O321" s="378"/>
      <c r="P321" s="378"/>
    </row>
    <row r="322" ht="15.75" spans="1:16">
      <c r="A322" s="115">
        <v>27</v>
      </c>
      <c r="B322" s="377" t="s">
        <v>333</v>
      </c>
      <c r="C322" s="377">
        <v>1</v>
      </c>
      <c r="D322" s="378">
        <v>45000</v>
      </c>
      <c r="E322" s="378">
        <v>45000</v>
      </c>
      <c r="F322" s="320" t="s">
        <v>312</v>
      </c>
      <c r="G322" s="320" t="s">
        <v>19</v>
      </c>
      <c r="H322" s="308" t="s">
        <v>157</v>
      </c>
      <c r="I322" s="333" t="s">
        <v>38</v>
      </c>
      <c r="J322" s="333" t="s">
        <v>38</v>
      </c>
      <c r="K322" s="333" t="s">
        <v>38</v>
      </c>
      <c r="L322" s="333" t="s">
        <v>38</v>
      </c>
      <c r="M322" s="378">
        <v>45000</v>
      </c>
      <c r="N322" s="378"/>
      <c r="O322" s="378"/>
      <c r="P322" s="378"/>
    </row>
    <row r="323" ht="31.5" spans="1:16">
      <c r="A323" s="115">
        <v>28</v>
      </c>
      <c r="B323" s="377" t="s">
        <v>334</v>
      </c>
      <c r="C323" s="378">
        <v>1</v>
      </c>
      <c r="D323" s="378">
        <v>3500</v>
      </c>
      <c r="E323" s="378">
        <v>3500</v>
      </c>
      <c r="F323" s="320" t="s">
        <v>312</v>
      </c>
      <c r="G323" s="320" t="s">
        <v>19</v>
      </c>
      <c r="H323" s="308" t="s">
        <v>157</v>
      </c>
      <c r="I323" s="333" t="s">
        <v>38</v>
      </c>
      <c r="J323" s="333" t="s">
        <v>38</v>
      </c>
      <c r="K323" s="333" t="s">
        <v>38</v>
      </c>
      <c r="L323" s="333" t="s">
        <v>38</v>
      </c>
      <c r="M323" s="378">
        <v>3500</v>
      </c>
      <c r="N323" s="378"/>
      <c r="O323" s="378"/>
      <c r="P323" s="378"/>
    </row>
    <row r="324" ht="15.75" spans="1:16">
      <c r="A324" s="115">
        <v>29</v>
      </c>
      <c r="B324" s="115" t="s">
        <v>335</v>
      </c>
      <c r="C324" s="115">
        <v>1</v>
      </c>
      <c r="D324" s="115">
        <v>60000</v>
      </c>
      <c r="E324" s="115">
        <f>D324*1</f>
        <v>60000</v>
      </c>
      <c r="F324" s="308" t="s">
        <v>40</v>
      </c>
      <c r="G324" s="320" t="s">
        <v>19</v>
      </c>
      <c r="H324" s="308" t="s">
        <v>157</v>
      </c>
      <c r="I324" s="333" t="s">
        <v>38</v>
      </c>
      <c r="J324" s="333" t="s">
        <v>38</v>
      </c>
      <c r="K324" s="333" t="s">
        <v>38</v>
      </c>
      <c r="L324" s="333" t="s">
        <v>38</v>
      </c>
      <c r="M324" s="115"/>
      <c r="N324" s="115"/>
      <c r="O324" s="115">
        <v>60000</v>
      </c>
      <c r="P324" s="115"/>
    </row>
    <row r="325" ht="15.75" spans="1:16">
      <c r="A325" s="115">
        <v>30</v>
      </c>
      <c r="B325" s="115" t="s">
        <v>336</v>
      </c>
      <c r="C325" s="115">
        <v>1</v>
      </c>
      <c r="D325" s="115">
        <v>20000</v>
      </c>
      <c r="E325" s="115">
        <f>D325*1</f>
        <v>20000</v>
      </c>
      <c r="F325" s="308" t="s">
        <v>40</v>
      </c>
      <c r="G325" s="320" t="s">
        <v>19</v>
      </c>
      <c r="H325" s="308" t="s">
        <v>157</v>
      </c>
      <c r="I325" s="333" t="s">
        <v>38</v>
      </c>
      <c r="J325" s="333" t="s">
        <v>38</v>
      </c>
      <c r="K325" s="333" t="s">
        <v>38</v>
      </c>
      <c r="L325" s="333" t="s">
        <v>38</v>
      </c>
      <c r="M325" s="115"/>
      <c r="N325" s="115"/>
      <c r="O325" s="115">
        <v>20000</v>
      </c>
      <c r="P325" s="115"/>
    </row>
    <row r="326" ht="15.75" spans="1:16">
      <c r="A326" s="115">
        <v>31</v>
      </c>
      <c r="B326" s="115" t="s">
        <v>337</v>
      </c>
      <c r="C326" s="115">
        <v>1</v>
      </c>
      <c r="D326" s="115">
        <v>35000</v>
      </c>
      <c r="E326" s="115">
        <v>35000</v>
      </c>
      <c r="F326" s="308" t="s">
        <v>40</v>
      </c>
      <c r="G326" s="320" t="s">
        <v>19</v>
      </c>
      <c r="H326" s="308" t="s">
        <v>157</v>
      </c>
      <c r="I326" s="333" t="s">
        <v>38</v>
      </c>
      <c r="J326" s="333" t="s">
        <v>38</v>
      </c>
      <c r="K326" s="333" t="s">
        <v>38</v>
      </c>
      <c r="L326" s="333" t="s">
        <v>38</v>
      </c>
      <c r="M326" s="115">
        <v>35000</v>
      </c>
      <c r="N326" s="115"/>
      <c r="O326" s="115"/>
      <c r="P326" s="115"/>
    </row>
    <row r="327" ht="15.75" spans="1:16">
      <c r="A327" s="115">
        <v>32</v>
      </c>
      <c r="B327" s="321" t="s">
        <v>338</v>
      </c>
      <c r="C327" s="321">
        <v>5</v>
      </c>
      <c r="D327" s="115">
        <v>4500</v>
      </c>
      <c r="E327" s="115">
        <f>C327*D327</f>
        <v>22500</v>
      </c>
      <c r="F327" s="308" t="s">
        <v>42</v>
      </c>
      <c r="G327" s="320" t="s">
        <v>19</v>
      </c>
      <c r="H327" s="308" t="s">
        <v>157</v>
      </c>
      <c r="I327" s="333" t="s">
        <v>38</v>
      </c>
      <c r="J327" s="333" t="s">
        <v>38</v>
      </c>
      <c r="K327" s="333" t="s">
        <v>38</v>
      </c>
      <c r="L327" s="333" t="s">
        <v>38</v>
      </c>
      <c r="M327" s="115">
        <v>22500</v>
      </c>
      <c r="N327" s="115"/>
      <c r="O327" s="115"/>
      <c r="P327" s="115"/>
    </row>
    <row r="328" ht="15.75" spans="1:16">
      <c r="A328" s="115">
        <v>33</v>
      </c>
      <c r="B328" s="321" t="s">
        <v>339</v>
      </c>
      <c r="C328" s="321">
        <v>1</v>
      </c>
      <c r="D328" s="317">
        <v>20000</v>
      </c>
      <c r="E328" s="317">
        <f>C328*D328</f>
        <v>20000</v>
      </c>
      <c r="F328" s="308" t="s">
        <v>42</v>
      </c>
      <c r="G328" s="320" t="s">
        <v>19</v>
      </c>
      <c r="H328" s="308" t="s">
        <v>157</v>
      </c>
      <c r="I328" s="333" t="s">
        <v>38</v>
      </c>
      <c r="J328" s="333" t="s">
        <v>38</v>
      </c>
      <c r="K328" s="333" t="s">
        <v>38</v>
      </c>
      <c r="L328" s="333" t="s">
        <v>38</v>
      </c>
      <c r="M328" s="331">
        <v>20000</v>
      </c>
      <c r="N328" s="331"/>
      <c r="O328" s="331"/>
      <c r="P328" s="115"/>
    </row>
    <row r="329" ht="15.75" spans="1:16">
      <c r="A329" s="115">
        <v>34</v>
      </c>
      <c r="B329" s="115" t="s">
        <v>340</v>
      </c>
      <c r="C329" s="115">
        <v>3</v>
      </c>
      <c r="D329" s="115">
        <v>6500</v>
      </c>
      <c r="E329" s="115">
        <f>6500*3</f>
        <v>19500</v>
      </c>
      <c r="F329" s="308" t="s">
        <v>40</v>
      </c>
      <c r="G329" s="320" t="s">
        <v>19</v>
      </c>
      <c r="H329" s="308" t="s">
        <v>157</v>
      </c>
      <c r="I329" s="333" t="s">
        <v>38</v>
      </c>
      <c r="J329" s="333" t="s">
        <v>38</v>
      </c>
      <c r="K329" s="333" t="s">
        <v>38</v>
      </c>
      <c r="L329" s="333" t="s">
        <v>38</v>
      </c>
      <c r="M329" s="115">
        <v>19500</v>
      </c>
      <c r="N329" s="115"/>
      <c r="O329" s="115"/>
      <c r="P329" s="115"/>
    </row>
    <row r="330" ht="15.75" spans="1:16">
      <c r="A330" s="115">
        <v>35</v>
      </c>
      <c r="B330" s="115" t="s">
        <v>341</v>
      </c>
      <c r="C330" s="115"/>
      <c r="D330" s="115">
        <v>50000</v>
      </c>
      <c r="E330" s="115">
        <v>50000</v>
      </c>
      <c r="F330" s="308" t="s">
        <v>40</v>
      </c>
      <c r="G330" s="320" t="s">
        <v>19</v>
      </c>
      <c r="H330" s="308" t="s">
        <v>157</v>
      </c>
      <c r="I330" s="333" t="s">
        <v>38</v>
      </c>
      <c r="J330" s="333" t="s">
        <v>38</v>
      </c>
      <c r="K330" s="333" t="s">
        <v>38</v>
      </c>
      <c r="L330" s="333" t="s">
        <v>38</v>
      </c>
      <c r="M330" s="115"/>
      <c r="N330" s="115">
        <v>50000</v>
      </c>
      <c r="O330" s="115"/>
      <c r="P330" s="115"/>
    </row>
    <row r="331" ht="15.75" spans="1:16">
      <c r="A331" s="115">
        <v>36</v>
      </c>
      <c r="B331" s="115" t="s">
        <v>342</v>
      </c>
      <c r="C331" s="115">
        <v>2</v>
      </c>
      <c r="D331" s="115">
        <v>4500</v>
      </c>
      <c r="E331" s="115">
        <f>D331*2</f>
        <v>9000</v>
      </c>
      <c r="F331" s="308" t="s">
        <v>40</v>
      </c>
      <c r="G331" s="320" t="s">
        <v>19</v>
      </c>
      <c r="H331" s="308" t="s">
        <v>157</v>
      </c>
      <c r="I331" s="333" t="s">
        <v>38</v>
      </c>
      <c r="J331" s="333" t="s">
        <v>38</v>
      </c>
      <c r="K331" s="333" t="s">
        <v>38</v>
      </c>
      <c r="L331" s="333" t="s">
        <v>38</v>
      </c>
      <c r="M331" s="115">
        <v>9000</v>
      </c>
      <c r="N331" s="115"/>
      <c r="O331" s="115"/>
      <c r="P331" s="115"/>
    </row>
    <row r="332" ht="15.75" spans="1:16">
      <c r="A332" s="115">
        <v>37</v>
      </c>
      <c r="B332" s="115" t="s">
        <v>343</v>
      </c>
      <c r="C332" s="115">
        <v>4</v>
      </c>
      <c r="D332" s="319">
        <v>10000</v>
      </c>
      <c r="E332" s="115">
        <f>D332*4</f>
        <v>40000</v>
      </c>
      <c r="F332" s="308" t="s">
        <v>40</v>
      </c>
      <c r="G332" s="320" t="s">
        <v>19</v>
      </c>
      <c r="H332" s="308" t="s">
        <v>157</v>
      </c>
      <c r="I332" s="333" t="s">
        <v>38</v>
      </c>
      <c r="J332" s="333" t="s">
        <v>38</v>
      </c>
      <c r="K332" s="333" t="s">
        <v>38</v>
      </c>
      <c r="L332" s="333" t="s">
        <v>38</v>
      </c>
      <c r="M332" s="115">
        <v>40000</v>
      </c>
      <c r="N332" s="115"/>
      <c r="O332" s="115"/>
      <c r="P332" s="115"/>
    </row>
    <row r="333" ht="15.75" spans="1:16">
      <c r="A333" s="115">
        <v>38</v>
      </c>
      <c r="B333" s="313" t="s">
        <v>344</v>
      </c>
      <c r="C333" s="313">
        <v>6</v>
      </c>
      <c r="D333" s="313">
        <v>5000</v>
      </c>
      <c r="E333" s="115">
        <f>D333*6</f>
        <v>30000</v>
      </c>
      <c r="F333" s="308" t="s">
        <v>40</v>
      </c>
      <c r="G333" s="320" t="s">
        <v>19</v>
      </c>
      <c r="H333" s="308" t="s">
        <v>157</v>
      </c>
      <c r="I333" s="333" t="s">
        <v>38</v>
      </c>
      <c r="J333" s="333" t="s">
        <v>38</v>
      </c>
      <c r="K333" s="333" t="s">
        <v>38</v>
      </c>
      <c r="L333" s="333" t="s">
        <v>38</v>
      </c>
      <c r="M333" s="115">
        <v>30000</v>
      </c>
      <c r="N333" s="115"/>
      <c r="O333" s="115"/>
      <c r="P333" s="115"/>
    </row>
    <row r="334" ht="15.75" spans="1:16">
      <c r="A334" s="115">
        <v>39</v>
      </c>
      <c r="B334" s="321" t="s">
        <v>345</v>
      </c>
      <c r="C334" s="321">
        <v>1</v>
      </c>
      <c r="D334" s="385">
        <v>20000</v>
      </c>
      <c r="E334" s="317">
        <f>C334*D334</f>
        <v>20000</v>
      </c>
      <c r="F334" s="308" t="s">
        <v>42</v>
      </c>
      <c r="G334" s="320" t="s">
        <v>19</v>
      </c>
      <c r="H334" s="308" t="s">
        <v>157</v>
      </c>
      <c r="I334" s="333" t="s">
        <v>38</v>
      </c>
      <c r="J334" s="333" t="s">
        <v>38</v>
      </c>
      <c r="K334" s="333" t="s">
        <v>38</v>
      </c>
      <c r="L334" s="333" t="s">
        <v>38</v>
      </c>
      <c r="M334" s="331">
        <v>20000</v>
      </c>
      <c r="N334" s="331"/>
      <c r="O334" s="331"/>
      <c r="P334" s="332"/>
    </row>
    <row r="335" spans="1:16">
      <c r="A335" s="115"/>
      <c r="B335" s="306" t="s">
        <v>22</v>
      </c>
      <c r="C335" s="115"/>
      <c r="D335" s="115"/>
      <c r="E335" s="324">
        <f>SUM(E296:E334)</f>
        <v>822300</v>
      </c>
      <c r="F335" s="115"/>
      <c r="G335" s="115"/>
      <c r="H335" s="115"/>
      <c r="I335" s="115"/>
      <c r="J335" s="115"/>
      <c r="K335" s="115"/>
      <c r="L335" s="115"/>
      <c r="M335" s="115"/>
      <c r="N335" s="115"/>
      <c r="O335" s="115"/>
      <c r="P335" s="115"/>
    </row>
    <row r="336" spans="1:16">
      <c r="A336" s="115"/>
      <c r="B336" s="115"/>
      <c r="C336" s="115"/>
      <c r="D336" s="115"/>
      <c r="E336" s="115"/>
      <c r="F336" s="115"/>
      <c r="G336" s="115"/>
      <c r="H336" s="115"/>
      <c r="I336" s="115"/>
      <c r="J336" s="115"/>
      <c r="K336" s="115"/>
      <c r="L336" s="115"/>
      <c r="M336" s="115"/>
      <c r="N336" s="115"/>
      <c r="O336" s="115"/>
      <c r="P336" s="115"/>
    </row>
    <row r="337" spans="1:16">
      <c r="A337" s="115"/>
      <c r="B337" s="115"/>
      <c r="C337" s="115"/>
      <c r="D337" s="115"/>
      <c r="E337" s="115"/>
      <c r="F337" s="115"/>
      <c r="G337" s="115"/>
      <c r="H337" s="115"/>
      <c r="I337" s="115"/>
      <c r="J337" s="115"/>
      <c r="K337" s="115"/>
      <c r="L337" s="115"/>
      <c r="M337" s="115"/>
      <c r="N337" s="115"/>
      <c r="O337" s="115"/>
      <c r="P337" s="115"/>
    </row>
    <row r="338" spans="1:16">
      <c r="A338" s="306" t="s">
        <v>346</v>
      </c>
      <c r="B338" s="115"/>
      <c r="C338" s="115"/>
      <c r="D338" s="115"/>
      <c r="E338" s="115"/>
      <c r="F338" s="115"/>
      <c r="G338" s="115"/>
      <c r="H338" s="115"/>
      <c r="I338" s="115"/>
      <c r="J338" s="115"/>
      <c r="K338" s="115"/>
      <c r="L338" s="115"/>
      <c r="M338" s="115"/>
      <c r="N338" s="115"/>
      <c r="O338" s="115"/>
      <c r="P338" s="115"/>
    </row>
    <row r="339" ht="15.75" spans="1:16">
      <c r="A339" s="115"/>
      <c r="B339" s="339" t="s">
        <v>347</v>
      </c>
      <c r="C339" s="340">
        <v>1</v>
      </c>
      <c r="D339" s="341">
        <v>120000</v>
      </c>
      <c r="E339" s="341">
        <f>C339*D339</f>
        <v>120000</v>
      </c>
      <c r="F339" s="318" t="s">
        <v>104</v>
      </c>
      <c r="G339" s="308" t="s">
        <v>19</v>
      </c>
      <c r="H339" s="308" t="s">
        <v>157</v>
      </c>
      <c r="I339" s="152" t="s">
        <v>21</v>
      </c>
      <c r="J339" s="152" t="s">
        <v>21</v>
      </c>
      <c r="K339" s="152" t="s">
        <v>21</v>
      </c>
      <c r="L339" s="152" t="s">
        <v>21</v>
      </c>
      <c r="M339" s="331"/>
      <c r="N339" s="331">
        <v>120000</v>
      </c>
      <c r="O339" s="331"/>
      <c r="P339" s="332"/>
    </row>
    <row r="340" ht="15.75" spans="1:16">
      <c r="A340" s="115"/>
      <c r="B340" s="339" t="s">
        <v>348</v>
      </c>
      <c r="C340" s="340">
        <v>1</v>
      </c>
      <c r="D340" s="341">
        <v>120000</v>
      </c>
      <c r="E340" s="341">
        <f>C340*D340</f>
        <v>120000</v>
      </c>
      <c r="F340" s="318" t="s">
        <v>104</v>
      </c>
      <c r="G340" s="308" t="s">
        <v>19</v>
      </c>
      <c r="H340" s="308" t="s">
        <v>157</v>
      </c>
      <c r="I340" s="152" t="s">
        <v>21</v>
      </c>
      <c r="J340" s="152" t="s">
        <v>21</v>
      </c>
      <c r="K340" s="152" t="s">
        <v>21</v>
      </c>
      <c r="L340" s="152" t="s">
        <v>21</v>
      </c>
      <c r="M340" s="328"/>
      <c r="N340" s="328">
        <v>120000</v>
      </c>
      <c r="O340" s="328"/>
      <c r="P340" s="328"/>
    </row>
    <row r="341" ht="15.75" spans="1:16">
      <c r="A341" s="115"/>
      <c r="B341" s="339" t="s">
        <v>349</v>
      </c>
      <c r="C341" s="340">
        <v>1</v>
      </c>
      <c r="D341" s="341">
        <v>200000</v>
      </c>
      <c r="E341" s="341">
        <f>C341*D341</f>
        <v>200000</v>
      </c>
      <c r="F341" s="318" t="s">
        <v>104</v>
      </c>
      <c r="G341" s="308" t="s">
        <v>19</v>
      </c>
      <c r="H341" s="308" t="s">
        <v>157</v>
      </c>
      <c r="I341" s="152" t="s">
        <v>21</v>
      </c>
      <c r="J341" s="152" t="s">
        <v>21</v>
      </c>
      <c r="K341" s="152" t="s">
        <v>21</v>
      </c>
      <c r="L341" s="152" t="s">
        <v>21</v>
      </c>
      <c r="M341" s="331"/>
      <c r="N341" s="331">
        <v>100000</v>
      </c>
      <c r="O341" s="332"/>
      <c r="P341" s="115">
        <v>100000</v>
      </c>
    </row>
    <row r="342" ht="15.75" spans="1:16">
      <c r="A342" s="115"/>
      <c r="B342" s="386" t="s">
        <v>350</v>
      </c>
      <c r="C342" s="340"/>
      <c r="D342" s="341"/>
      <c r="E342" s="341"/>
      <c r="F342" s="318" t="s">
        <v>104</v>
      </c>
      <c r="G342" s="308" t="s">
        <v>19</v>
      </c>
      <c r="H342" s="308" t="s">
        <v>157</v>
      </c>
      <c r="I342" s="152" t="s">
        <v>21</v>
      </c>
      <c r="J342" s="152" t="s">
        <v>21</v>
      </c>
      <c r="K342" s="152" t="s">
        <v>21</v>
      </c>
      <c r="L342" s="152" t="s">
        <v>21</v>
      </c>
      <c r="M342" s="331"/>
      <c r="N342" s="331"/>
      <c r="O342" s="331"/>
      <c r="P342" s="332"/>
    </row>
    <row r="343" ht="15.75" spans="1:16">
      <c r="A343" s="115"/>
      <c r="B343" s="348" t="s">
        <v>350</v>
      </c>
      <c r="C343" s="340">
        <v>1</v>
      </c>
      <c r="D343" s="341">
        <v>224000</v>
      </c>
      <c r="E343" s="341">
        <f>C343*D343</f>
        <v>224000</v>
      </c>
      <c r="F343" s="318" t="s">
        <v>104</v>
      </c>
      <c r="G343" s="308" t="s">
        <v>19</v>
      </c>
      <c r="H343" s="308" t="s">
        <v>157</v>
      </c>
      <c r="I343" s="152" t="s">
        <v>21</v>
      </c>
      <c r="J343" s="152" t="s">
        <v>21</v>
      </c>
      <c r="K343" s="152" t="s">
        <v>21</v>
      </c>
      <c r="L343" s="152" t="s">
        <v>21</v>
      </c>
      <c r="M343" s="328">
        <v>224000</v>
      </c>
      <c r="N343" s="328"/>
      <c r="O343" s="328"/>
      <c r="P343" s="328"/>
    </row>
    <row r="344" ht="15.75" spans="1:16">
      <c r="A344" s="306"/>
      <c r="B344" s="362" t="s">
        <v>22</v>
      </c>
      <c r="C344" s="387"/>
      <c r="D344" s="387"/>
      <c r="E344" s="388">
        <f>SUM(E339:E343)</f>
        <v>664000</v>
      </c>
      <c r="F344" s="348"/>
      <c r="G344" s="349"/>
      <c r="H344" s="350"/>
      <c r="I344" s="152"/>
      <c r="J344" s="152"/>
      <c r="K344" s="152"/>
      <c r="L344" s="152"/>
      <c r="M344" s="311"/>
      <c r="N344" s="311"/>
      <c r="O344" s="311"/>
      <c r="P344" s="311"/>
    </row>
    <row r="345" spans="1:16">
      <c r="A345" s="115"/>
      <c r="B345" s="115"/>
      <c r="C345" s="115"/>
      <c r="D345" s="115"/>
      <c r="E345" s="115"/>
      <c r="F345" s="115"/>
      <c r="G345" s="115"/>
      <c r="H345" s="115"/>
      <c r="I345" s="115"/>
      <c r="J345" s="115"/>
      <c r="K345" s="115"/>
      <c r="L345" s="115"/>
      <c r="M345" s="115"/>
      <c r="N345" s="115"/>
      <c r="O345" s="115"/>
      <c r="P345" s="115"/>
    </row>
    <row r="346" spans="1:16">
      <c r="A346" s="115" t="s">
        <v>351</v>
      </c>
      <c r="B346" s="115"/>
      <c r="C346" s="115"/>
      <c r="D346" s="115"/>
      <c r="E346" s="115"/>
      <c r="F346" s="115"/>
      <c r="G346" s="115"/>
      <c r="H346" s="115"/>
      <c r="I346" s="115"/>
      <c r="J346" s="115"/>
      <c r="K346" s="115"/>
      <c r="L346" s="115"/>
      <c r="M346" s="115"/>
      <c r="N346" s="115"/>
      <c r="O346" s="115"/>
      <c r="P346" s="115"/>
    </row>
    <row r="347" ht="15.75" spans="1:16">
      <c r="A347" s="115">
        <v>1</v>
      </c>
      <c r="B347" s="321" t="s">
        <v>352</v>
      </c>
      <c r="C347" s="321">
        <v>4</v>
      </c>
      <c r="D347" s="115">
        <v>27000</v>
      </c>
      <c r="E347" s="310">
        <f>C347*D347</f>
        <v>108000</v>
      </c>
      <c r="F347" s="308" t="s">
        <v>42</v>
      </c>
      <c r="G347" s="320" t="s">
        <v>19</v>
      </c>
      <c r="H347" s="308" t="s">
        <v>157</v>
      </c>
      <c r="I347" s="333" t="s">
        <v>38</v>
      </c>
      <c r="J347" s="333" t="s">
        <v>38</v>
      </c>
      <c r="K347" s="333" t="s">
        <v>38</v>
      </c>
      <c r="L347" s="333" t="s">
        <v>38</v>
      </c>
      <c r="M347" s="115">
        <v>108000</v>
      </c>
      <c r="N347" s="115"/>
      <c r="O347" s="115"/>
      <c r="P347" s="71"/>
    </row>
    <row r="348" ht="15.75" spans="1:16">
      <c r="A348" s="115"/>
      <c r="B348" s="321"/>
      <c r="C348" s="321"/>
      <c r="D348" s="115"/>
      <c r="E348" s="310"/>
      <c r="F348" s="308"/>
      <c r="G348" s="320"/>
      <c r="H348" s="308"/>
      <c r="I348" s="333"/>
      <c r="J348" s="333"/>
      <c r="K348" s="333"/>
      <c r="L348" s="333"/>
      <c r="M348" s="115"/>
      <c r="N348" s="115"/>
      <c r="O348" s="115"/>
      <c r="P348" s="71"/>
    </row>
    <row r="349" ht="15.75" spans="1:16">
      <c r="A349" s="306"/>
      <c r="B349" s="344" t="s">
        <v>22</v>
      </c>
      <c r="C349" s="344"/>
      <c r="D349" s="309">
        <f>SUM(D347:D348)</f>
        <v>27000</v>
      </c>
      <c r="E349" s="310"/>
      <c r="F349" s="308"/>
      <c r="G349" s="320"/>
      <c r="H349" s="308"/>
      <c r="I349" s="333"/>
      <c r="J349" s="333"/>
      <c r="K349" s="333"/>
      <c r="L349" s="333"/>
      <c r="M349" s="115"/>
      <c r="N349" s="115"/>
      <c r="O349" s="115"/>
      <c r="P349" s="71"/>
    </row>
    <row r="350" spans="1:16">
      <c r="A350" s="115"/>
      <c r="B350" s="115"/>
      <c r="C350" s="115"/>
      <c r="D350" s="115"/>
      <c r="E350" s="115"/>
      <c r="F350" s="115"/>
      <c r="G350" s="115"/>
      <c r="H350" s="115"/>
      <c r="I350" s="115"/>
      <c r="J350" s="115"/>
      <c r="K350" s="115"/>
      <c r="L350" s="115"/>
      <c r="M350" s="115"/>
      <c r="N350" s="115"/>
      <c r="O350" s="115"/>
      <c r="P350" s="115"/>
    </row>
    <row r="351" spans="1:16">
      <c r="A351" s="306" t="s">
        <v>353</v>
      </c>
      <c r="B351" s="306"/>
      <c r="C351" s="115"/>
      <c r="D351" s="115"/>
      <c r="E351" s="115"/>
      <c r="F351" s="115"/>
      <c r="G351" s="115"/>
      <c r="H351" s="115"/>
      <c r="I351" s="115"/>
      <c r="J351" s="115"/>
      <c r="K351" s="115"/>
      <c r="L351" s="115"/>
      <c r="M351" s="115"/>
      <c r="N351" s="115"/>
      <c r="O351" s="115"/>
      <c r="P351" s="115"/>
    </row>
    <row r="352" ht="15.75" spans="1:16">
      <c r="A352" s="115">
        <v>1</v>
      </c>
      <c r="B352" s="115" t="s">
        <v>354</v>
      </c>
      <c r="C352" s="115">
        <v>5</v>
      </c>
      <c r="D352" s="310">
        <v>1200</v>
      </c>
      <c r="E352" s="310">
        <f t="shared" ref="E352:E362" si="8">C352*D352</f>
        <v>6000</v>
      </c>
      <c r="F352" s="308" t="s">
        <v>99</v>
      </c>
      <c r="G352" s="308" t="s">
        <v>19</v>
      </c>
      <c r="H352" s="308" t="s">
        <v>157</v>
      </c>
      <c r="I352" s="152" t="s">
        <v>21</v>
      </c>
      <c r="J352" s="152" t="s">
        <v>21</v>
      </c>
      <c r="K352" s="152" t="s">
        <v>21</v>
      </c>
      <c r="L352" s="152" t="s">
        <v>21</v>
      </c>
      <c r="M352" s="334">
        <v>3000</v>
      </c>
      <c r="N352" s="334">
        <v>3000</v>
      </c>
      <c r="O352" s="115"/>
      <c r="P352" s="115"/>
    </row>
    <row r="353" ht="15.75" spans="1:16">
      <c r="A353" s="115">
        <v>2</v>
      </c>
      <c r="B353" s="340" t="s">
        <v>355</v>
      </c>
      <c r="C353" s="348">
        <v>5</v>
      </c>
      <c r="D353" s="348">
        <v>800</v>
      </c>
      <c r="E353" s="348">
        <f t="shared" si="8"/>
        <v>4000</v>
      </c>
      <c r="F353" s="308" t="s">
        <v>46</v>
      </c>
      <c r="G353" s="349" t="s">
        <v>19</v>
      </c>
      <c r="H353" s="308" t="s">
        <v>157</v>
      </c>
      <c r="I353" s="152" t="s">
        <v>21</v>
      </c>
      <c r="J353" s="152" t="s">
        <v>21</v>
      </c>
      <c r="K353" s="152" t="s">
        <v>21</v>
      </c>
      <c r="L353" s="152" t="s">
        <v>21</v>
      </c>
      <c r="M353" s="348"/>
      <c r="N353" s="306"/>
      <c r="O353" s="306"/>
      <c r="P353" s="306"/>
    </row>
    <row r="354" ht="15.75" spans="1:16">
      <c r="A354" s="115">
        <v>3</v>
      </c>
      <c r="B354" s="348" t="s">
        <v>356</v>
      </c>
      <c r="C354" s="389">
        <v>20</v>
      </c>
      <c r="D354" s="342">
        <v>5500</v>
      </c>
      <c r="E354" s="342">
        <f t="shared" si="8"/>
        <v>110000</v>
      </c>
      <c r="F354" s="318" t="s">
        <v>104</v>
      </c>
      <c r="G354" s="308" t="s">
        <v>19</v>
      </c>
      <c r="H354" s="308" t="s">
        <v>157</v>
      </c>
      <c r="I354" s="152" t="s">
        <v>21</v>
      </c>
      <c r="J354" s="152" t="s">
        <v>21</v>
      </c>
      <c r="K354" s="152" t="s">
        <v>21</v>
      </c>
      <c r="L354" s="152" t="s">
        <v>21</v>
      </c>
      <c r="M354" s="328">
        <v>110000</v>
      </c>
      <c r="N354" s="328"/>
      <c r="O354" s="328"/>
      <c r="P354" s="328"/>
    </row>
    <row r="355" ht="15.75" spans="1:16">
      <c r="A355" s="115">
        <v>4</v>
      </c>
      <c r="B355" s="348" t="s">
        <v>357</v>
      </c>
      <c r="C355" s="389">
        <v>20</v>
      </c>
      <c r="D355" s="342">
        <v>750</v>
      </c>
      <c r="E355" s="342">
        <f t="shared" si="8"/>
        <v>15000</v>
      </c>
      <c r="F355" s="318" t="s">
        <v>104</v>
      </c>
      <c r="G355" s="308" t="s">
        <v>19</v>
      </c>
      <c r="H355" s="308" t="s">
        <v>157</v>
      </c>
      <c r="I355" s="152" t="s">
        <v>21</v>
      </c>
      <c r="J355" s="152" t="s">
        <v>21</v>
      </c>
      <c r="K355" s="152" t="s">
        <v>21</v>
      </c>
      <c r="L355" s="152" t="s">
        <v>21</v>
      </c>
      <c r="M355" s="331">
        <v>15000</v>
      </c>
      <c r="N355" s="331"/>
      <c r="O355" s="332"/>
      <c r="P355" s="115"/>
    </row>
    <row r="356" ht="15.75" spans="1:16">
      <c r="A356" s="115">
        <v>5</v>
      </c>
      <c r="B356" s="348" t="s">
        <v>358</v>
      </c>
      <c r="C356" s="389">
        <v>15</v>
      </c>
      <c r="D356" s="342">
        <v>1400</v>
      </c>
      <c r="E356" s="342">
        <f t="shared" si="8"/>
        <v>21000</v>
      </c>
      <c r="F356" s="318" t="s">
        <v>104</v>
      </c>
      <c r="G356" s="308" t="s">
        <v>19</v>
      </c>
      <c r="H356" s="308" t="s">
        <v>157</v>
      </c>
      <c r="I356" s="152" t="s">
        <v>21</v>
      </c>
      <c r="J356" s="152" t="s">
        <v>21</v>
      </c>
      <c r="K356" s="152" t="s">
        <v>21</v>
      </c>
      <c r="L356" s="152" t="s">
        <v>21</v>
      </c>
      <c r="M356" s="331">
        <v>21000</v>
      </c>
      <c r="N356" s="331"/>
      <c r="O356" s="331"/>
      <c r="P356" s="332"/>
    </row>
    <row r="357" ht="15.75" spans="1:16">
      <c r="A357" s="115">
        <v>6</v>
      </c>
      <c r="B357" s="348" t="s">
        <v>359</v>
      </c>
      <c r="C357" s="389">
        <v>20</v>
      </c>
      <c r="D357" s="342">
        <v>1400</v>
      </c>
      <c r="E357" s="342">
        <f t="shared" si="8"/>
        <v>28000</v>
      </c>
      <c r="F357" s="318" t="s">
        <v>104</v>
      </c>
      <c r="G357" s="308" t="s">
        <v>19</v>
      </c>
      <c r="H357" s="308" t="s">
        <v>157</v>
      </c>
      <c r="I357" s="152" t="s">
        <v>21</v>
      </c>
      <c r="J357" s="152" t="s">
        <v>21</v>
      </c>
      <c r="K357" s="152" t="s">
        <v>21</v>
      </c>
      <c r="L357" s="152" t="s">
        <v>21</v>
      </c>
      <c r="M357" s="328">
        <v>28000</v>
      </c>
      <c r="N357" s="328"/>
      <c r="O357" s="328"/>
      <c r="P357" s="328"/>
    </row>
    <row r="358" ht="15.75" spans="1:16">
      <c r="A358" s="115">
        <v>7</v>
      </c>
      <c r="B358" s="348" t="s">
        <v>360</v>
      </c>
      <c r="C358" s="389">
        <v>7</v>
      </c>
      <c r="D358" s="342">
        <v>2400</v>
      </c>
      <c r="E358" s="342">
        <f t="shared" si="8"/>
        <v>16800</v>
      </c>
      <c r="F358" s="318" t="s">
        <v>104</v>
      </c>
      <c r="G358" s="308" t="s">
        <v>19</v>
      </c>
      <c r="H358" s="308" t="s">
        <v>157</v>
      </c>
      <c r="I358" s="152" t="s">
        <v>21</v>
      </c>
      <c r="J358" s="152" t="s">
        <v>21</v>
      </c>
      <c r="K358" s="152" t="s">
        <v>21</v>
      </c>
      <c r="L358" s="152" t="s">
        <v>21</v>
      </c>
      <c r="M358" s="331">
        <v>16800</v>
      </c>
      <c r="N358" s="331"/>
      <c r="O358" s="331"/>
      <c r="P358" s="332"/>
    </row>
    <row r="359" ht="15.75" spans="1:16">
      <c r="A359" s="115">
        <v>8</v>
      </c>
      <c r="B359" s="348" t="s">
        <v>361</v>
      </c>
      <c r="C359" s="389">
        <v>5</v>
      </c>
      <c r="D359" s="342">
        <v>1400</v>
      </c>
      <c r="E359" s="342">
        <f t="shared" si="8"/>
        <v>7000</v>
      </c>
      <c r="F359" s="318" t="s">
        <v>104</v>
      </c>
      <c r="G359" s="308" t="s">
        <v>19</v>
      </c>
      <c r="H359" s="308" t="s">
        <v>157</v>
      </c>
      <c r="I359" s="152" t="s">
        <v>21</v>
      </c>
      <c r="J359" s="152" t="s">
        <v>21</v>
      </c>
      <c r="K359" s="152" t="s">
        <v>21</v>
      </c>
      <c r="L359" s="152" t="s">
        <v>21</v>
      </c>
      <c r="M359" s="331">
        <v>7000</v>
      </c>
      <c r="N359" s="331"/>
      <c r="O359" s="331"/>
      <c r="P359" s="332"/>
    </row>
    <row r="360" ht="15.75" spans="1:16">
      <c r="A360" s="115">
        <v>9</v>
      </c>
      <c r="B360" s="348" t="s">
        <v>362</v>
      </c>
      <c r="C360" s="389">
        <v>30</v>
      </c>
      <c r="D360" s="342">
        <v>1400</v>
      </c>
      <c r="E360" s="342">
        <f t="shared" si="8"/>
        <v>42000</v>
      </c>
      <c r="F360" s="318" t="s">
        <v>104</v>
      </c>
      <c r="G360" s="308" t="s">
        <v>19</v>
      </c>
      <c r="H360" s="308" t="s">
        <v>157</v>
      </c>
      <c r="I360" s="152" t="s">
        <v>21</v>
      </c>
      <c r="J360" s="152" t="s">
        <v>21</v>
      </c>
      <c r="K360" s="152" t="s">
        <v>21</v>
      </c>
      <c r="L360" s="152" t="s">
        <v>21</v>
      </c>
      <c r="M360" s="328">
        <v>42000</v>
      </c>
      <c r="N360" s="328"/>
      <c r="O360" s="328"/>
      <c r="P360" s="328"/>
    </row>
    <row r="361" ht="15.75" spans="1:16">
      <c r="A361" s="115">
        <v>10</v>
      </c>
      <c r="B361" s="348" t="s">
        <v>363</v>
      </c>
      <c r="C361" s="389">
        <v>32</v>
      </c>
      <c r="D361" s="342">
        <v>3600</v>
      </c>
      <c r="E361" s="342">
        <f t="shared" si="8"/>
        <v>115200</v>
      </c>
      <c r="F361" s="318" t="s">
        <v>104</v>
      </c>
      <c r="G361" s="308" t="s">
        <v>19</v>
      </c>
      <c r="H361" s="308" t="s">
        <v>157</v>
      </c>
      <c r="I361" s="152" t="s">
        <v>21</v>
      </c>
      <c r="J361" s="152" t="s">
        <v>21</v>
      </c>
      <c r="K361" s="152" t="s">
        <v>21</v>
      </c>
      <c r="L361" s="152" t="s">
        <v>21</v>
      </c>
      <c r="M361" s="331">
        <v>115200</v>
      </c>
      <c r="N361" s="331"/>
      <c r="O361" s="331"/>
      <c r="P361" s="332"/>
    </row>
    <row r="362" ht="15.75" spans="1:16">
      <c r="A362" s="115">
        <v>11</v>
      </c>
      <c r="B362" s="348" t="s">
        <v>364</v>
      </c>
      <c r="C362" s="389">
        <v>32</v>
      </c>
      <c r="D362" s="342">
        <v>2400</v>
      </c>
      <c r="E362" s="342">
        <f t="shared" si="8"/>
        <v>76800</v>
      </c>
      <c r="F362" s="318" t="s">
        <v>104</v>
      </c>
      <c r="G362" s="308" t="s">
        <v>19</v>
      </c>
      <c r="H362" s="308" t="s">
        <v>157</v>
      </c>
      <c r="I362" s="152" t="s">
        <v>21</v>
      </c>
      <c r="J362" s="152" t="s">
        <v>21</v>
      </c>
      <c r="K362" s="152" t="s">
        <v>21</v>
      </c>
      <c r="L362" s="152" t="s">
        <v>21</v>
      </c>
      <c r="M362" s="328">
        <v>76800</v>
      </c>
      <c r="N362" s="328"/>
      <c r="O362" s="328"/>
      <c r="P362" s="328"/>
    </row>
    <row r="363" ht="15.75" spans="1:16">
      <c r="A363" s="115">
        <v>12</v>
      </c>
      <c r="B363" s="315" t="s">
        <v>365</v>
      </c>
      <c r="C363" s="315" t="s">
        <v>310</v>
      </c>
      <c r="D363" s="317">
        <v>2600</v>
      </c>
      <c r="E363" s="317">
        <v>26000</v>
      </c>
      <c r="F363" s="318" t="s">
        <v>35</v>
      </c>
      <c r="G363" s="308" t="s">
        <v>19</v>
      </c>
      <c r="H363" s="308" t="s">
        <v>157</v>
      </c>
      <c r="I363" s="152" t="s">
        <v>21</v>
      </c>
      <c r="J363" s="152" t="s">
        <v>21</v>
      </c>
      <c r="K363" s="152" t="s">
        <v>21</v>
      </c>
      <c r="L363" s="152" t="s">
        <v>21</v>
      </c>
      <c r="M363" s="317">
        <v>26000</v>
      </c>
      <c r="N363" s="331"/>
      <c r="O363" s="331"/>
      <c r="P363" s="332"/>
    </row>
    <row r="364" ht="15.75" spans="1:16">
      <c r="A364" s="115">
        <v>13</v>
      </c>
      <c r="B364" s="315" t="s">
        <v>366</v>
      </c>
      <c r="C364" s="315" t="s">
        <v>310</v>
      </c>
      <c r="D364" s="317">
        <v>2010</v>
      </c>
      <c r="E364" s="317">
        <v>20100</v>
      </c>
      <c r="F364" s="318" t="s">
        <v>35</v>
      </c>
      <c r="G364" s="308" t="s">
        <v>19</v>
      </c>
      <c r="H364" s="308" t="s">
        <v>157</v>
      </c>
      <c r="I364" s="152" t="s">
        <v>21</v>
      </c>
      <c r="J364" s="152" t="s">
        <v>21</v>
      </c>
      <c r="K364" s="152" t="s">
        <v>21</v>
      </c>
      <c r="L364" s="152" t="s">
        <v>21</v>
      </c>
      <c r="M364" s="317">
        <v>20100</v>
      </c>
      <c r="N364" s="328"/>
      <c r="O364" s="328"/>
      <c r="P364" s="328"/>
    </row>
    <row r="365" ht="15.75" spans="1:16">
      <c r="A365" s="115">
        <v>14</v>
      </c>
      <c r="B365" s="315" t="s">
        <v>367</v>
      </c>
      <c r="C365" s="315" t="s">
        <v>310</v>
      </c>
      <c r="D365" s="317">
        <v>1800</v>
      </c>
      <c r="E365" s="317">
        <v>18000</v>
      </c>
      <c r="F365" s="318" t="s">
        <v>35</v>
      </c>
      <c r="G365" s="308" t="s">
        <v>19</v>
      </c>
      <c r="H365" s="308" t="s">
        <v>157</v>
      </c>
      <c r="I365" s="152" t="s">
        <v>21</v>
      </c>
      <c r="J365" s="152" t="s">
        <v>21</v>
      </c>
      <c r="K365" s="152" t="s">
        <v>21</v>
      </c>
      <c r="L365" s="152" t="s">
        <v>21</v>
      </c>
      <c r="M365" s="317">
        <v>18000</v>
      </c>
      <c r="N365" s="331"/>
      <c r="O365" s="331"/>
      <c r="P365" s="332"/>
    </row>
    <row r="366" ht="15.75" spans="1:16">
      <c r="A366" s="115">
        <v>15</v>
      </c>
      <c r="B366" s="315" t="s">
        <v>368</v>
      </c>
      <c r="C366" s="315" t="s">
        <v>310</v>
      </c>
      <c r="D366" s="317">
        <v>7850</v>
      </c>
      <c r="E366" s="317">
        <v>78500</v>
      </c>
      <c r="F366" s="318" t="s">
        <v>35</v>
      </c>
      <c r="G366" s="308" t="s">
        <v>19</v>
      </c>
      <c r="H366" s="308" t="s">
        <v>157</v>
      </c>
      <c r="I366" s="152" t="s">
        <v>21</v>
      </c>
      <c r="J366" s="152" t="s">
        <v>21</v>
      </c>
      <c r="K366" s="152" t="s">
        <v>21</v>
      </c>
      <c r="L366" s="152" t="s">
        <v>21</v>
      </c>
      <c r="M366" s="317">
        <v>78500</v>
      </c>
      <c r="N366" s="328"/>
      <c r="O366" s="328"/>
      <c r="P366" s="328"/>
    </row>
    <row r="367" ht="15.75" spans="1:16">
      <c r="A367" s="115">
        <v>16</v>
      </c>
      <c r="B367" s="315" t="s">
        <v>369</v>
      </c>
      <c r="C367" s="315" t="s">
        <v>370</v>
      </c>
      <c r="D367" s="317">
        <v>2500</v>
      </c>
      <c r="E367" s="317">
        <v>25000</v>
      </c>
      <c r="F367" s="318" t="s">
        <v>35</v>
      </c>
      <c r="G367" s="308" t="s">
        <v>19</v>
      </c>
      <c r="H367" s="308" t="s">
        <v>157</v>
      </c>
      <c r="I367" s="152" t="s">
        <v>21</v>
      </c>
      <c r="J367" s="152" t="s">
        <v>21</v>
      </c>
      <c r="K367" s="152" t="s">
        <v>21</v>
      </c>
      <c r="L367" s="152" t="s">
        <v>21</v>
      </c>
      <c r="M367" s="317">
        <v>25000</v>
      </c>
      <c r="N367" s="331"/>
      <c r="O367" s="332"/>
      <c r="P367" s="115"/>
    </row>
    <row r="368" ht="15.75" spans="1:16">
      <c r="A368" s="115">
        <v>17</v>
      </c>
      <c r="B368" s="315" t="s">
        <v>371</v>
      </c>
      <c r="C368" s="315" t="s">
        <v>370</v>
      </c>
      <c r="D368" s="317">
        <v>280</v>
      </c>
      <c r="E368" s="317">
        <v>2800</v>
      </c>
      <c r="F368" s="318" t="s">
        <v>35</v>
      </c>
      <c r="G368" s="308" t="s">
        <v>19</v>
      </c>
      <c r="H368" s="308" t="s">
        <v>157</v>
      </c>
      <c r="I368" s="152" t="s">
        <v>21</v>
      </c>
      <c r="J368" s="152" t="s">
        <v>21</v>
      </c>
      <c r="K368" s="152" t="s">
        <v>21</v>
      </c>
      <c r="L368" s="152" t="s">
        <v>21</v>
      </c>
      <c r="M368" s="317">
        <v>2800</v>
      </c>
      <c r="N368" s="331"/>
      <c r="O368" s="331"/>
      <c r="P368" s="332"/>
    </row>
    <row r="369" ht="15.75" spans="1:16">
      <c r="A369" s="115">
        <v>18</v>
      </c>
      <c r="B369" s="315" t="s">
        <v>372</v>
      </c>
      <c r="C369" s="315" t="s">
        <v>310</v>
      </c>
      <c r="D369" s="317">
        <v>2200</v>
      </c>
      <c r="E369" s="317">
        <v>22000</v>
      </c>
      <c r="F369" s="318" t="s">
        <v>35</v>
      </c>
      <c r="G369" s="308" t="s">
        <v>19</v>
      </c>
      <c r="H369" s="308" t="s">
        <v>157</v>
      </c>
      <c r="I369" s="152" t="s">
        <v>21</v>
      </c>
      <c r="J369" s="152" t="s">
        <v>21</v>
      </c>
      <c r="K369" s="152" t="s">
        <v>21</v>
      </c>
      <c r="L369" s="152" t="s">
        <v>21</v>
      </c>
      <c r="M369" s="317">
        <v>22000</v>
      </c>
      <c r="N369" s="328"/>
      <c r="O369" s="328"/>
      <c r="P369" s="328"/>
    </row>
    <row r="370" ht="15.75" spans="1:16">
      <c r="A370" s="115">
        <v>19</v>
      </c>
      <c r="B370" s="315" t="s">
        <v>373</v>
      </c>
      <c r="C370" s="315" t="s">
        <v>310</v>
      </c>
      <c r="D370" s="317">
        <v>420</v>
      </c>
      <c r="E370" s="317">
        <v>4200</v>
      </c>
      <c r="F370" s="318" t="s">
        <v>35</v>
      </c>
      <c r="G370" s="308" t="s">
        <v>19</v>
      </c>
      <c r="H370" s="308" t="s">
        <v>157</v>
      </c>
      <c r="I370" s="152" t="s">
        <v>21</v>
      </c>
      <c r="J370" s="152" t="s">
        <v>21</v>
      </c>
      <c r="K370" s="152" t="s">
        <v>21</v>
      </c>
      <c r="L370" s="152" t="s">
        <v>21</v>
      </c>
      <c r="M370" s="317">
        <v>4200</v>
      </c>
      <c r="N370" s="331"/>
      <c r="O370" s="331"/>
      <c r="P370" s="332"/>
    </row>
    <row r="371" ht="15.75" spans="1:16">
      <c r="A371" s="115">
        <v>20</v>
      </c>
      <c r="B371" s="315" t="s">
        <v>374</v>
      </c>
      <c r="C371" s="315" t="s">
        <v>310</v>
      </c>
      <c r="D371" s="317">
        <v>2200</v>
      </c>
      <c r="E371" s="317">
        <v>22000</v>
      </c>
      <c r="F371" s="318" t="s">
        <v>35</v>
      </c>
      <c r="G371" s="308" t="s">
        <v>19</v>
      </c>
      <c r="H371" s="308" t="s">
        <v>157</v>
      </c>
      <c r="I371" s="152" t="s">
        <v>21</v>
      </c>
      <c r="J371" s="152" t="s">
        <v>21</v>
      </c>
      <c r="K371" s="152" t="s">
        <v>21</v>
      </c>
      <c r="L371" s="152" t="s">
        <v>21</v>
      </c>
      <c r="M371" s="317">
        <v>22000</v>
      </c>
      <c r="N371" s="331"/>
      <c r="O371" s="331"/>
      <c r="P371" s="332"/>
    </row>
    <row r="372" ht="15.75" spans="1:16">
      <c r="A372" s="115">
        <v>21</v>
      </c>
      <c r="B372" s="315" t="s">
        <v>375</v>
      </c>
      <c r="C372" s="315" t="s">
        <v>310</v>
      </c>
      <c r="D372" s="317">
        <v>950</v>
      </c>
      <c r="E372" s="317">
        <v>9500</v>
      </c>
      <c r="F372" s="318" t="s">
        <v>35</v>
      </c>
      <c r="G372" s="308" t="s">
        <v>19</v>
      </c>
      <c r="H372" s="308" t="s">
        <v>157</v>
      </c>
      <c r="I372" s="152" t="s">
        <v>21</v>
      </c>
      <c r="J372" s="152" t="s">
        <v>21</v>
      </c>
      <c r="K372" s="152" t="s">
        <v>21</v>
      </c>
      <c r="L372" s="152" t="s">
        <v>21</v>
      </c>
      <c r="M372" s="317">
        <v>9500</v>
      </c>
      <c r="N372" s="328"/>
      <c r="O372" s="328"/>
      <c r="P372" s="328"/>
    </row>
    <row r="373" ht="15.75" spans="1:16">
      <c r="A373" s="115">
        <v>22</v>
      </c>
      <c r="B373" s="315" t="s">
        <v>376</v>
      </c>
      <c r="C373" s="315" t="s">
        <v>377</v>
      </c>
      <c r="D373" s="317">
        <v>7000</v>
      </c>
      <c r="E373" s="317">
        <v>14000</v>
      </c>
      <c r="F373" s="318" t="s">
        <v>35</v>
      </c>
      <c r="G373" s="308" t="s">
        <v>19</v>
      </c>
      <c r="H373" s="308" t="s">
        <v>157</v>
      </c>
      <c r="I373" s="152" t="s">
        <v>21</v>
      </c>
      <c r="J373" s="152" t="s">
        <v>21</v>
      </c>
      <c r="K373" s="152" t="s">
        <v>21</v>
      </c>
      <c r="L373" s="152" t="s">
        <v>21</v>
      </c>
      <c r="M373" s="331">
        <v>14000</v>
      </c>
      <c r="N373" s="331"/>
      <c r="O373" s="331"/>
      <c r="P373" s="332"/>
    </row>
    <row r="374" ht="11.25" customHeight="1" spans="1:16">
      <c r="A374" s="115">
        <v>23</v>
      </c>
      <c r="B374" s="315" t="s">
        <v>378</v>
      </c>
      <c r="C374" s="315" t="s">
        <v>379</v>
      </c>
      <c r="D374" s="317">
        <v>4500</v>
      </c>
      <c r="E374" s="317">
        <v>9000</v>
      </c>
      <c r="F374" s="318" t="s">
        <v>35</v>
      </c>
      <c r="G374" s="308" t="s">
        <v>19</v>
      </c>
      <c r="H374" s="308" t="s">
        <v>157</v>
      </c>
      <c r="I374" s="152" t="s">
        <v>21</v>
      </c>
      <c r="J374" s="152" t="s">
        <v>21</v>
      </c>
      <c r="K374" s="152" t="s">
        <v>21</v>
      </c>
      <c r="L374" s="152" t="s">
        <v>21</v>
      </c>
      <c r="M374" s="328">
        <v>9000</v>
      </c>
      <c r="N374" s="328"/>
      <c r="O374" s="328"/>
      <c r="P374" s="328"/>
    </row>
    <row r="375" ht="43.5" customHeight="1" spans="1:16">
      <c r="A375" s="115">
        <v>24</v>
      </c>
      <c r="B375" s="390" t="s">
        <v>380</v>
      </c>
      <c r="C375" s="115"/>
      <c r="D375" s="115"/>
      <c r="E375" s="115">
        <v>61800</v>
      </c>
      <c r="F375" s="308" t="s">
        <v>40</v>
      </c>
      <c r="G375" s="308" t="s">
        <v>19</v>
      </c>
      <c r="H375" s="308" t="s">
        <v>157</v>
      </c>
      <c r="I375" s="333" t="s">
        <v>38</v>
      </c>
      <c r="J375" s="333" t="s">
        <v>38</v>
      </c>
      <c r="K375" s="333" t="s">
        <v>38</v>
      </c>
      <c r="L375" s="333" t="s">
        <v>38</v>
      </c>
      <c r="M375" s="115"/>
      <c r="N375" s="115"/>
      <c r="O375" s="115"/>
      <c r="P375" s="115"/>
    </row>
    <row r="376" ht="15.75" spans="1:16">
      <c r="A376" s="115">
        <v>25</v>
      </c>
      <c r="B376" s="321" t="s">
        <v>381</v>
      </c>
      <c r="C376" s="321">
        <v>8</v>
      </c>
      <c r="D376" s="115">
        <v>1400</v>
      </c>
      <c r="E376" s="391">
        <f>C376*D376</f>
        <v>11200</v>
      </c>
      <c r="F376" s="308" t="s">
        <v>42</v>
      </c>
      <c r="G376" s="320" t="s">
        <v>19</v>
      </c>
      <c r="H376" s="308" t="s">
        <v>157</v>
      </c>
      <c r="I376" s="333" t="s">
        <v>38</v>
      </c>
      <c r="J376" s="333" t="s">
        <v>38</v>
      </c>
      <c r="K376" s="333" t="s">
        <v>38</v>
      </c>
      <c r="L376" s="333" t="s">
        <v>38</v>
      </c>
      <c r="M376" s="115">
        <v>11200</v>
      </c>
      <c r="N376" s="115"/>
      <c r="O376" s="115"/>
      <c r="P376" s="71"/>
    </row>
    <row r="377" ht="15.75" spans="1:16">
      <c r="A377" s="115">
        <v>26</v>
      </c>
      <c r="B377" s="115" t="s">
        <v>382</v>
      </c>
      <c r="C377" s="115">
        <v>5</v>
      </c>
      <c r="D377" s="115">
        <v>1200</v>
      </c>
      <c r="E377" s="319">
        <v>6000</v>
      </c>
      <c r="F377" s="308" t="s">
        <v>37</v>
      </c>
      <c r="G377" s="320" t="s">
        <v>19</v>
      </c>
      <c r="H377" s="308" t="s">
        <v>157</v>
      </c>
      <c r="I377" s="333" t="s">
        <v>38</v>
      </c>
      <c r="J377" s="333" t="s">
        <v>38</v>
      </c>
      <c r="K377" s="333" t="s">
        <v>38</v>
      </c>
      <c r="L377" s="333" t="s">
        <v>38</v>
      </c>
      <c r="M377" s="115">
        <v>3600</v>
      </c>
      <c r="N377" s="115"/>
      <c r="O377" s="115">
        <v>2400</v>
      </c>
      <c r="P377" s="115"/>
    </row>
    <row r="378" ht="15.75" spans="1:16">
      <c r="A378" s="306"/>
      <c r="B378" s="344" t="s">
        <v>22</v>
      </c>
      <c r="C378" s="344"/>
      <c r="D378" s="306"/>
      <c r="E378" s="309">
        <f>SUM(E352:E377)</f>
        <v>771900</v>
      </c>
      <c r="F378" s="308"/>
      <c r="G378" s="320"/>
      <c r="H378" s="308"/>
      <c r="I378" s="333"/>
      <c r="J378" s="333"/>
      <c r="K378" s="333"/>
      <c r="L378" s="333"/>
      <c r="M378" s="115"/>
      <c r="N378" s="115"/>
      <c r="O378" s="115"/>
      <c r="P378" s="71"/>
    </row>
    <row r="379" ht="15.75" spans="1:16">
      <c r="A379" s="115"/>
      <c r="B379" s="321"/>
      <c r="C379" s="321"/>
      <c r="D379" s="115"/>
      <c r="E379" s="310"/>
      <c r="F379" s="308"/>
      <c r="G379" s="320"/>
      <c r="H379" s="308"/>
      <c r="I379" s="333"/>
      <c r="J379" s="333"/>
      <c r="K379" s="333"/>
      <c r="L379" s="333"/>
      <c r="M379" s="115"/>
      <c r="N379" s="115"/>
      <c r="O379" s="115"/>
      <c r="P379" s="71"/>
    </row>
    <row r="380" ht="15.75" spans="1:16">
      <c r="A380" s="115"/>
      <c r="B380" s="340"/>
      <c r="C380" s="348"/>
      <c r="D380" s="348"/>
      <c r="E380" s="348"/>
      <c r="F380" s="308"/>
      <c r="G380" s="373"/>
      <c r="H380" s="308"/>
      <c r="I380" s="152"/>
      <c r="J380" s="152"/>
      <c r="K380" s="152"/>
      <c r="L380" s="152"/>
      <c r="M380" s="306"/>
      <c r="N380" s="306"/>
      <c r="O380" s="306"/>
      <c r="P380" s="306"/>
    </row>
    <row r="381" spans="1:16">
      <c r="A381" s="306" t="s">
        <v>383</v>
      </c>
      <c r="B381" s="115"/>
      <c r="C381" s="115"/>
      <c r="D381" s="115"/>
      <c r="E381" s="115"/>
      <c r="F381" s="115"/>
      <c r="G381" s="115"/>
      <c r="H381" s="115"/>
      <c r="I381" s="115"/>
      <c r="J381" s="115"/>
      <c r="K381" s="115"/>
      <c r="L381" s="115"/>
      <c r="M381" s="115"/>
      <c r="N381" s="115"/>
      <c r="O381" s="115"/>
      <c r="P381" s="115"/>
    </row>
    <row r="382" spans="1:16">
      <c r="A382" s="115">
        <v>1</v>
      </c>
      <c r="B382" s="115"/>
      <c r="C382" s="115"/>
      <c r="D382" s="115"/>
      <c r="E382" s="115"/>
      <c r="F382" s="115"/>
      <c r="G382" s="115"/>
      <c r="H382" s="115"/>
      <c r="I382" s="115"/>
      <c r="J382" s="115"/>
      <c r="K382" s="115"/>
      <c r="L382" s="115"/>
      <c r="M382" s="115"/>
      <c r="N382" s="115"/>
      <c r="O382" s="115"/>
      <c r="P382" s="115"/>
    </row>
    <row r="383" spans="1:16">
      <c r="A383" s="115">
        <v>2</v>
      </c>
      <c r="B383" s="115"/>
      <c r="C383" s="115"/>
      <c r="D383" s="115"/>
      <c r="E383" s="115"/>
      <c r="F383" s="115"/>
      <c r="G383" s="115"/>
      <c r="H383" s="115"/>
      <c r="I383" s="115"/>
      <c r="J383" s="115"/>
      <c r="K383" s="115"/>
      <c r="L383" s="115"/>
      <c r="M383" s="115"/>
      <c r="N383" s="115"/>
      <c r="O383" s="115"/>
      <c r="P383" s="115"/>
    </row>
    <row r="384" spans="1:16">
      <c r="A384" s="115">
        <v>3</v>
      </c>
      <c r="B384" s="115"/>
      <c r="C384" s="115"/>
      <c r="D384" s="115"/>
      <c r="E384" s="115"/>
      <c r="F384" s="115"/>
      <c r="G384" s="115"/>
      <c r="H384" s="115"/>
      <c r="I384" s="115"/>
      <c r="J384" s="115"/>
      <c r="K384" s="115"/>
      <c r="L384" s="115"/>
      <c r="M384" s="115"/>
      <c r="N384" s="115"/>
      <c r="O384" s="115"/>
      <c r="P384" s="115"/>
    </row>
    <row r="385" spans="1:16">
      <c r="A385" s="306" t="s">
        <v>384</v>
      </c>
      <c r="B385" s="115"/>
      <c r="C385" s="115"/>
      <c r="D385" s="115"/>
      <c r="E385" s="115"/>
      <c r="F385" s="115"/>
      <c r="G385" s="115"/>
      <c r="H385" s="115"/>
      <c r="I385" s="115"/>
      <c r="J385" s="115"/>
      <c r="K385" s="115"/>
      <c r="L385" s="115"/>
      <c r="M385" s="115"/>
      <c r="N385" s="115"/>
      <c r="O385" s="115"/>
      <c r="P385" s="115"/>
    </row>
    <row r="386" spans="1:16">
      <c r="A386" s="115">
        <v>1</v>
      </c>
      <c r="B386" s="115"/>
      <c r="C386" s="115"/>
      <c r="D386" s="115"/>
      <c r="E386" s="115"/>
      <c r="F386" s="115"/>
      <c r="G386" s="115"/>
      <c r="H386" s="115"/>
      <c r="I386" s="115"/>
      <c r="J386" s="115"/>
      <c r="K386" s="115"/>
      <c r="L386" s="115"/>
      <c r="M386" s="115"/>
      <c r="N386" s="115"/>
      <c r="O386" s="115"/>
      <c r="P386" s="115"/>
    </row>
    <row r="387" spans="1:16">
      <c r="A387" s="115">
        <v>2</v>
      </c>
      <c r="B387" s="115"/>
      <c r="C387" s="115"/>
      <c r="D387" s="115"/>
      <c r="E387" s="115"/>
      <c r="F387" s="115"/>
      <c r="G387" s="115"/>
      <c r="H387" s="115"/>
      <c r="I387" s="115"/>
      <c r="J387" s="115"/>
      <c r="K387" s="115"/>
      <c r="L387" s="115"/>
      <c r="M387" s="115"/>
      <c r="N387" s="115"/>
      <c r="O387" s="115"/>
      <c r="P387" s="115"/>
    </row>
    <row r="388" spans="1:16">
      <c r="A388" s="115"/>
      <c r="B388" s="115"/>
      <c r="C388" s="115"/>
      <c r="D388" s="115"/>
      <c r="E388" s="115"/>
      <c r="F388" s="115"/>
      <c r="G388" s="115"/>
      <c r="H388" s="115"/>
      <c r="I388" s="115"/>
      <c r="J388" s="115"/>
      <c r="K388" s="115"/>
      <c r="L388" s="115"/>
      <c r="M388" s="115"/>
      <c r="N388" s="115"/>
      <c r="O388" s="115"/>
      <c r="P388" s="115"/>
    </row>
    <row r="389" spans="1:16">
      <c r="A389" s="115">
        <v>3</v>
      </c>
      <c r="B389" s="115"/>
      <c r="C389" s="115"/>
      <c r="D389" s="115"/>
      <c r="E389" s="115"/>
      <c r="F389" s="115"/>
      <c r="G389" s="115"/>
      <c r="H389" s="115"/>
      <c r="I389" s="115"/>
      <c r="J389" s="115"/>
      <c r="K389" s="115"/>
      <c r="L389" s="115"/>
      <c r="M389" s="115"/>
      <c r="N389" s="115"/>
      <c r="O389" s="115"/>
      <c r="P389" s="115"/>
    </row>
    <row r="390" spans="1:16">
      <c r="A390" s="306" t="s">
        <v>385</v>
      </c>
      <c r="B390" s="115"/>
      <c r="C390" s="115"/>
      <c r="D390" s="115"/>
      <c r="E390" s="115"/>
      <c r="F390" s="115"/>
      <c r="G390" s="115"/>
      <c r="H390" s="115"/>
      <c r="I390" s="115"/>
      <c r="J390" s="115"/>
      <c r="K390" s="115"/>
      <c r="L390" s="115"/>
      <c r="M390" s="115"/>
      <c r="N390" s="115"/>
      <c r="O390" s="115"/>
      <c r="P390" s="115"/>
    </row>
    <row r="391" ht="15.75" spans="1:16">
      <c r="A391" s="115">
        <v>1</v>
      </c>
      <c r="B391" s="348" t="s">
        <v>386</v>
      </c>
      <c r="C391" s="340">
        <v>720</v>
      </c>
      <c r="D391" s="341">
        <v>3400</v>
      </c>
      <c r="E391" s="341">
        <f>C391*D391</f>
        <v>2448000</v>
      </c>
      <c r="F391" s="318" t="s">
        <v>104</v>
      </c>
      <c r="G391" s="308" t="s">
        <v>19</v>
      </c>
      <c r="H391" s="308" t="s">
        <v>157</v>
      </c>
      <c r="I391" s="152" t="s">
        <v>21</v>
      </c>
      <c r="J391" s="152" t="s">
        <v>21</v>
      </c>
      <c r="K391" s="152" t="s">
        <v>21</v>
      </c>
      <c r="L391" s="152" t="s">
        <v>21</v>
      </c>
      <c r="M391" s="328">
        <v>612000</v>
      </c>
      <c r="N391" s="328">
        <v>612000</v>
      </c>
      <c r="O391" s="328">
        <v>612000</v>
      </c>
      <c r="P391" s="328">
        <v>612000</v>
      </c>
    </row>
    <row r="392" ht="15.75" spans="1:16">
      <c r="A392" s="115">
        <v>3</v>
      </c>
      <c r="B392" s="348" t="s">
        <v>387</v>
      </c>
      <c r="C392" s="340">
        <v>30</v>
      </c>
      <c r="D392" s="341">
        <v>2800</v>
      </c>
      <c r="E392" s="341">
        <f>C392*D392</f>
        <v>84000</v>
      </c>
      <c r="F392" s="318" t="s">
        <v>104</v>
      </c>
      <c r="G392" s="308" t="s">
        <v>19</v>
      </c>
      <c r="H392" s="308" t="s">
        <v>157</v>
      </c>
      <c r="I392" s="152" t="s">
        <v>21</v>
      </c>
      <c r="J392" s="152" t="s">
        <v>21</v>
      </c>
      <c r="K392" s="152" t="s">
        <v>21</v>
      </c>
      <c r="L392" s="152" t="s">
        <v>21</v>
      </c>
      <c r="M392" s="331">
        <v>21000</v>
      </c>
      <c r="N392" s="331">
        <v>21000</v>
      </c>
      <c r="O392" s="331">
        <v>21000</v>
      </c>
      <c r="P392" s="332">
        <v>21000</v>
      </c>
    </row>
    <row r="393" ht="15.75" spans="1:16">
      <c r="A393" s="115">
        <v>4</v>
      </c>
      <c r="B393" s="348" t="s">
        <v>388</v>
      </c>
      <c r="C393" s="340">
        <v>20</v>
      </c>
      <c r="D393" s="341">
        <v>2800</v>
      </c>
      <c r="E393" s="341">
        <f>C393*D393</f>
        <v>56000</v>
      </c>
      <c r="F393" s="318" t="s">
        <v>104</v>
      </c>
      <c r="G393" s="308" t="s">
        <v>19</v>
      </c>
      <c r="H393" s="308" t="s">
        <v>157</v>
      </c>
      <c r="I393" s="152" t="s">
        <v>21</v>
      </c>
      <c r="J393" s="152" t="s">
        <v>21</v>
      </c>
      <c r="K393" s="152" t="s">
        <v>21</v>
      </c>
      <c r="L393" s="152" t="s">
        <v>21</v>
      </c>
      <c r="M393" s="328">
        <v>14000</v>
      </c>
      <c r="N393" s="328">
        <v>14000</v>
      </c>
      <c r="O393" s="328">
        <v>14000</v>
      </c>
      <c r="P393" s="328">
        <v>14000</v>
      </c>
    </row>
    <row r="394" spans="1:16">
      <c r="A394" s="306"/>
      <c r="B394" s="306" t="s">
        <v>22</v>
      </c>
      <c r="C394" s="306"/>
      <c r="D394" s="306"/>
      <c r="E394" s="392">
        <f>SUM(E391:E393)</f>
        <v>2588000</v>
      </c>
      <c r="F394" s="115"/>
      <c r="G394" s="115"/>
      <c r="H394" s="115"/>
      <c r="I394" s="115"/>
      <c r="J394" s="115"/>
      <c r="K394" s="115"/>
      <c r="L394" s="115"/>
      <c r="M394" s="115"/>
      <c r="N394" s="115"/>
      <c r="O394" s="115"/>
      <c r="P394" s="115"/>
    </row>
    <row r="395" spans="1:16">
      <c r="A395" s="115"/>
      <c r="B395" s="115"/>
      <c r="C395" s="115"/>
      <c r="D395" s="115"/>
      <c r="E395" s="115"/>
      <c r="F395" s="115"/>
      <c r="G395" s="115"/>
      <c r="H395" s="115"/>
      <c r="I395" s="115"/>
      <c r="J395" s="115"/>
      <c r="K395" s="115"/>
      <c r="L395" s="115"/>
      <c r="M395" s="115"/>
      <c r="N395" s="115"/>
      <c r="O395" s="115"/>
      <c r="P395" s="115"/>
    </row>
    <row r="396" spans="1:16">
      <c r="A396" s="115"/>
      <c r="B396" s="115"/>
      <c r="C396" s="115"/>
      <c r="D396" s="115"/>
      <c r="E396" s="115"/>
      <c r="F396" s="115"/>
      <c r="G396" s="115"/>
      <c r="H396" s="115"/>
      <c r="I396" s="115"/>
      <c r="J396" s="115"/>
      <c r="K396" s="115"/>
      <c r="L396" s="115"/>
      <c r="M396" s="115"/>
      <c r="N396" s="115"/>
      <c r="O396" s="115"/>
      <c r="P396" s="115"/>
    </row>
    <row r="397" spans="1:16">
      <c r="A397" s="306" t="s">
        <v>389</v>
      </c>
      <c r="B397" s="115"/>
      <c r="C397" s="115"/>
      <c r="D397" s="115"/>
      <c r="E397" s="115"/>
      <c r="F397" s="115"/>
      <c r="G397" s="115"/>
      <c r="H397" s="115"/>
      <c r="I397" s="115"/>
      <c r="J397" s="115"/>
      <c r="K397" s="115"/>
      <c r="L397" s="115"/>
      <c r="M397" s="115"/>
      <c r="N397" s="115"/>
      <c r="O397" s="115"/>
      <c r="P397" s="115"/>
    </row>
    <row r="398" ht="15.75" spans="1:16">
      <c r="A398" s="115"/>
      <c r="B398" s="386" t="s">
        <v>390</v>
      </c>
      <c r="C398" s="386"/>
      <c r="D398" s="385"/>
      <c r="E398" s="317"/>
      <c r="F398" s="318"/>
      <c r="G398" s="308"/>
      <c r="H398" s="308"/>
      <c r="I398" s="152"/>
      <c r="J398" s="152"/>
      <c r="K398" s="152"/>
      <c r="L398" s="152"/>
      <c r="M398" s="331"/>
      <c r="N398" s="331"/>
      <c r="O398" s="331"/>
      <c r="P398" s="332"/>
    </row>
    <row r="399" ht="15.75" spans="1:16">
      <c r="A399" s="115">
        <v>1</v>
      </c>
      <c r="B399" s="348" t="s">
        <v>391</v>
      </c>
      <c r="C399" s="340">
        <v>3</v>
      </c>
      <c r="D399" s="341">
        <v>450</v>
      </c>
      <c r="E399" s="341">
        <f t="shared" ref="E399:E406" si="9">C399*D399</f>
        <v>1350</v>
      </c>
      <c r="F399" s="318" t="s">
        <v>104</v>
      </c>
      <c r="G399" s="308" t="s">
        <v>19</v>
      </c>
      <c r="H399" s="308" t="s">
        <v>157</v>
      </c>
      <c r="I399" s="152" t="s">
        <v>21</v>
      </c>
      <c r="J399" s="152" t="s">
        <v>21</v>
      </c>
      <c r="K399" s="152" t="s">
        <v>21</v>
      </c>
      <c r="L399" s="152" t="s">
        <v>21</v>
      </c>
      <c r="M399" s="328">
        <v>1350</v>
      </c>
      <c r="N399" s="328"/>
      <c r="O399" s="328"/>
      <c r="P399" s="328"/>
    </row>
    <row r="400" ht="15.75" spans="1:16">
      <c r="A400" s="115">
        <v>2</v>
      </c>
      <c r="B400" s="348" t="s">
        <v>392</v>
      </c>
      <c r="C400" s="340">
        <v>3</v>
      </c>
      <c r="D400" s="341">
        <v>450</v>
      </c>
      <c r="E400" s="341">
        <f t="shared" si="9"/>
        <v>1350</v>
      </c>
      <c r="F400" s="318" t="s">
        <v>104</v>
      </c>
      <c r="G400" s="308" t="s">
        <v>19</v>
      </c>
      <c r="H400" s="308" t="s">
        <v>157</v>
      </c>
      <c r="I400" s="152" t="s">
        <v>21</v>
      </c>
      <c r="J400" s="152" t="s">
        <v>21</v>
      </c>
      <c r="K400" s="152" t="s">
        <v>21</v>
      </c>
      <c r="L400" s="152" t="s">
        <v>21</v>
      </c>
      <c r="M400" s="331">
        <v>1350</v>
      </c>
      <c r="N400" s="331"/>
      <c r="O400" s="332"/>
      <c r="P400" s="115"/>
    </row>
    <row r="401" ht="15.75" spans="1:16">
      <c r="A401" s="115">
        <v>3</v>
      </c>
      <c r="B401" s="348" t="s">
        <v>393</v>
      </c>
      <c r="C401" s="340">
        <v>3</v>
      </c>
      <c r="D401" s="341">
        <v>1400</v>
      </c>
      <c r="E401" s="341">
        <f t="shared" si="9"/>
        <v>4200</v>
      </c>
      <c r="F401" s="318" t="s">
        <v>104</v>
      </c>
      <c r="G401" s="308" t="s">
        <v>19</v>
      </c>
      <c r="H401" s="308" t="s">
        <v>157</v>
      </c>
      <c r="I401" s="152" t="s">
        <v>21</v>
      </c>
      <c r="J401" s="152" t="s">
        <v>21</v>
      </c>
      <c r="K401" s="152" t="s">
        <v>21</v>
      </c>
      <c r="L401" s="152" t="s">
        <v>21</v>
      </c>
      <c r="M401" s="331">
        <v>4200</v>
      </c>
      <c r="N401" s="331"/>
      <c r="O401" s="331"/>
      <c r="P401" s="332"/>
    </row>
    <row r="402" ht="15.75" spans="1:16">
      <c r="A402" s="115">
        <v>4</v>
      </c>
      <c r="B402" s="348" t="s">
        <v>394</v>
      </c>
      <c r="C402" s="340">
        <v>12</v>
      </c>
      <c r="D402" s="341">
        <v>150</v>
      </c>
      <c r="E402" s="341">
        <f t="shared" si="9"/>
        <v>1800</v>
      </c>
      <c r="F402" s="318" t="s">
        <v>104</v>
      </c>
      <c r="G402" s="308" t="s">
        <v>19</v>
      </c>
      <c r="H402" s="308" t="s">
        <v>157</v>
      </c>
      <c r="I402" s="152" t="s">
        <v>21</v>
      </c>
      <c r="J402" s="152" t="s">
        <v>21</v>
      </c>
      <c r="K402" s="152" t="s">
        <v>21</v>
      </c>
      <c r="L402" s="152" t="s">
        <v>21</v>
      </c>
      <c r="M402" s="328"/>
      <c r="N402" s="328">
        <v>900</v>
      </c>
      <c r="O402" s="328">
        <v>900</v>
      </c>
      <c r="P402" s="328"/>
    </row>
    <row r="403" ht="15.75" spans="1:16">
      <c r="A403" s="115">
        <v>5</v>
      </c>
      <c r="B403" s="348" t="s">
        <v>395</v>
      </c>
      <c r="C403" s="340">
        <v>12</v>
      </c>
      <c r="D403" s="341">
        <v>100</v>
      </c>
      <c r="E403" s="341">
        <f t="shared" si="9"/>
        <v>1200</v>
      </c>
      <c r="F403" s="318" t="s">
        <v>104</v>
      </c>
      <c r="G403" s="308" t="s">
        <v>19</v>
      </c>
      <c r="H403" s="308" t="s">
        <v>157</v>
      </c>
      <c r="I403" s="152" t="s">
        <v>21</v>
      </c>
      <c r="J403" s="152" t="s">
        <v>21</v>
      </c>
      <c r="K403" s="152" t="s">
        <v>21</v>
      </c>
      <c r="L403" s="152" t="s">
        <v>21</v>
      </c>
      <c r="M403" s="331"/>
      <c r="N403" s="331">
        <v>600</v>
      </c>
      <c r="O403" s="331">
        <v>600</v>
      </c>
      <c r="P403" s="332"/>
    </row>
    <row r="404" ht="15.75" spans="1:16">
      <c r="A404" s="115">
        <v>6</v>
      </c>
      <c r="B404" s="348" t="s">
        <v>396</v>
      </c>
      <c r="C404" s="340">
        <v>25</v>
      </c>
      <c r="D404" s="341">
        <v>100</v>
      </c>
      <c r="E404" s="341">
        <f t="shared" si="9"/>
        <v>2500</v>
      </c>
      <c r="F404" s="318" t="s">
        <v>104</v>
      </c>
      <c r="G404" s="308" t="s">
        <v>19</v>
      </c>
      <c r="H404" s="308" t="s">
        <v>157</v>
      </c>
      <c r="I404" s="152" t="s">
        <v>21</v>
      </c>
      <c r="J404" s="152" t="s">
        <v>21</v>
      </c>
      <c r="K404" s="152" t="s">
        <v>21</v>
      </c>
      <c r="L404" s="152" t="s">
        <v>21</v>
      </c>
      <c r="M404" s="328"/>
      <c r="N404" s="328">
        <v>1250</v>
      </c>
      <c r="O404" s="328">
        <v>1250</v>
      </c>
      <c r="P404" s="328"/>
    </row>
    <row r="405" ht="15.75" spans="1:16">
      <c r="A405" s="115">
        <v>7</v>
      </c>
      <c r="B405" s="348" t="s">
        <v>397</v>
      </c>
      <c r="C405" s="340">
        <v>1</v>
      </c>
      <c r="D405" s="341">
        <v>1200</v>
      </c>
      <c r="E405" s="341">
        <f t="shared" si="9"/>
        <v>1200</v>
      </c>
      <c r="F405" s="318" t="s">
        <v>104</v>
      </c>
      <c r="G405" s="308" t="s">
        <v>19</v>
      </c>
      <c r="H405" s="308" t="s">
        <v>157</v>
      </c>
      <c r="I405" s="152" t="s">
        <v>21</v>
      </c>
      <c r="J405" s="152" t="s">
        <v>21</v>
      </c>
      <c r="K405" s="152" t="s">
        <v>21</v>
      </c>
      <c r="L405" s="152" t="s">
        <v>21</v>
      </c>
      <c r="M405" s="331">
        <v>1200</v>
      </c>
      <c r="N405" s="331"/>
      <c r="O405" s="332"/>
      <c r="P405" s="115"/>
    </row>
    <row r="406" ht="15.75" spans="1:16">
      <c r="A406" s="115">
        <v>8</v>
      </c>
      <c r="B406" s="348" t="s">
        <v>398</v>
      </c>
      <c r="C406" s="340">
        <v>3</v>
      </c>
      <c r="D406" s="341">
        <v>450</v>
      </c>
      <c r="E406" s="341">
        <f t="shared" si="9"/>
        <v>1350</v>
      </c>
      <c r="F406" s="318" t="s">
        <v>104</v>
      </c>
      <c r="G406" s="308" t="s">
        <v>19</v>
      </c>
      <c r="H406" s="308" t="s">
        <v>157</v>
      </c>
      <c r="I406" s="152" t="s">
        <v>21</v>
      </c>
      <c r="J406" s="152" t="s">
        <v>21</v>
      </c>
      <c r="K406" s="152" t="s">
        <v>21</v>
      </c>
      <c r="L406" s="152" t="s">
        <v>21</v>
      </c>
      <c r="M406" s="331">
        <v>1350</v>
      </c>
      <c r="N406" s="331"/>
      <c r="O406" s="331"/>
      <c r="P406" s="332"/>
    </row>
    <row r="407" ht="15.75" spans="1:16">
      <c r="A407" s="115"/>
      <c r="B407" s="386" t="s">
        <v>399</v>
      </c>
      <c r="C407" s="386"/>
      <c r="D407" s="385" t="s">
        <v>400</v>
      </c>
      <c r="E407" s="317"/>
      <c r="F407" s="318"/>
      <c r="G407" s="308"/>
      <c r="H407" s="308"/>
      <c r="I407" s="152"/>
      <c r="J407" s="152"/>
      <c r="K407" s="152"/>
      <c r="L407" s="152"/>
      <c r="M407" s="328"/>
      <c r="N407" s="328"/>
      <c r="O407" s="328"/>
      <c r="P407" s="328"/>
    </row>
    <row r="408" ht="15.75" spans="1:16">
      <c r="A408" s="115">
        <v>9</v>
      </c>
      <c r="B408" s="348" t="s">
        <v>401</v>
      </c>
      <c r="C408" s="340">
        <v>40</v>
      </c>
      <c r="D408" s="341">
        <v>40</v>
      </c>
      <c r="E408" s="341">
        <f t="shared" ref="E408:E417" si="10">C408*D408</f>
        <v>1600</v>
      </c>
      <c r="F408" s="318" t="s">
        <v>104</v>
      </c>
      <c r="G408" s="308" t="s">
        <v>19</v>
      </c>
      <c r="H408" s="308" t="s">
        <v>157</v>
      </c>
      <c r="I408" s="152" t="s">
        <v>21</v>
      </c>
      <c r="J408" s="152" t="s">
        <v>21</v>
      </c>
      <c r="K408" s="152" t="s">
        <v>21</v>
      </c>
      <c r="L408" s="152" t="s">
        <v>21</v>
      </c>
      <c r="M408" s="331">
        <v>800</v>
      </c>
      <c r="N408" s="331"/>
      <c r="O408" s="331">
        <v>800</v>
      </c>
      <c r="P408" s="332"/>
    </row>
    <row r="409" ht="15.75" spans="1:16">
      <c r="A409" s="115">
        <v>10</v>
      </c>
      <c r="B409" s="348" t="s">
        <v>402</v>
      </c>
      <c r="C409" s="340">
        <v>3</v>
      </c>
      <c r="D409" s="341">
        <v>120</v>
      </c>
      <c r="E409" s="341">
        <f t="shared" si="10"/>
        <v>360</v>
      </c>
      <c r="F409" s="318" t="s">
        <v>104</v>
      </c>
      <c r="G409" s="308" t="s">
        <v>19</v>
      </c>
      <c r="H409" s="308" t="s">
        <v>157</v>
      </c>
      <c r="I409" s="152" t="s">
        <v>21</v>
      </c>
      <c r="J409" s="152" t="s">
        <v>21</v>
      </c>
      <c r="K409" s="152" t="s">
        <v>21</v>
      </c>
      <c r="L409" s="152" t="s">
        <v>21</v>
      </c>
      <c r="M409" s="331">
        <v>360</v>
      </c>
      <c r="N409" s="331"/>
      <c r="O409" s="331"/>
      <c r="P409" s="332"/>
    </row>
    <row r="410" ht="15.75" spans="1:16">
      <c r="A410" s="115">
        <v>11</v>
      </c>
      <c r="B410" s="348" t="s">
        <v>403</v>
      </c>
      <c r="C410" s="340">
        <v>36</v>
      </c>
      <c r="D410" s="341">
        <v>120</v>
      </c>
      <c r="E410" s="341">
        <f t="shared" si="10"/>
        <v>4320</v>
      </c>
      <c r="F410" s="318" t="s">
        <v>104</v>
      </c>
      <c r="G410" s="308" t="s">
        <v>19</v>
      </c>
      <c r="H410" s="308" t="s">
        <v>157</v>
      </c>
      <c r="I410" s="152" t="s">
        <v>21</v>
      </c>
      <c r="J410" s="152" t="s">
        <v>21</v>
      </c>
      <c r="K410" s="152" t="s">
        <v>21</v>
      </c>
      <c r="L410" s="152" t="s">
        <v>21</v>
      </c>
      <c r="M410" s="328">
        <v>2160</v>
      </c>
      <c r="N410" s="328"/>
      <c r="O410" s="328">
        <v>2160</v>
      </c>
      <c r="P410" s="328"/>
    </row>
    <row r="411" ht="15.75" spans="1:16">
      <c r="A411" s="115">
        <v>12</v>
      </c>
      <c r="B411" s="348" t="s">
        <v>404</v>
      </c>
      <c r="C411" s="340">
        <v>3</v>
      </c>
      <c r="D411" s="341">
        <v>550</v>
      </c>
      <c r="E411" s="341">
        <f t="shared" si="10"/>
        <v>1650</v>
      </c>
      <c r="F411" s="318" t="s">
        <v>104</v>
      </c>
      <c r="G411" s="308" t="s">
        <v>19</v>
      </c>
      <c r="H411" s="308" t="s">
        <v>157</v>
      </c>
      <c r="I411" s="152" t="s">
        <v>21</v>
      </c>
      <c r="J411" s="152" t="s">
        <v>21</v>
      </c>
      <c r="K411" s="152" t="s">
        <v>21</v>
      </c>
      <c r="L411" s="152" t="s">
        <v>21</v>
      </c>
      <c r="M411" s="331">
        <v>1650</v>
      </c>
      <c r="N411" s="331"/>
      <c r="O411" s="331"/>
      <c r="P411" s="332"/>
    </row>
    <row r="412" ht="15.75" spans="1:16">
      <c r="A412" s="115">
        <v>13</v>
      </c>
      <c r="B412" s="348" t="s">
        <v>405</v>
      </c>
      <c r="C412" s="340">
        <v>1</v>
      </c>
      <c r="D412" s="341">
        <v>650</v>
      </c>
      <c r="E412" s="341">
        <f t="shared" si="10"/>
        <v>650</v>
      </c>
      <c r="F412" s="318" t="s">
        <v>104</v>
      </c>
      <c r="G412" s="308" t="s">
        <v>19</v>
      </c>
      <c r="H412" s="308" t="s">
        <v>157</v>
      </c>
      <c r="I412" s="152" t="s">
        <v>21</v>
      </c>
      <c r="J412" s="152" t="s">
        <v>21</v>
      </c>
      <c r="K412" s="152" t="s">
        <v>21</v>
      </c>
      <c r="L412" s="152" t="s">
        <v>21</v>
      </c>
      <c r="M412" s="328">
        <v>650</v>
      </c>
      <c r="N412" s="328"/>
      <c r="O412" s="328"/>
      <c r="P412" s="328"/>
    </row>
    <row r="413" ht="15.75" spans="1:16">
      <c r="A413" s="115">
        <v>14</v>
      </c>
      <c r="B413" s="348" t="s">
        <v>406</v>
      </c>
      <c r="C413" s="340">
        <v>10</v>
      </c>
      <c r="D413" s="341">
        <v>50</v>
      </c>
      <c r="E413" s="341">
        <f t="shared" si="10"/>
        <v>500</v>
      </c>
      <c r="F413" s="318" t="s">
        <v>104</v>
      </c>
      <c r="G413" s="308" t="s">
        <v>19</v>
      </c>
      <c r="H413" s="308" t="s">
        <v>157</v>
      </c>
      <c r="I413" s="152" t="s">
        <v>21</v>
      </c>
      <c r="J413" s="152" t="s">
        <v>21</v>
      </c>
      <c r="K413" s="152" t="s">
        <v>21</v>
      </c>
      <c r="L413" s="152" t="s">
        <v>21</v>
      </c>
      <c r="M413" s="331">
        <v>250</v>
      </c>
      <c r="N413" s="331"/>
      <c r="O413" s="331">
        <v>250</v>
      </c>
      <c r="P413" s="332"/>
    </row>
    <row r="414" ht="15.75" spans="1:16">
      <c r="A414" s="115">
        <v>15</v>
      </c>
      <c r="B414" s="348" t="s">
        <v>407</v>
      </c>
      <c r="C414" s="340">
        <v>30</v>
      </c>
      <c r="D414" s="341">
        <v>80</v>
      </c>
      <c r="E414" s="341">
        <f t="shared" si="10"/>
        <v>2400</v>
      </c>
      <c r="F414" s="318" t="s">
        <v>104</v>
      </c>
      <c r="G414" s="308" t="s">
        <v>19</v>
      </c>
      <c r="H414" s="308" t="s">
        <v>157</v>
      </c>
      <c r="I414" s="152" t="s">
        <v>21</v>
      </c>
      <c r="J414" s="152" t="s">
        <v>21</v>
      </c>
      <c r="K414" s="152" t="s">
        <v>21</v>
      </c>
      <c r="L414" s="152" t="s">
        <v>21</v>
      </c>
      <c r="M414" s="328">
        <v>1200</v>
      </c>
      <c r="N414" s="328"/>
      <c r="O414" s="328">
        <v>1200</v>
      </c>
      <c r="P414" s="328"/>
    </row>
    <row r="415" ht="15.75" spans="1:16">
      <c r="A415" s="115">
        <v>16</v>
      </c>
      <c r="B415" s="348" t="s">
        <v>408</v>
      </c>
      <c r="C415" s="340">
        <v>1</v>
      </c>
      <c r="D415" s="341">
        <v>1400</v>
      </c>
      <c r="E415" s="341">
        <f t="shared" si="10"/>
        <v>1400</v>
      </c>
      <c r="F415" s="318" t="s">
        <v>104</v>
      </c>
      <c r="G415" s="308" t="s">
        <v>19</v>
      </c>
      <c r="H415" s="308" t="s">
        <v>157</v>
      </c>
      <c r="I415" s="152" t="s">
        <v>21</v>
      </c>
      <c r="J415" s="152" t="s">
        <v>21</v>
      </c>
      <c r="K415" s="152" t="s">
        <v>21</v>
      </c>
      <c r="L415" s="152" t="s">
        <v>21</v>
      </c>
      <c r="M415" s="331">
        <v>1400</v>
      </c>
      <c r="N415" s="331"/>
      <c r="O415" s="332"/>
      <c r="P415" s="115"/>
    </row>
    <row r="416" ht="15.75" spans="1:16">
      <c r="A416" s="115">
        <v>17</v>
      </c>
      <c r="B416" s="348" t="s">
        <v>409</v>
      </c>
      <c r="C416" s="340">
        <v>2</v>
      </c>
      <c r="D416" s="341">
        <v>1900</v>
      </c>
      <c r="E416" s="341">
        <f t="shared" si="10"/>
        <v>3800</v>
      </c>
      <c r="F416" s="318" t="s">
        <v>104</v>
      </c>
      <c r="G416" s="308" t="s">
        <v>19</v>
      </c>
      <c r="H416" s="308" t="s">
        <v>157</v>
      </c>
      <c r="I416" s="152" t="s">
        <v>21</v>
      </c>
      <c r="J416" s="152" t="s">
        <v>21</v>
      </c>
      <c r="K416" s="152" t="s">
        <v>21</v>
      </c>
      <c r="L416" s="152" t="s">
        <v>21</v>
      </c>
      <c r="M416" s="331">
        <v>1900</v>
      </c>
      <c r="N416" s="331"/>
      <c r="O416" s="331">
        <v>1900</v>
      </c>
      <c r="P416" s="332"/>
    </row>
    <row r="417" ht="15.75" spans="1:16">
      <c r="A417" s="115">
        <v>18</v>
      </c>
      <c r="B417" s="348" t="s">
        <v>410</v>
      </c>
      <c r="C417" s="340">
        <v>20</v>
      </c>
      <c r="D417" s="341">
        <v>150</v>
      </c>
      <c r="E417" s="341">
        <f t="shared" si="10"/>
        <v>3000</v>
      </c>
      <c r="F417" s="318" t="s">
        <v>104</v>
      </c>
      <c r="G417" s="308" t="s">
        <v>19</v>
      </c>
      <c r="H417" s="308" t="s">
        <v>157</v>
      </c>
      <c r="I417" s="152" t="s">
        <v>21</v>
      </c>
      <c r="J417" s="152" t="s">
        <v>21</v>
      </c>
      <c r="K417" s="152" t="s">
        <v>21</v>
      </c>
      <c r="L417" s="152" t="s">
        <v>21</v>
      </c>
      <c r="M417" s="328">
        <v>1500</v>
      </c>
      <c r="N417" s="328"/>
      <c r="O417" s="328">
        <v>1500</v>
      </c>
      <c r="P417" s="328"/>
    </row>
    <row r="418" ht="15.75" spans="1:16">
      <c r="A418" s="115"/>
      <c r="B418" s="386" t="s">
        <v>411</v>
      </c>
      <c r="C418" s="386"/>
      <c r="D418" s="385"/>
      <c r="E418" s="317"/>
      <c r="F418" s="318" t="s">
        <v>104</v>
      </c>
      <c r="G418" s="308" t="s">
        <v>19</v>
      </c>
      <c r="H418" s="308" t="s">
        <v>157</v>
      </c>
      <c r="I418" s="152" t="s">
        <v>21</v>
      </c>
      <c r="J418" s="152" t="s">
        <v>21</v>
      </c>
      <c r="K418" s="152" t="s">
        <v>21</v>
      </c>
      <c r="L418" s="152" t="s">
        <v>21</v>
      </c>
      <c r="M418" s="331"/>
      <c r="N418" s="331"/>
      <c r="O418" s="331"/>
      <c r="P418" s="332"/>
    </row>
    <row r="419" ht="15.75" spans="1:16">
      <c r="A419" s="115">
        <v>19</v>
      </c>
      <c r="B419" s="348" t="s">
        <v>412</v>
      </c>
      <c r="C419" s="340">
        <v>25</v>
      </c>
      <c r="D419" s="341">
        <v>250</v>
      </c>
      <c r="E419" s="341">
        <f>C419*D419</f>
        <v>6250</v>
      </c>
      <c r="F419" s="318" t="s">
        <v>104</v>
      </c>
      <c r="G419" s="308" t="s">
        <v>19</v>
      </c>
      <c r="H419" s="308" t="s">
        <v>157</v>
      </c>
      <c r="I419" s="152" t="s">
        <v>21</v>
      </c>
      <c r="J419" s="152" t="s">
        <v>21</v>
      </c>
      <c r="K419" s="152" t="s">
        <v>21</v>
      </c>
      <c r="L419" s="152" t="s">
        <v>21</v>
      </c>
      <c r="M419" s="331"/>
      <c r="N419" s="331">
        <v>3125</v>
      </c>
      <c r="O419" s="331"/>
      <c r="P419" s="332">
        <v>3125</v>
      </c>
    </row>
    <row r="420" ht="15.75" spans="1:16">
      <c r="A420" s="115">
        <v>20</v>
      </c>
      <c r="B420" s="348" t="s">
        <v>413</v>
      </c>
      <c r="C420" s="340">
        <v>15</v>
      </c>
      <c r="D420" s="341">
        <v>250</v>
      </c>
      <c r="E420" s="341">
        <f>C420*D420</f>
        <v>3750</v>
      </c>
      <c r="F420" s="318" t="s">
        <v>104</v>
      </c>
      <c r="G420" s="308" t="s">
        <v>19</v>
      </c>
      <c r="H420" s="308" t="s">
        <v>157</v>
      </c>
      <c r="I420" s="152" t="s">
        <v>21</v>
      </c>
      <c r="J420" s="152" t="s">
        <v>21</v>
      </c>
      <c r="K420" s="152" t="s">
        <v>21</v>
      </c>
      <c r="L420" s="152" t="s">
        <v>21</v>
      </c>
      <c r="M420" s="328"/>
      <c r="N420" s="328">
        <v>1875</v>
      </c>
      <c r="O420" s="328"/>
      <c r="P420" s="328">
        <v>1875</v>
      </c>
    </row>
    <row r="421" ht="15.75" spans="1:16">
      <c r="A421" s="115"/>
      <c r="B421" s="386" t="s">
        <v>414</v>
      </c>
      <c r="C421" s="386"/>
      <c r="D421" s="385"/>
      <c r="E421" s="317"/>
      <c r="F421" s="318"/>
      <c r="G421" s="308"/>
      <c r="H421" s="308"/>
      <c r="I421" s="152"/>
      <c r="J421" s="152"/>
      <c r="K421" s="152"/>
      <c r="L421" s="152"/>
      <c r="M421" s="331"/>
      <c r="N421" s="331"/>
      <c r="O421" s="331"/>
      <c r="P421" s="332"/>
    </row>
    <row r="422" ht="15.75" spans="1:16">
      <c r="A422" s="115">
        <v>21</v>
      </c>
      <c r="B422" s="348" t="s">
        <v>415</v>
      </c>
      <c r="C422" s="340">
        <v>2</v>
      </c>
      <c r="D422" s="341">
        <v>850</v>
      </c>
      <c r="E422" s="341">
        <f t="shared" ref="E422:E432" si="11">C422*D422</f>
        <v>1700</v>
      </c>
      <c r="F422" s="318" t="s">
        <v>104</v>
      </c>
      <c r="G422" s="308" t="s">
        <v>19</v>
      </c>
      <c r="H422" s="308" t="s">
        <v>157</v>
      </c>
      <c r="I422" s="152" t="s">
        <v>21</v>
      </c>
      <c r="J422" s="152" t="s">
        <v>21</v>
      </c>
      <c r="K422" s="152" t="s">
        <v>21</v>
      </c>
      <c r="L422" s="152" t="s">
        <v>21</v>
      </c>
      <c r="M422" s="328">
        <v>850</v>
      </c>
      <c r="N422" s="328"/>
      <c r="O422" s="328">
        <v>850</v>
      </c>
      <c r="P422" s="328"/>
    </row>
    <row r="423" ht="15.75" spans="1:16">
      <c r="A423" s="115">
        <v>22</v>
      </c>
      <c r="B423" s="348" t="s">
        <v>416</v>
      </c>
      <c r="C423" s="340">
        <v>3</v>
      </c>
      <c r="D423" s="341">
        <v>1200</v>
      </c>
      <c r="E423" s="341">
        <f t="shared" si="11"/>
        <v>3600</v>
      </c>
      <c r="F423" s="318" t="s">
        <v>104</v>
      </c>
      <c r="G423" s="308" t="s">
        <v>19</v>
      </c>
      <c r="H423" s="308" t="s">
        <v>157</v>
      </c>
      <c r="I423" s="152" t="s">
        <v>21</v>
      </c>
      <c r="J423" s="152" t="s">
        <v>21</v>
      </c>
      <c r="K423" s="152" t="s">
        <v>21</v>
      </c>
      <c r="L423" s="152" t="s">
        <v>21</v>
      </c>
      <c r="M423" s="331">
        <v>2400</v>
      </c>
      <c r="N423" s="331"/>
      <c r="O423" s="332">
        <v>1200</v>
      </c>
      <c r="P423" s="115"/>
    </row>
    <row r="424" ht="15.75" spans="1:16">
      <c r="A424" s="115">
        <v>23</v>
      </c>
      <c r="B424" s="348" t="s">
        <v>417</v>
      </c>
      <c r="C424" s="340">
        <v>1</v>
      </c>
      <c r="D424" s="341">
        <v>850</v>
      </c>
      <c r="E424" s="341">
        <f t="shared" si="11"/>
        <v>850</v>
      </c>
      <c r="F424" s="318" t="s">
        <v>104</v>
      </c>
      <c r="G424" s="308" t="s">
        <v>19</v>
      </c>
      <c r="H424" s="308" t="s">
        <v>157</v>
      </c>
      <c r="I424" s="152" t="s">
        <v>21</v>
      </c>
      <c r="J424" s="152" t="s">
        <v>21</v>
      </c>
      <c r="K424" s="152" t="s">
        <v>21</v>
      </c>
      <c r="L424" s="152" t="s">
        <v>21</v>
      </c>
      <c r="M424" s="331">
        <v>850</v>
      </c>
      <c r="N424" s="331"/>
      <c r="O424" s="331"/>
      <c r="P424" s="332"/>
    </row>
    <row r="425" ht="15.75" spans="1:16">
      <c r="A425" s="115">
        <v>24</v>
      </c>
      <c r="B425" s="348" t="s">
        <v>418</v>
      </c>
      <c r="C425" s="340">
        <v>3</v>
      </c>
      <c r="D425" s="341">
        <v>800</v>
      </c>
      <c r="E425" s="341">
        <f t="shared" si="11"/>
        <v>2400</v>
      </c>
      <c r="F425" s="318" t="s">
        <v>104</v>
      </c>
      <c r="G425" s="308" t="s">
        <v>19</v>
      </c>
      <c r="H425" s="308" t="s">
        <v>157</v>
      </c>
      <c r="I425" s="152" t="s">
        <v>21</v>
      </c>
      <c r="J425" s="152" t="s">
        <v>21</v>
      </c>
      <c r="K425" s="152" t="s">
        <v>21</v>
      </c>
      <c r="L425" s="152" t="s">
        <v>21</v>
      </c>
      <c r="M425" s="328">
        <v>1600</v>
      </c>
      <c r="N425" s="328"/>
      <c r="O425" s="328">
        <v>800</v>
      </c>
      <c r="P425" s="328"/>
    </row>
    <row r="426" ht="15.75" spans="1:16">
      <c r="A426" s="115">
        <v>25</v>
      </c>
      <c r="B426" s="348" t="s">
        <v>419</v>
      </c>
      <c r="C426" s="340">
        <v>2</v>
      </c>
      <c r="D426" s="341">
        <v>1590</v>
      </c>
      <c r="E426" s="341">
        <f t="shared" si="11"/>
        <v>3180</v>
      </c>
      <c r="F426" s="318" t="s">
        <v>104</v>
      </c>
      <c r="G426" s="308" t="s">
        <v>19</v>
      </c>
      <c r="H426" s="308" t="s">
        <v>157</v>
      </c>
      <c r="I426" s="152" t="s">
        <v>21</v>
      </c>
      <c r="J426" s="152" t="s">
        <v>21</v>
      </c>
      <c r="K426" s="152" t="s">
        <v>21</v>
      </c>
      <c r="L426" s="152" t="s">
        <v>21</v>
      </c>
      <c r="M426" s="331">
        <v>1590</v>
      </c>
      <c r="N426" s="331"/>
      <c r="O426" s="331">
        <v>1590</v>
      </c>
      <c r="P426" s="332"/>
    </row>
    <row r="427" ht="15.75" spans="1:16">
      <c r="A427" s="115">
        <v>26</v>
      </c>
      <c r="B427" s="348" t="s">
        <v>420</v>
      </c>
      <c r="C427" s="340">
        <v>1</v>
      </c>
      <c r="D427" s="341">
        <v>700</v>
      </c>
      <c r="E427" s="341">
        <f t="shared" si="11"/>
        <v>700</v>
      </c>
      <c r="F427" s="318" t="s">
        <v>104</v>
      </c>
      <c r="G427" s="308" t="s">
        <v>19</v>
      </c>
      <c r="H427" s="308" t="s">
        <v>157</v>
      </c>
      <c r="I427" s="152" t="s">
        <v>21</v>
      </c>
      <c r="J427" s="152" t="s">
        <v>21</v>
      </c>
      <c r="K427" s="152" t="s">
        <v>21</v>
      </c>
      <c r="L427" s="152" t="s">
        <v>21</v>
      </c>
      <c r="M427" s="331">
        <v>700</v>
      </c>
      <c r="N427" s="331"/>
      <c r="O427" s="331"/>
      <c r="P427" s="332"/>
    </row>
    <row r="428" ht="15.75" spans="1:16">
      <c r="A428" s="115">
        <v>27</v>
      </c>
      <c r="B428" s="348" t="s">
        <v>421</v>
      </c>
      <c r="C428" s="340">
        <v>3</v>
      </c>
      <c r="D428" s="341">
        <v>800</v>
      </c>
      <c r="E428" s="341">
        <f t="shared" si="11"/>
        <v>2400</v>
      </c>
      <c r="F428" s="318" t="s">
        <v>104</v>
      </c>
      <c r="G428" s="308" t="s">
        <v>19</v>
      </c>
      <c r="H428" s="308" t="s">
        <v>157</v>
      </c>
      <c r="I428" s="152" t="s">
        <v>21</v>
      </c>
      <c r="J428" s="152" t="s">
        <v>21</v>
      </c>
      <c r="K428" s="152" t="s">
        <v>21</v>
      </c>
      <c r="L428" s="152" t="s">
        <v>21</v>
      </c>
      <c r="M428" s="328">
        <v>1600</v>
      </c>
      <c r="N428" s="328"/>
      <c r="O428" s="328">
        <v>800</v>
      </c>
      <c r="P428" s="328"/>
    </row>
    <row r="429" ht="15.75" spans="1:16">
      <c r="A429" s="115">
        <v>28</v>
      </c>
      <c r="B429" s="348" t="s">
        <v>422</v>
      </c>
      <c r="C429" s="340">
        <v>3</v>
      </c>
      <c r="D429" s="341">
        <v>500</v>
      </c>
      <c r="E429" s="341">
        <f t="shared" si="11"/>
        <v>1500</v>
      </c>
      <c r="F429" s="318" t="s">
        <v>104</v>
      </c>
      <c r="G429" s="308" t="s">
        <v>19</v>
      </c>
      <c r="H429" s="308" t="s">
        <v>157</v>
      </c>
      <c r="I429" s="152" t="s">
        <v>21</v>
      </c>
      <c r="J429" s="152" t="s">
        <v>21</v>
      </c>
      <c r="K429" s="152" t="s">
        <v>21</v>
      </c>
      <c r="L429" s="152" t="s">
        <v>21</v>
      </c>
      <c r="M429" s="331">
        <v>1000</v>
      </c>
      <c r="N429" s="331"/>
      <c r="O429" s="331">
        <v>500</v>
      </c>
      <c r="P429" s="332"/>
    </row>
    <row r="430" ht="15.75" spans="1:16">
      <c r="A430" s="115">
        <v>29</v>
      </c>
      <c r="B430" s="393" t="s">
        <v>423</v>
      </c>
      <c r="C430" s="172">
        <v>5</v>
      </c>
      <c r="D430" s="341">
        <v>280</v>
      </c>
      <c r="E430" s="341">
        <f t="shared" si="11"/>
        <v>1400</v>
      </c>
      <c r="F430" s="318" t="s">
        <v>104</v>
      </c>
      <c r="G430" s="308" t="s">
        <v>19</v>
      </c>
      <c r="H430" s="308" t="s">
        <v>157</v>
      </c>
      <c r="I430" s="152" t="s">
        <v>21</v>
      </c>
      <c r="J430" s="152" t="s">
        <v>21</v>
      </c>
      <c r="K430" s="152" t="s">
        <v>21</v>
      </c>
      <c r="L430" s="152" t="s">
        <v>21</v>
      </c>
      <c r="M430" s="328">
        <v>700</v>
      </c>
      <c r="N430" s="328"/>
      <c r="O430" s="328">
        <v>700</v>
      </c>
      <c r="P430" s="328"/>
    </row>
    <row r="431" ht="15.75" spans="1:16">
      <c r="A431" s="115">
        <v>30</v>
      </c>
      <c r="B431" s="348" t="s">
        <v>424</v>
      </c>
      <c r="C431" s="340">
        <v>5</v>
      </c>
      <c r="D431" s="341">
        <v>210</v>
      </c>
      <c r="E431" s="341">
        <f t="shared" si="11"/>
        <v>1050</v>
      </c>
      <c r="F431" s="318" t="s">
        <v>104</v>
      </c>
      <c r="G431" s="308" t="s">
        <v>19</v>
      </c>
      <c r="H431" s="308" t="s">
        <v>157</v>
      </c>
      <c r="I431" s="152" t="s">
        <v>21</v>
      </c>
      <c r="J431" s="152" t="s">
        <v>21</v>
      </c>
      <c r="K431" s="152" t="s">
        <v>21</v>
      </c>
      <c r="L431" s="152" t="s">
        <v>21</v>
      </c>
      <c r="M431" s="331">
        <v>1050</v>
      </c>
      <c r="N431" s="331"/>
      <c r="O431" s="331"/>
      <c r="P431" s="332"/>
    </row>
    <row r="432" ht="15.75" spans="1:16">
      <c r="A432" s="115">
        <v>31</v>
      </c>
      <c r="B432" s="348" t="s">
        <v>425</v>
      </c>
      <c r="C432" s="340">
        <v>5</v>
      </c>
      <c r="D432" s="341">
        <v>250</v>
      </c>
      <c r="E432" s="341">
        <f t="shared" si="11"/>
        <v>1250</v>
      </c>
      <c r="F432" s="318" t="s">
        <v>104</v>
      </c>
      <c r="G432" s="308" t="s">
        <v>19</v>
      </c>
      <c r="H432" s="308" t="s">
        <v>157</v>
      </c>
      <c r="I432" s="152" t="s">
        <v>21</v>
      </c>
      <c r="J432" s="152" t="s">
        <v>21</v>
      </c>
      <c r="K432" s="152" t="s">
        <v>21</v>
      </c>
      <c r="L432" s="152" t="s">
        <v>21</v>
      </c>
      <c r="M432" s="328">
        <v>750</v>
      </c>
      <c r="N432" s="328"/>
      <c r="O432" s="328">
        <v>500</v>
      </c>
      <c r="P432" s="328"/>
    </row>
    <row r="433" ht="15.75" spans="1:16">
      <c r="A433" s="115"/>
      <c r="B433" s="386" t="s">
        <v>426</v>
      </c>
      <c r="C433" s="386"/>
      <c r="D433" s="385"/>
      <c r="E433" s="317"/>
      <c r="F433" s="318"/>
      <c r="G433" s="308"/>
      <c r="H433" s="308"/>
      <c r="I433" s="152"/>
      <c r="J433" s="152"/>
      <c r="K433" s="152"/>
      <c r="L433" s="152"/>
      <c r="M433" s="331"/>
      <c r="N433" s="331"/>
      <c r="O433" s="332"/>
      <c r="P433" s="115"/>
    </row>
    <row r="434" ht="15.75" spans="1:16">
      <c r="A434" s="115">
        <v>32</v>
      </c>
      <c r="B434" s="348" t="s">
        <v>427</v>
      </c>
      <c r="C434" s="340">
        <v>1</v>
      </c>
      <c r="D434" s="341">
        <v>7800</v>
      </c>
      <c r="E434" s="341">
        <f>C434*D434</f>
        <v>7800</v>
      </c>
      <c r="F434" s="318" t="s">
        <v>104</v>
      </c>
      <c r="G434" s="308" t="s">
        <v>19</v>
      </c>
      <c r="H434" s="308" t="s">
        <v>157</v>
      </c>
      <c r="I434" s="152" t="s">
        <v>21</v>
      </c>
      <c r="J434" s="152" t="s">
        <v>21</v>
      </c>
      <c r="K434" s="152" t="s">
        <v>21</v>
      </c>
      <c r="L434" s="152" t="s">
        <v>21</v>
      </c>
      <c r="M434" s="331"/>
      <c r="N434" s="331">
        <v>7800</v>
      </c>
      <c r="O434" s="331"/>
      <c r="P434" s="332"/>
    </row>
    <row r="435" ht="15.75" spans="1:16">
      <c r="A435" s="115">
        <v>33</v>
      </c>
      <c r="B435" s="348" t="s">
        <v>428</v>
      </c>
      <c r="C435" s="340">
        <v>3</v>
      </c>
      <c r="D435" s="341">
        <v>4500</v>
      </c>
      <c r="E435" s="341">
        <f>C435*D435</f>
        <v>13500</v>
      </c>
      <c r="F435" s="318" t="s">
        <v>104</v>
      </c>
      <c r="G435" s="308" t="s">
        <v>19</v>
      </c>
      <c r="H435" s="308" t="s">
        <v>157</v>
      </c>
      <c r="I435" s="152" t="s">
        <v>21</v>
      </c>
      <c r="J435" s="152" t="s">
        <v>21</v>
      </c>
      <c r="K435" s="152" t="s">
        <v>21</v>
      </c>
      <c r="L435" s="152" t="s">
        <v>21</v>
      </c>
      <c r="M435" s="328"/>
      <c r="N435" s="328">
        <v>13500</v>
      </c>
      <c r="O435" s="328"/>
      <c r="P435" s="328"/>
    </row>
    <row r="436" ht="15.75" spans="1:16">
      <c r="A436" s="115">
        <v>34</v>
      </c>
      <c r="B436" s="394" t="s">
        <v>429</v>
      </c>
      <c r="C436" s="172">
        <v>3</v>
      </c>
      <c r="D436" s="341">
        <v>4800</v>
      </c>
      <c r="E436" s="341">
        <f>C436*D436</f>
        <v>14400</v>
      </c>
      <c r="F436" s="318" t="s">
        <v>104</v>
      </c>
      <c r="G436" s="308" t="s">
        <v>19</v>
      </c>
      <c r="H436" s="308" t="s">
        <v>157</v>
      </c>
      <c r="I436" s="152" t="s">
        <v>21</v>
      </c>
      <c r="J436" s="152" t="s">
        <v>21</v>
      </c>
      <c r="K436" s="152" t="s">
        <v>21</v>
      </c>
      <c r="L436" s="152" t="s">
        <v>21</v>
      </c>
      <c r="M436" s="331"/>
      <c r="N436" s="331">
        <v>14400</v>
      </c>
      <c r="O436" s="331"/>
      <c r="P436" s="332"/>
    </row>
    <row r="437" ht="15.75" spans="1:16">
      <c r="A437" s="115">
        <v>35</v>
      </c>
      <c r="B437" s="393" t="s">
        <v>428</v>
      </c>
      <c r="C437" s="172">
        <v>4</v>
      </c>
      <c r="D437" s="341">
        <v>920</v>
      </c>
      <c r="E437" s="341">
        <f>C437*D437</f>
        <v>3680</v>
      </c>
      <c r="F437" s="318" t="s">
        <v>104</v>
      </c>
      <c r="G437" s="308" t="s">
        <v>19</v>
      </c>
      <c r="H437" s="308" t="s">
        <v>157</v>
      </c>
      <c r="I437" s="152" t="s">
        <v>21</v>
      </c>
      <c r="J437" s="152" t="s">
        <v>21</v>
      </c>
      <c r="K437" s="152" t="s">
        <v>21</v>
      </c>
      <c r="L437" s="152" t="s">
        <v>21</v>
      </c>
      <c r="M437" s="331"/>
      <c r="N437" s="331">
        <v>3680</v>
      </c>
      <c r="O437" s="331"/>
      <c r="P437" s="332"/>
    </row>
    <row r="438" ht="15.75" spans="1:16">
      <c r="A438" s="115">
        <v>36</v>
      </c>
      <c r="B438" s="348" t="s">
        <v>430</v>
      </c>
      <c r="C438" s="340">
        <v>30</v>
      </c>
      <c r="D438" s="341">
        <v>450</v>
      </c>
      <c r="E438" s="341">
        <f>C438*D438</f>
        <v>13500</v>
      </c>
      <c r="F438" s="318" t="s">
        <v>104</v>
      </c>
      <c r="G438" s="308" t="s">
        <v>19</v>
      </c>
      <c r="H438" s="308" t="s">
        <v>157</v>
      </c>
      <c r="I438" s="152" t="s">
        <v>21</v>
      </c>
      <c r="J438" s="152" t="s">
        <v>21</v>
      </c>
      <c r="K438" s="152" t="s">
        <v>21</v>
      </c>
      <c r="L438" s="152" t="s">
        <v>21</v>
      </c>
      <c r="M438" s="328"/>
      <c r="N438" s="328">
        <v>6750</v>
      </c>
      <c r="O438" s="328"/>
      <c r="P438" s="328">
        <v>6750</v>
      </c>
    </row>
    <row r="439" ht="15.75" spans="1:16">
      <c r="A439" s="115"/>
      <c r="B439" s="386" t="s">
        <v>431</v>
      </c>
      <c r="C439" s="386"/>
      <c r="D439" s="385"/>
      <c r="E439" s="317"/>
      <c r="F439" s="318"/>
      <c r="G439" s="308"/>
      <c r="H439" s="308"/>
      <c r="I439" s="152"/>
      <c r="J439" s="152"/>
      <c r="K439" s="152"/>
      <c r="L439" s="152"/>
      <c r="M439" s="331"/>
      <c r="N439" s="331"/>
      <c r="O439" s="331"/>
      <c r="P439" s="332"/>
    </row>
    <row r="440" ht="15.75" spans="1:16">
      <c r="A440" s="115">
        <v>37</v>
      </c>
      <c r="B440" s="348" t="s">
        <v>432</v>
      </c>
      <c r="C440" s="340">
        <v>1</v>
      </c>
      <c r="D440" s="341">
        <v>2400</v>
      </c>
      <c r="E440" s="341">
        <f>C440*D440</f>
        <v>2400</v>
      </c>
      <c r="F440" s="318" t="s">
        <v>104</v>
      </c>
      <c r="G440" s="308" t="s">
        <v>19</v>
      </c>
      <c r="H440" s="308" t="s">
        <v>157</v>
      </c>
      <c r="I440" s="152" t="s">
        <v>21</v>
      </c>
      <c r="J440" s="152" t="s">
        <v>21</v>
      </c>
      <c r="K440" s="152" t="s">
        <v>21</v>
      </c>
      <c r="L440" s="152" t="s">
        <v>21</v>
      </c>
      <c r="M440" s="328"/>
      <c r="N440" s="328"/>
      <c r="O440" s="328">
        <v>2400</v>
      </c>
      <c r="P440" s="328"/>
    </row>
    <row r="441" ht="15.75" spans="1:16">
      <c r="A441" s="115">
        <v>38</v>
      </c>
      <c r="B441" s="348" t="s">
        <v>433</v>
      </c>
      <c r="C441" s="340">
        <v>1</v>
      </c>
      <c r="D441" s="341">
        <v>5000</v>
      </c>
      <c r="E441" s="341">
        <f>C441*D441</f>
        <v>5000</v>
      </c>
      <c r="F441" s="318" t="s">
        <v>104</v>
      </c>
      <c r="G441" s="308" t="s">
        <v>19</v>
      </c>
      <c r="H441" s="308" t="s">
        <v>157</v>
      </c>
      <c r="I441" s="152" t="s">
        <v>21</v>
      </c>
      <c r="J441" s="152" t="s">
        <v>21</v>
      </c>
      <c r="K441" s="152" t="s">
        <v>21</v>
      </c>
      <c r="L441" s="152" t="s">
        <v>21</v>
      </c>
      <c r="M441" s="331"/>
      <c r="N441" s="331"/>
      <c r="O441" s="332">
        <v>5000</v>
      </c>
      <c r="P441" s="115"/>
    </row>
    <row r="442" ht="15.75" spans="1:16">
      <c r="A442" s="115">
        <v>39</v>
      </c>
      <c r="B442" s="348" t="s">
        <v>434</v>
      </c>
      <c r="C442" s="340">
        <v>1</v>
      </c>
      <c r="D442" s="341">
        <v>6500</v>
      </c>
      <c r="E442" s="341">
        <f>C442*D442</f>
        <v>6500</v>
      </c>
      <c r="F442" s="318" t="s">
        <v>104</v>
      </c>
      <c r="G442" s="308" t="s">
        <v>19</v>
      </c>
      <c r="H442" s="308" t="s">
        <v>157</v>
      </c>
      <c r="I442" s="152" t="s">
        <v>21</v>
      </c>
      <c r="J442" s="152" t="s">
        <v>21</v>
      </c>
      <c r="K442" s="152" t="s">
        <v>21</v>
      </c>
      <c r="L442" s="152" t="s">
        <v>21</v>
      </c>
      <c r="M442" s="331"/>
      <c r="N442" s="331"/>
      <c r="O442" s="331">
        <v>6500</v>
      </c>
      <c r="P442" s="332"/>
    </row>
    <row r="443" ht="15.75" spans="1:16">
      <c r="A443" s="115"/>
      <c r="B443" s="386" t="s">
        <v>435</v>
      </c>
      <c r="C443" s="386"/>
      <c r="D443" s="385"/>
      <c r="E443" s="317"/>
      <c r="F443" s="318"/>
      <c r="G443" s="308"/>
      <c r="H443" s="308"/>
      <c r="I443" s="152"/>
      <c r="J443" s="152"/>
      <c r="K443" s="152"/>
      <c r="L443" s="152"/>
      <c r="M443" s="328"/>
      <c r="N443" s="328"/>
      <c r="O443" s="328"/>
      <c r="P443" s="328"/>
    </row>
    <row r="444" ht="15.75" spans="1:16">
      <c r="A444" s="115">
        <v>40</v>
      </c>
      <c r="B444" s="348" t="s">
        <v>436</v>
      </c>
      <c r="C444" s="340">
        <v>10</v>
      </c>
      <c r="D444" s="341">
        <v>650</v>
      </c>
      <c r="E444" s="341">
        <f t="shared" ref="E444:E451" si="12">C444*D444</f>
        <v>6500</v>
      </c>
      <c r="F444" s="318" t="s">
        <v>104</v>
      </c>
      <c r="G444" s="308" t="s">
        <v>19</v>
      </c>
      <c r="H444" s="308" t="s">
        <v>157</v>
      </c>
      <c r="I444" s="152" t="s">
        <v>21</v>
      </c>
      <c r="J444" s="152" t="s">
        <v>21</v>
      </c>
      <c r="K444" s="152" t="s">
        <v>21</v>
      </c>
      <c r="L444" s="152" t="s">
        <v>21</v>
      </c>
      <c r="M444" s="331"/>
      <c r="N444" s="331">
        <v>3250</v>
      </c>
      <c r="O444" s="331"/>
      <c r="P444" s="332">
        <v>3250</v>
      </c>
    </row>
    <row r="445" ht="15.75" spans="1:16">
      <c r="A445" s="115">
        <v>41</v>
      </c>
      <c r="B445" s="348" t="s">
        <v>437</v>
      </c>
      <c r="C445" s="340">
        <v>5</v>
      </c>
      <c r="D445" s="341">
        <v>480</v>
      </c>
      <c r="E445" s="341">
        <f t="shared" si="12"/>
        <v>2400</v>
      </c>
      <c r="F445" s="318" t="s">
        <v>104</v>
      </c>
      <c r="G445" s="308" t="s">
        <v>19</v>
      </c>
      <c r="H445" s="308" t="s">
        <v>157</v>
      </c>
      <c r="I445" s="152" t="s">
        <v>21</v>
      </c>
      <c r="J445" s="152" t="s">
        <v>21</v>
      </c>
      <c r="K445" s="152" t="s">
        <v>21</v>
      </c>
      <c r="L445" s="152" t="s">
        <v>21</v>
      </c>
      <c r="M445" s="331"/>
      <c r="N445" s="331">
        <v>1200</v>
      </c>
      <c r="O445" s="331"/>
      <c r="P445" s="332">
        <v>1200</v>
      </c>
    </row>
    <row r="446" ht="15.75" spans="1:16">
      <c r="A446" s="115">
        <v>42</v>
      </c>
      <c r="B446" s="348" t="s">
        <v>438</v>
      </c>
      <c r="C446" s="340">
        <v>50</v>
      </c>
      <c r="D446" s="341">
        <v>450</v>
      </c>
      <c r="E446" s="341">
        <f t="shared" si="12"/>
        <v>22500</v>
      </c>
      <c r="F446" s="318" t="s">
        <v>104</v>
      </c>
      <c r="G446" s="308" t="s">
        <v>19</v>
      </c>
      <c r="H446" s="308" t="s">
        <v>157</v>
      </c>
      <c r="I446" s="152" t="s">
        <v>21</v>
      </c>
      <c r="J446" s="152" t="s">
        <v>21</v>
      </c>
      <c r="K446" s="152" t="s">
        <v>21</v>
      </c>
      <c r="L446" s="152" t="s">
        <v>21</v>
      </c>
      <c r="M446" s="328"/>
      <c r="N446" s="328">
        <v>11250</v>
      </c>
      <c r="O446" s="328"/>
      <c r="P446" s="328">
        <v>11250</v>
      </c>
    </row>
    <row r="447" ht="15.75" spans="1:16">
      <c r="A447" s="115">
        <v>43</v>
      </c>
      <c r="B447" s="348" t="s">
        <v>439</v>
      </c>
      <c r="C447" s="340">
        <v>10</v>
      </c>
      <c r="D447" s="341">
        <v>1200</v>
      </c>
      <c r="E447" s="341">
        <f t="shared" si="12"/>
        <v>12000</v>
      </c>
      <c r="F447" s="318" t="s">
        <v>104</v>
      </c>
      <c r="G447" s="308" t="s">
        <v>19</v>
      </c>
      <c r="H447" s="308" t="s">
        <v>157</v>
      </c>
      <c r="I447" s="152" t="s">
        <v>21</v>
      </c>
      <c r="J447" s="152" t="s">
        <v>21</v>
      </c>
      <c r="K447" s="152" t="s">
        <v>21</v>
      </c>
      <c r="L447" s="152" t="s">
        <v>21</v>
      </c>
      <c r="M447" s="331"/>
      <c r="N447" s="331">
        <v>6000</v>
      </c>
      <c r="O447" s="331"/>
      <c r="P447" s="332">
        <v>6000</v>
      </c>
    </row>
    <row r="448" ht="15.75" spans="1:16">
      <c r="A448" s="115">
        <v>44</v>
      </c>
      <c r="B448" s="348" t="s">
        <v>440</v>
      </c>
      <c r="C448" s="340">
        <v>6</v>
      </c>
      <c r="D448" s="341">
        <v>250</v>
      </c>
      <c r="E448" s="341">
        <f t="shared" si="12"/>
        <v>1500</v>
      </c>
      <c r="F448" s="318" t="s">
        <v>104</v>
      </c>
      <c r="G448" s="308" t="s">
        <v>19</v>
      </c>
      <c r="H448" s="308" t="s">
        <v>157</v>
      </c>
      <c r="I448" s="152" t="s">
        <v>21</v>
      </c>
      <c r="J448" s="152" t="s">
        <v>21</v>
      </c>
      <c r="K448" s="152" t="s">
        <v>21</v>
      </c>
      <c r="L448" s="152" t="s">
        <v>21</v>
      </c>
      <c r="M448" s="328"/>
      <c r="N448" s="328">
        <v>750</v>
      </c>
      <c r="O448" s="328"/>
      <c r="P448" s="328">
        <v>750</v>
      </c>
    </row>
    <row r="449" ht="15.75" spans="1:16">
      <c r="A449" s="115">
        <v>45</v>
      </c>
      <c r="B449" s="348" t="s">
        <v>441</v>
      </c>
      <c r="C449" s="340">
        <v>2</v>
      </c>
      <c r="D449" s="341">
        <v>1800</v>
      </c>
      <c r="E449" s="341">
        <f t="shared" si="12"/>
        <v>3600</v>
      </c>
      <c r="F449" s="318" t="s">
        <v>104</v>
      </c>
      <c r="G449" s="308" t="s">
        <v>19</v>
      </c>
      <c r="H449" s="308" t="s">
        <v>157</v>
      </c>
      <c r="I449" s="152" t="s">
        <v>21</v>
      </c>
      <c r="J449" s="152" t="s">
        <v>21</v>
      </c>
      <c r="K449" s="152" t="s">
        <v>21</v>
      </c>
      <c r="L449" s="152" t="s">
        <v>21</v>
      </c>
      <c r="M449" s="331"/>
      <c r="N449" s="331">
        <v>1800</v>
      </c>
      <c r="O449" s="331"/>
      <c r="P449" s="332">
        <v>1800</v>
      </c>
    </row>
    <row r="450" ht="15.75" spans="1:16">
      <c r="A450" s="115">
        <v>46</v>
      </c>
      <c r="B450" s="348" t="s">
        <v>442</v>
      </c>
      <c r="C450" s="340">
        <v>2</v>
      </c>
      <c r="D450" s="341">
        <v>1120</v>
      </c>
      <c r="E450" s="341">
        <f t="shared" si="12"/>
        <v>2240</v>
      </c>
      <c r="F450" s="318" t="s">
        <v>104</v>
      </c>
      <c r="G450" s="308" t="s">
        <v>19</v>
      </c>
      <c r="H450" s="308" t="s">
        <v>157</v>
      </c>
      <c r="I450" s="152" t="s">
        <v>21</v>
      </c>
      <c r="J450" s="152" t="s">
        <v>21</v>
      </c>
      <c r="K450" s="152" t="s">
        <v>21</v>
      </c>
      <c r="L450" s="152" t="s">
        <v>21</v>
      </c>
      <c r="M450" s="328"/>
      <c r="N450" s="328">
        <v>1120</v>
      </c>
      <c r="O450" s="328"/>
      <c r="P450" s="328">
        <v>1120</v>
      </c>
    </row>
    <row r="451" ht="15.75" spans="1:16">
      <c r="A451" s="115">
        <v>47</v>
      </c>
      <c r="B451" s="348" t="s">
        <v>443</v>
      </c>
      <c r="C451" s="340">
        <v>2</v>
      </c>
      <c r="D451" s="341">
        <v>880</v>
      </c>
      <c r="E451" s="341">
        <f t="shared" si="12"/>
        <v>1760</v>
      </c>
      <c r="F451" s="318" t="s">
        <v>104</v>
      </c>
      <c r="G451" s="308" t="s">
        <v>19</v>
      </c>
      <c r="H451" s="308" t="s">
        <v>157</v>
      </c>
      <c r="I451" s="152" t="s">
        <v>21</v>
      </c>
      <c r="J451" s="152" t="s">
        <v>21</v>
      </c>
      <c r="K451" s="152" t="s">
        <v>21</v>
      </c>
      <c r="L451" s="152" t="s">
        <v>21</v>
      </c>
      <c r="M451" s="331"/>
      <c r="N451" s="331">
        <v>880</v>
      </c>
      <c r="O451" s="332"/>
      <c r="P451" s="332">
        <v>880</v>
      </c>
    </row>
    <row r="452" ht="15.75" spans="1:16">
      <c r="A452" s="115"/>
      <c r="B452" s="386" t="s">
        <v>444</v>
      </c>
      <c r="C452" s="340"/>
      <c r="D452" s="341"/>
      <c r="E452" s="341"/>
      <c r="F452" s="318"/>
      <c r="G452" s="395"/>
      <c r="H452" s="308"/>
      <c r="I452" s="152"/>
      <c r="J452" s="152"/>
      <c r="K452" s="152"/>
      <c r="L452" s="152"/>
      <c r="M452" s="331"/>
      <c r="N452" s="331"/>
      <c r="O452" s="331"/>
      <c r="P452" s="332"/>
    </row>
    <row r="453" ht="15.75" spans="1:16">
      <c r="A453" s="115">
        <v>48</v>
      </c>
      <c r="B453" s="348" t="s">
        <v>445</v>
      </c>
      <c r="C453" s="340">
        <v>5</v>
      </c>
      <c r="D453" s="341">
        <v>3100</v>
      </c>
      <c r="E453" s="341">
        <f>C453*D453</f>
        <v>15500</v>
      </c>
      <c r="F453" s="318" t="s">
        <v>104</v>
      </c>
      <c r="G453" s="395" t="s">
        <v>19</v>
      </c>
      <c r="H453" s="308" t="s">
        <v>157</v>
      </c>
      <c r="I453" s="152" t="s">
        <v>21</v>
      </c>
      <c r="J453" s="152" t="s">
        <v>21</v>
      </c>
      <c r="K453" s="152" t="s">
        <v>21</v>
      </c>
      <c r="L453" s="152" t="s">
        <v>21</v>
      </c>
      <c r="M453" s="331">
        <v>3875</v>
      </c>
      <c r="N453" s="331">
        <v>3875</v>
      </c>
      <c r="O453" s="331">
        <v>3875</v>
      </c>
      <c r="P453" s="332">
        <v>3875</v>
      </c>
    </row>
    <row r="454" ht="15.75" spans="1:16">
      <c r="A454" s="115">
        <v>49</v>
      </c>
      <c r="B454" s="348" t="s">
        <v>446</v>
      </c>
      <c r="C454" s="340">
        <v>5</v>
      </c>
      <c r="D454" s="341">
        <v>9600</v>
      </c>
      <c r="E454" s="341">
        <f t="shared" ref="E454:E466" si="13">C454*D454</f>
        <v>48000</v>
      </c>
      <c r="F454" s="318" t="s">
        <v>104</v>
      </c>
      <c r="G454" s="308" t="s">
        <v>19</v>
      </c>
      <c r="H454" s="308" t="s">
        <v>157</v>
      </c>
      <c r="I454" s="152" t="s">
        <v>21</v>
      </c>
      <c r="J454" s="152" t="s">
        <v>21</v>
      </c>
      <c r="K454" s="152" t="s">
        <v>21</v>
      </c>
      <c r="L454" s="152" t="s">
        <v>21</v>
      </c>
      <c r="M454" s="328">
        <v>12000</v>
      </c>
      <c r="N454" s="328">
        <v>12000</v>
      </c>
      <c r="O454" s="328">
        <v>12000</v>
      </c>
      <c r="P454" s="328">
        <v>12000</v>
      </c>
    </row>
    <row r="455" ht="15.75" spans="1:16">
      <c r="A455" s="115">
        <v>50</v>
      </c>
      <c r="B455" s="348" t="s">
        <v>447</v>
      </c>
      <c r="C455" s="340">
        <v>5</v>
      </c>
      <c r="D455" s="341">
        <v>9600</v>
      </c>
      <c r="E455" s="341">
        <f t="shared" si="13"/>
        <v>48000</v>
      </c>
      <c r="F455" s="318" t="s">
        <v>104</v>
      </c>
      <c r="G455" s="308" t="s">
        <v>19</v>
      </c>
      <c r="H455" s="308" t="s">
        <v>157</v>
      </c>
      <c r="I455" s="152" t="s">
        <v>21</v>
      </c>
      <c r="J455" s="152" t="s">
        <v>21</v>
      </c>
      <c r="K455" s="152" t="s">
        <v>21</v>
      </c>
      <c r="L455" s="152" t="s">
        <v>21</v>
      </c>
      <c r="M455" s="331">
        <v>12000</v>
      </c>
      <c r="N455" s="331">
        <v>12000</v>
      </c>
      <c r="O455" s="331">
        <v>12000</v>
      </c>
      <c r="P455" s="332">
        <v>12000</v>
      </c>
    </row>
    <row r="456" ht="15.75" spans="1:16">
      <c r="A456" s="115">
        <v>51</v>
      </c>
      <c r="B456" s="348" t="s">
        <v>448</v>
      </c>
      <c r="C456" s="340">
        <v>2</v>
      </c>
      <c r="D456" s="341">
        <v>9600</v>
      </c>
      <c r="E456" s="341">
        <f t="shared" si="13"/>
        <v>19200</v>
      </c>
      <c r="F456" s="318" t="s">
        <v>104</v>
      </c>
      <c r="G456" s="308" t="s">
        <v>19</v>
      </c>
      <c r="H456" s="308" t="s">
        <v>157</v>
      </c>
      <c r="I456" s="152" t="s">
        <v>21</v>
      </c>
      <c r="J456" s="152" t="s">
        <v>21</v>
      </c>
      <c r="K456" s="152" t="s">
        <v>21</v>
      </c>
      <c r="L456" s="152" t="s">
        <v>21</v>
      </c>
      <c r="M456" s="331">
        <v>19200</v>
      </c>
      <c r="N456" s="331"/>
      <c r="O456" s="331"/>
      <c r="P456" s="332"/>
    </row>
    <row r="457" ht="15.75" spans="1:16">
      <c r="A457" s="115">
        <v>52</v>
      </c>
      <c r="B457" s="348" t="s">
        <v>449</v>
      </c>
      <c r="C457" s="340">
        <v>3</v>
      </c>
      <c r="D457" s="341">
        <v>12000</v>
      </c>
      <c r="E457" s="341">
        <f t="shared" si="13"/>
        <v>36000</v>
      </c>
      <c r="F457" s="318" t="s">
        <v>104</v>
      </c>
      <c r="G457" s="308" t="s">
        <v>19</v>
      </c>
      <c r="H457" s="308" t="s">
        <v>157</v>
      </c>
      <c r="I457" s="152" t="s">
        <v>21</v>
      </c>
      <c r="J457" s="152" t="s">
        <v>21</v>
      </c>
      <c r="K457" s="152" t="s">
        <v>21</v>
      </c>
      <c r="L457" s="152" t="s">
        <v>21</v>
      </c>
      <c r="M457" s="328">
        <v>9000</v>
      </c>
      <c r="N457" s="328">
        <v>9000</v>
      </c>
      <c r="O457" s="328">
        <v>9000</v>
      </c>
      <c r="P457" s="328">
        <v>9000</v>
      </c>
    </row>
    <row r="458" ht="15.75" spans="1:16">
      <c r="A458" s="115">
        <v>53</v>
      </c>
      <c r="B458" s="348" t="s">
        <v>450</v>
      </c>
      <c r="C458" s="340">
        <v>125</v>
      </c>
      <c r="D458" s="341">
        <v>2500</v>
      </c>
      <c r="E458" s="341">
        <f t="shared" si="13"/>
        <v>312500</v>
      </c>
      <c r="F458" s="318" t="s">
        <v>104</v>
      </c>
      <c r="G458" s="308" t="s">
        <v>19</v>
      </c>
      <c r="H458" s="308" t="s">
        <v>157</v>
      </c>
      <c r="I458" s="152" t="s">
        <v>21</v>
      </c>
      <c r="J458" s="152" t="s">
        <v>21</v>
      </c>
      <c r="K458" s="152" t="s">
        <v>21</v>
      </c>
      <c r="L458" s="152" t="s">
        <v>21</v>
      </c>
      <c r="M458" s="331">
        <v>78000</v>
      </c>
      <c r="N458" s="331">
        <v>78000</v>
      </c>
      <c r="O458" s="331">
        <v>78000</v>
      </c>
      <c r="P458" s="332">
        <v>78000</v>
      </c>
    </row>
    <row r="459" ht="15.75" spans="1:16">
      <c r="A459" s="115">
        <v>54</v>
      </c>
      <c r="B459" s="348" t="s">
        <v>451</v>
      </c>
      <c r="C459" s="340">
        <v>3</v>
      </c>
      <c r="D459" s="341">
        <v>5800</v>
      </c>
      <c r="E459" s="341">
        <f t="shared" si="13"/>
        <v>17400</v>
      </c>
      <c r="F459" s="318" t="s">
        <v>104</v>
      </c>
      <c r="G459" s="308" t="s">
        <v>19</v>
      </c>
      <c r="H459" s="308" t="s">
        <v>157</v>
      </c>
      <c r="I459" s="152" t="s">
        <v>21</v>
      </c>
      <c r="J459" s="152" t="s">
        <v>21</v>
      </c>
      <c r="K459" s="152" t="s">
        <v>21</v>
      </c>
      <c r="L459" s="152" t="s">
        <v>21</v>
      </c>
      <c r="M459" s="328">
        <v>4350</v>
      </c>
      <c r="N459" s="328">
        <v>4350</v>
      </c>
      <c r="O459" s="328">
        <v>4350</v>
      </c>
      <c r="P459" s="328">
        <v>4350</v>
      </c>
    </row>
    <row r="460" ht="15.75" spans="1:16">
      <c r="A460" s="115">
        <v>55</v>
      </c>
      <c r="B460" s="348" t="s">
        <v>452</v>
      </c>
      <c r="C460" s="340">
        <v>2</v>
      </c>
      <c r="D460" s="341">
        <v>2400</v>
      </c>
      <c r="E460" s="341">
        <f t="shared" si="13"/>
        <v>4800</v>
      </c>
      <c r="F460" s="318" t="s">
        <v>104</v>
      </c>
      <c r="G460" s="308" t="s">
        <v>19</v>
      </c>
      <c r="H460" s="308" t="s">
        <v>157</v>
      </c>
      <c r="I460" s="152" t="s">
        <v>21</v>
      </c>
      <c r="J460" s="152" t="s">
        <v>21</v>
      </c>
      <c r="K460" s="152" t="s">
        <v>21</v>
      </c>
      <c r="L460" s="152" t="s">
        <v>21</v>
      </c>
      <c r="M460" s="331">
        <v>4800</v>
      </c>
      <c r="N460" s="331"/>
      <c r="O460" s="331"/>
      <c r="P460" s="332"/>
    </row>
    <row r="461" ht="15.75" spans="1:16">
      <c r="A461" s="115">
        <v>56</v>
      </c>
      <c r="B461" s="348" t="s">
        <v>453</v>
      </c>
      <c r="C461" s="340">
        <v>75</v>
      </c>
      <c r="D461" s="341">
        <v>1200</v>
      </c>
      <c r="E461" s="341">
        <f t="shared" si="13"/>
        <v>90000</v>
      </c>
      <c r="F461" s="318" t="s">
        <v>104</v>
      </c>
      <c r="G461" s="308" t="s">
        <v>19</v>
      </c>
      <c r="H461" s="308" t="s">
        <v>157</v>
      </c>
      <c r="I461" s="152" t="s">
        <v>21</v>
      </c>
      <c r="J461" s="152" t="s">
        <v>21</v>
      </c>
      <c r="K461" s="152" t="s">
        <v>21</v>
      </c>
      <c r="L461" s="152" t="s">
        <v>21</v>
      </c>
      <c r="M461" s="328">
        <v>22500</v>
      </c>
      <c r="N461" s="328">
        <v>22500</v>
      </c>
      <c r="O461" s="328">
        <v>22500</v>
      </c>
      <c r="P461" s="328">
        <v>22500</v>
      </c>
    </row>
    <row r="462" ht="15.75" spans="1:16">
      <c r="A462" s="115">
        <v>57</v>
      </c>
      <c r="B462" s="348" t="s">
        <v>454</v>
      </c>
      <c r="C462" s="340">
        <v>30</v>
      </c>
      <c r="D462" s="341">
        <v>1200</v>
      </c>
      <c r="E462" s="341">
        <f t="shared" si="13"/>
        <v>36000</v>
      </c>
      <c r="F462" s="318" t="s">
        <v>104</v>
      </c>
      <c r="G462" s="308" t="s">
        <v>19</v>
      </c>
      <c r="H462" s="308" t="s">
        <v>157</v>
      </c>
      <c r="I462" s="152" t="s">
        <v>21</v>
      </c>
      <c r="J462" s="152" t="s">
        <v>21</v>
      </c>
      <c r="K462" s="152" t="s">
        <v>21</v>
      </c>
      <c r="L462" s="152" t="s">
        <v>21</v>
      </c>
      <c r="M462" s="331">
        <v>18000</v>
      </c>
      <c r="N462" s="331"/>
      <c r="O462" s="332">
        <v>18000</v>
      </c>
      <c r="P462" s="115"/>
    </row>
    <row r="463" ht="15.75" spans="1:16">
      <c r="A463" s="115">
        <v>58</v>
      </c>
      <c r="B463" s="348" t="s">
        <v>455</v>
      </c>
      <c r="C463" s="340">
        <v>50</v>
      </c>
      <c r="D463" s="341">
        <v>550</v>
      </c>
      <c r="E463" s="341">
        <f t="shared" si="13"/>
        <v>27500</v>
      </c>
      <c r="F463" s="318" t="s">
        <v>104</v>
      </c>
      <c r="G463" s="308" t="s">
        <v>19</v>
      </c>
      <c r="H463" s="308" t="s">
        <v>157</v>
      </c>
      <c r="I463" s="152" t="s">
        <v>21</v>
      </c>
      <c r="J463" s="152" t="s">
        <v>21</v>
      </c>
      <c r="K463" s="152" t="s">
        <v>21</v>
      </c>
      <c r="L463" s="152" t="s">
        <v>21</v>
      </c>
      <c r="M463" s="331">
        <v>6875</v>
      </c>
      <c r="N463" s="331">
        <v>6875</v>
      </c>
      <c r="O463" s="331">
        <v>6875</v>
      </c>
      <c r="P463" s="332">
        <v>6875</v>
      </c>
    </row>
    <row r="464" ht="15.75" spans="1:16">
      <c r="A464" s="115">
        <v>59</v>
      </c>
      <c r="B464" s="348" t="s">
        <v>456</v>
      </c>
      <c r="C464" s="340">
        <v>10</v>
      </c>
      <c r="D464" s="341">
        <v>2450</v>
      </c>
      <c r="E464" s="341">
        <f t="shared" si="13"/>
        <v>24500</v>
      </c>
      <c r="F464" s="318" t="s">
        <v>104</v>
      </c>
      <c r="G464" s="308" t="s">
        <v>19</v>
      </c>
      <c r="H464" s="308" t="s">
        <v>157</v>
      </c>
      <c r="I464" s="152" t="s">
        <v>21</v>
      </c>
      <c r="J464" s="152" t="s">
        <v>21</v>
      </c>
      <c r="K464" s="152" t="s">
        <v>21</v>
      </c>
      <c r="L464" s="152" t="s">
        <v>21</v>
      </c>
      <c r="M464" s="328">
        <v>12250</v>
      </c>
      <c r="N464" s="328"/>
      <c r="O464" s="328">
        <v>12250</v>
      </c>
      <c r="P464" s="328"/>
    </row>
    <row r="465" ht="15.75" spans="1:16">
      <c r="A465" s="115">
        <v>60</v>
      </c>
      <c r="B465" s="348" t="s">
        <v>235</v>
      </c>
      <c r="C465" s="340">
        <v>15</v>
      </c>
      <c r="D465" s="341">
        <v>160</v>
      </c>
      <c r="E465" s="341">
        <f t="shared" si="13"/>
        <v>2400</v>
      </c>
      <c r="F465" s="318" t="s">
        <v>104</v>
      </c>
      <c r="G465" s="308" t="s">
        <v>19</v>
      </c>
      <c r="H465" s="308" t="s">
        <v>157</v>
      </c>
      <c r="I465" s="152" t="s">
        <v>21</v>
      </c>
      <c r="J465" s="152" t="s">
        <v>21</v>
      </c>
      <c r="K465" s="152" t="s">
        <v>21</v>
      </c>
      <c r="L465" s="152" t="s">
        <v>21</v>
      </c>
      <c r="M465" s="331">
        <v>1200</v>
      </c>
      <c r="N465" s="331"/>
      <c r="O465" s="331">
        <v>1200</v>
      </c>
      <c r="P465" s="332"/>
    </row>
    <row r="466" ht="15.75" spans="1:16">
      <c r="A466" s="115">
        <v>61</v>
      </c>
      <c r="B466" s="348" t="s">
        <v>457</v>
      </c>
      <c r="C466" s="340">
        <v>5</v>
      </c>
      <c r="D466" s="341">
        <v>1300</v>
      </c>
      <c r="E466" s="341">
        <f t="shared" si="13"/>
        <v>6500</v>
      </c>
      <c r="F466" s="318" t="s">
        <v>104</v>
      </c>
      <c r="G466" s="308" t="s">
        <v>19</v>
      </c>
      <c r="H466" s="308" t="s">
        <v>157</v>
      </c>
      <c r="I466" s="152" t="s">
        <v>21</v>
      </c>
      <c r="J466" s="152" t="s">
        <v>21</v>
      </c>
      <c r="K466" s="152" t="s">
        <v>21</v>
      </c>
      <c r="L466" s="152" t="s">
        <v>21</v>
      </c>
      <c r="M466" s="328">
        <v>3250</v>
      </c>
      <c r="N466" s="328"/>
      <c r="O466" s="328">
        <v>3250</v>
      </c>
      <c r="P466" s="328"/>
    </row>
    <row r="467" ht="15.75" spans="1:16">
      <c r="A467" s="115"/>
      <c r="B467" s="386" t="s">
        <v>458</v>
      </c>
      <c r="C467" s="339"/>
      <c r="D467" s="317"/>
      <c r="E467" s="317"/>
      <c r="F467" s="318"/>
      <c r="G467" s="308"/>
      <c r="H467" s="308"/>
      <c r="I467" s="152"/>
      <c r="J467" s="152"/>
      <c r="K467" s="152"/>
      <c r="L467" s="152"/>
      <c r="M467" s="331"/>
      <c r="N467" s="331"/>
      <c r="O467" s="331"/>
      <c r="P467" s="332"/>
    </row>
    <row r="468" ht="15.75" spans="1:16">
      <c r="A468" s="115">
        <v>62</v>
      </c>
      <c r="B468" s="348" t="s">
        <v>459</v>
      </c>
      <c r="C468" s="340">
        <v>10</v>
      </c>
      <c r="D468" s="341">
        <v>700</v>
      </c>
      <c r="E468" s="341">
        <f t="shared" ref="E468:E481" si="14">C468*D468</f>
        <v>7000</v>
      </c>
      <c r="F468" s="318" t="s">
        <v>104</v>
      </c>
      <c r="G468" s="308" t="s">
        <v>19</v>
      </c>
      <c r="H468" s="308" t="s">
        <v>157</v>
      </c>
      <c r="I468" s="152" t="s">
        <v>21</v>
      </c>
      <c r="J468" s="152" t="s">
        <v>21</v>
      </c>
      <c r="K468" s="152" t="s">
        <v>21</v>
      </c>
      <c r="L468" s="152" t="s">
        <v>21</v>
      </c>
      <c r="M468" s="328">
        <v>3500</v>
      </c>
      <c r="N468" s="328"/>
      <c r="O468" s="328">
        <v>3500</v>
      </c>
      <c r="P468" s="328"/>
    </row>
    <row r="469" ht="15.75" spans="1:16">
      <c r="A469" s="115">
        <v>63</v>
      </c>
      <c r="B469" s="348" t="s">
        <v>460</v>
      </c>
      <c r="C469" s="340">
        <v>10</v>
      </c>
      <c r="D469" s="341">
        <v>400</v>
      </c>
      <c r="E469" s="341">
        <f t="shared" si="14"/>
        <v>4000</v>
      </c>
      <c r="F469" s="318" t="s">
        <v>104</v>
      </c>
      <c r="G469" s="308" t="s">
        <v>19</v>
      </c>
      <c r="H469" s="308" t="s">
        <v>157</v>
      </c>
      <c r="I469" s="152" t="s">
        <v>21</v>
      </c>
      <c r="J469" s="152" t="s">
        <v>21</v>
      </c>
      <c r="K469" s="152" t="s">
        <v>21</v>
      </c>
      <c r="L469" s="152" t="s">
        <v>21</v>
      </c>
      <c r="M469" s="331">
        <v>2000</v>
      </c>
      <c r="N469" s="331"/>
      <c r="O469" s="331">
        <v>2000</v>
      </c>
      <c r="P469" s="332"/>
    </row>
    <row r="470" ht="15.75" spans="1:16">
      <c r="A470" s="115">
        <v>64</v>
      </c>
      <c r="B470" s="348" t="s">
        <v>461</v>
      </c>
      <c r="C470" s="340">
        <v>15</v>
      </c>
      <c r="D470" s="341">
        <v>400</v>
      </c>
      <c r="E470" s="341">
        <f t="shared" si="14"/>
        <v>6000</v>
      </c>
      <c r="F470" s="318" t="s">
        <v>104</v>
      </c>
      <c r="G470" s="308" t="s">
        <v>19</v>
      </c>
      <c r="H470" s="308" t="s">
        <v>157</v>
      </c>
      <c r="I470" s="152" t="s">
        <v>21</v>
      </c>
      <c r="J470" s="152" t="s">
        <v>21</v>
      </c>
      <c r="K470" s="152" t="s">
        <v>21</v>
      </c>
      <c r="L470" s="152" t="s">
        <v>21</v>
      </c>
      <c r="M470" s="328">
        <v>3000</v>
      </c>
      <c r="N470" s="328"/>
      <c r="O470" s="328">
        <v>3000</v>
      </c>
      <c r="P470" s="328"/>
    </row>
    <row r="471" ht="15.75" spans="1:16">
      <c r="A471" s="115">
        <v>65</v>
      </c>
      <c r="B471" s="348" t="s">
        <v>462</v>
      </c>
      <c r="C471" s="340">
        <v>3</v>
      </c>
      <c r="D471" s="341">
        <v>2400</v>
      </c>
      <c r="E471" s="341">
        <f t="shared" si="14"/>
        <v>7200</v>
      </c>
      <c r="F471" s="318" t="s">
        <v>104</v>
      </c>
      <c r="G471" s="308" t="s">
        <v>19</v>
      </c>
      <c r="H471" s="308" t="s">
        <v>157</v>
      </c>
      <c r="I471" s="152" t="s">
        <v>21</v>
      </c>
      <c r="J471" s="152" t="s">
        <v>21</v>
      </c>
      <c r="K471" s="152" t="s">
        <v>21</v>
      </c>
      <c r="L471" s="152" t="s">
        <v>21</v>
      </c>
      <c r="M471" s="331">
        <v>4800</v>
      </c>
      <c r="N471" s="331"/>
      <c r="O471" s="331">
        <v>2400</v>
      </c>
      <c r="P471" s="332"/>
    </row>
    <row r="472" ht="15.75" spans="1:16">
      <c r="A472" s="115">
        <v>66</v>
      </c>
      <c r="B472" s="348" t="s">
        <v>463</v>
      </c>
      <c r="C472" s="340">
        <v>5</v>
      </c>
      <c r="D472" s="341">
        <v>450</v>
      </c>
      <c r="E472" s="341">
        <f t="shared" si="14"/>
        <v>2250</v>
      </c>
      <c r="F472" s="318" t="s">
        <v>104</v>
      </c>
      <c r="G472" s="308" t="s">
        <v>19</v>
      </c>
      <c r="H472" s="308" t="s">
        <v>157</v>
      </c>
      <c r="I472" s="152" t="s">
        <v>21</v>
      </c>
      <c r="J472" s="152" t="s">
        <v>21</v>
      </c>
      <c r="K472" s="152" t="s">
        <v>21</v>
      </c>
      <c r="L472" s="152" t="s">
        <v>21</v>
      </c>
      <c r="M472" s="328">
        <v>1125</v>
      </c>
      <c r="N472" s="328"/>
      <c r="O472" s="328">
        <v>1125</v>
      </c>
      <c r="P472" s="328"/>
    </row>
    <row r="473" ht="15.75" spans="1:16">
      <c r="A473" s="115">
        <v>67</v>
      </c>
      <c r="B473" s="348" t="s">
        <v>464</v>
      </c>
      <c r="C473" s="340">
        <v>50</v>
      </c>
      <c r="D473" s="341">
        <v>400</v>
      </c>
      <c r="E473" s="341">
        <f t="shared" si="14"/>
        <v>20000</v>
      </c>
      <c r="F473" s="318" t="s">
        <v>104</v>
      </c>
      <c r="G473" s="308" t="s">
        <v>19</v>
      </c>
      <c r="H473" s="308" t="s">
        <v>157</v>
      </c>
      <c r="I473" s="152" t="s">
        <v>21</v>
      </c>
      <c r="J473" s="152" t="s">
        <v>21</v>
      </c>
      <c r="K473" s="152" t="s">
        <v>21</v>
      </c>
      <c r="L473" s="152" t="s">
        <v>21</v>
      </c>
      <c r="M473" s="331">
        <v>10000</v>
      </c>
      <c r="N473" s="331"/>
      <c r="O473" s="332">
        <v>10000</v>
      </c>
      <c r="P473" s="115"/>
    </row>
    <row r="474" ht="15.75" spans="1:16">
      <c r="A474" s="115">
        <v>68</v>
      </c>
      <c r="B474" s="348" t="s">
        <v>465</v>
      </c>
      <c r="C474" s="340">
        <v>5</v>
      </c>
      <c r="D474" s="341">
        <v>2400</v>
      </c>
      <c r="E474" s="341">
        <f t="shared" si="14"/>
        <v>12000</v>
      </c>
      <c r="F474" s="318" t="s">
        <v>104</v>
      </c>
      <c r="G474" s="308" t="s">
        <v>19</v>
      </c>
      <c r="H474" s="308" t="s">
        <v>157</v>
      </c>
      <c r="I474" s="152" t="s">
        <v>21</v>
      </c>
      <c r="J474" s="152" t="s">
        <v>21</v>
      </c>
      <c r="K474" s="152" t="s">
        <v>21</v>
      </c>
      <c r="L474" s="152" t="s">
        <v>21</v>
      </c>
      <c r="M474" s="331">
        <v>6000</v>
      </c>
      <c r="N474" s="331"/>
      <c r="O474" s="331">
        <v>6000</v>
      </c>
      <c r="P474" s="332"/>
    </row>
    <row r="475" ht="15.75" spans="1:16">
      <c r="A475" s="115">
        <v>69</v>
      </c>
      <c r="B475" s="348" t="s">
        <v>466</v>
      </c>
      <c r="C475" s="340">
        <v>10</v>
      </c>
      <c r="D475" s="341">
        <v>700</v>
      </c>
      <c r="E475" s="341">
        <f t="shared" si="14"/>
        <v>7000</v>
      </c>
      <c r="F475" s="318" t="s">
        <v>104</v>
      </c>
      <c r="G475" s="308" t="s">
        <v>19</v>
      </c>
      <c r="H475" s="308" t="s">
        <v>157</v>
      </c>
      <c r="I475" s="152" t="s">
        <v>21</v>
      </c>
      <c r="J475" s="152" t="s">
        <v>21</v>
      </c>
      <c r="K475" s="152" t="s">
        <v>21</v>
      </c>
      <c r="L475" s="152" t="s">
        <v>21</v>
      </c>
      <c r="M475" s="328">
        <v>3500</v>
      </c>
      <c r="N475" s="328"/>
      <c r="O475" s="328">
        <v>3500</v>
      </c>
      <c r="P475" s="328"/>
    </row>
    <row r="476" ht="15.75" spans="1:16">
      <c r="A476" s="115">
        <v>70</v>
      </c>
      <c r="B476" s="348" t="s">
        <v>467</v>
      </c>
      <c r="C476" s="340">
        <v>10</v>
      </c>
      <c r="D476" s="341">
        <v>690</v>
      </c>
      <c r="E476" s="341">
        <f t="shared" si="14"/>
        <v>6900</v>
      </c>
      <c r="F476" s="318" t="s">
        <v>104</v>
      </c>
      <c r="G476" s="308" t="s">
        <v>19</v>
      </c>
      <c r="H476" s="308" t="s">
        <v>157</v>
      </c>
      <c r="I476" s="152" t="s">
        <v>21</v>
      </c>
      <c r="J476" s="152" t="s">
        <v>21</v>
      </c>
      <c r="K476" s="152" t="s">
        <v>21</v>
      </c>
      <c r="L476" s="152" t="s">
        <v>21</v>
      </c>
      <c r="M476" s="331">
        <v>3450</v>
      </c>
      <c r="N476" s="331"/>
      <c r="O476" s="331">
        <v>3450</v>
      </c>
      <c r="P476" s="332"/>
    </row>
    <row r="477" ht="15.75" spans="1:16">
      <c r="A477" s="115">
        <v>71</v>
      </c>
      <c r="B477" s="348" t="s">
        <v>468</v>
      </c>
      <c r="C477" s="340">
        <v>10</v>
      </c>
      <c r="D477" s="341">
        <v>900</v>
      </c>
      <c r="E477" s="341">
        <f t="shared" si="14"/>
        <v>9000</v>
      </c>
      <c r="F477" s="318" t="s">
        <v>104</v>
      </c>
      <c r="G477" s="308" t="s">
        <v>19</v>
      </c>
      <c r="H477" s="308" t="s">
        <v>157</v>
      </c>
      <c r="I477" s="152" t="s">
        <v>21</v>
      </c>
      <c r="J477" s="152" t="s">
        <v>21</v>
      </c>
      <c r="K477" s="152" t="s">
        <v>21</v>
      </c>
      <c r="L477" s="152" t="s">
        <v>21</v>
      </c>
      <c r="M477" s="328">
        <v>4500</v>
      </c>
      <c r="N477" s="328"/>
      <c r="O477" s="328">
        <v>4500</v>
      </c>
      <c r="P477" s="328"/>
    </row>
    <row r="478" ht="15.75" spans="1:16">
      <c r="A478" s="115">
        <v>72</v>
      </c>
      <c r="B478" s="348" t="s">
        <v>469</v>
      </c>
      <c r="C478" s="340">
        <v>15</v>
      </c>
      <c r="D478" s="341">
        <v>1200</v>
      </c>
      <c r="E478" s="341">
        <f t="shared" si="14"/>
        <v>18000</v>
      </c>
      <c r="F478" s="318" t="s">
        <v>104</v>
      </c>
      <c r="G478" s="308" t="s">
        <v>19</v>
      </c>
      <c r="H478" s="308" t="s">
        <v>157</v>
      </c>
      <c r="I478" s="152" t="s">
        <v>21</v>
      </c>
      <c r="J478" s="152" t="s">
        <v>21</v>
      </c>
      <c r="K478" s="152" t="s">
        <v>21</v>
      </c>
      <c r="L478" s="152" t="s">
        <v>21</v>
      </c>
      <c r="M478" s="331">
        <v>9000</v>
      </c>
      <c r="N478" s="331"/>
      <c r="O478" s="332">
        <v>9000</v>
      </c>
      <c r="P478" s="115"/>
    </row>
    <row r="479" ht="15.75" spans="1:16">
      <c r="A479" s="115">
        <v>73</v>
      </c>
      <c r="B479" s="348" t="s">
        <v>470</v>
      </c>
      <c r="C479" s="340">
        <v>2</v>
      </c>
      <c r="D479" s="341">
        <v>6200</v>
      </c>
      <c r="E479" s="341">
        <f t="shared" si="14"/>
        <v>12400</v>
      </c>
      <c r="F479" s="318" t="s">
        <v>104</v>
      </c>
      <c r="G479" s="308" t="s">
        <v>19</v>
      </c>
      <c r="H479" s="308" t="s">
        <v>157</v>
      </c>
      <c r="I479" s="152" t="s">
        <v>21</v>
      </c>
      <c r="J479" s="152" t="s">
        <v>21</v>
      </c>
      <c r="K479" s="152" t="s">
        <v>21</v>
      </c>
      <c r="L479" s="152" t="s">
        <v>21</v>
      </c>
      <c r="M479" s="331">
        <v>6200</v>
      </c>
      <c r="N479" s="331"/>
      <c r="O479" s="331">
        <v>6200</v>
      </c>
      <c r="P479" s="332"/>
    </row>
    <row r="480" ht="15.75" spans="1:16">
      <c r="A480" s="226">
        <v>74</v>
      </c>
      <c r="B480" s="396" t="s">
        <v>471</v>
      </c>
      <c r="C480" s="396">
        <v>500</v>
      </c>
      <c r="D480" s="397">
        <v>400</v>
      </c>
      <c r="E480" s="397">
        <f t="shared" si="14"/>
        <v>200000</v>
      </c>
      <c r="F480" s="398" t="s">
        <v>33</v>
      </c>
      <c r="G480" s="399" t="s">
        <v>19</v>
      </c>
      <c r="H480" s="399" t="s">
        <v>157</v>
      </c>
      <c r="I480" s="152" t="s">
        <v>21</v>
      </c>
      <c r="J480" s="152" t="s">
        <v>21</v>
      </c>
      <c r="K480" s="152" t="s">
        <v>21</v>
      </c>
      <c r="L480" s="152" t="s">
        <v>21</v>
      </c>
      <c r="M480" s="404">
        <v>50000</v>
      </c>
      <c r="N480">
        <v>50000</v>
      </c>
      <c r="O480">
        <v>50000</v>
      </c>
      <c r="P480">
        <v>50000</v>
      </c>
    </row>
    <row r="481" ht="15.75" spans="1:16">
      <c r="A481" s="115">
        <v>75</v>
      </c>
      <c r="B481" s="348" t="s">
        <v>472</v>
      </c>
      <c r="C481" s="340">
        <v>20</v>
      </c>
      <c r="D481" s="341">
        <v>1800</v>
      </c>
      <c r="E481" s="341">
        <f t="shared" si="14"/>
        <v>36000</v>
      </c>
      <c r="F481" s="318" t="s">
        <v>33</v>
      </c>
      <c r="G481" s="308" t="s">
        <v>19</v>
      </c>
      <c r="H481" s="308" t="s">
        <v>157</v>
      </c>
      <c r="I481" s="152" t="s">
        <v>21</v>
      </c>
      <c r="J481" s="152" t="s">
        <v>21</v>
      </c>
      <c r="K481" s="152" t="s">
        <v>21</v>
      </c>
      <c r="L481" s="152" t="s">
        <v>21</v>
      </c>
      <c r="M481" s="331">
        <v>18000</v>
      </c>
      <c r="N481" s="331"/>
      <c r="O481" s="331"/>
      <c r="P481" s="332">
        <v>18000</v>
      </c>
    </row>
    <row r="482" spans="1:16">
      <c r="A482" s="306"/>
      <c r="B482" s="306" t="s">
        <v>22</v>
      </c>
      <c r="C482" s="306"/>
      <c r="D482" s="306"/>
      <c r="E482" s="392">
        <f>SUM(E399:E481)</f>
        <v>1219990</v>
      </c>
      <c r="F482" s="115"/>
      <c r="G482" s="115"/>
      <c r="H482" s="115"/>
      <c r="I482" s="115"/>
      <c r="J482" s="115"/>
      <c r="K482" s="115"/>
      <c r="L482" s="115"/>
      <c r="M482" s="115"/>
      <c r="N482" s="115"/>
      <c r="O482" s="115"/>
      <c r="P482" s="115"/>
    </row>
    <row r="483" spans="1:16">
      <c r="A483" s="115"/>
      <c r="B483" s="115"/>
      <c r="C483" s="115"/>
      <c r="D483" s="115"/>
      <c r="E483" s="115"/>
      <c r="F483" s="115"/>
      <c r="G483" s="115"/>
      <c r="H483" s="115"/>
      <c r="I483" s="115"/>
      <c r="J483" s="115"/>
      <c r="K483" s="115"/>
      <c r="L483" s="115"/>
      <c r="M483" s="115"/>
      <c r="N483" s="115"/>
      <c r="O483" s="115"/>
      <c r="P483" s="115"/>
    </row>
    <row r="484" spans="1:16">
      <c r="A484" s="115"/>
      <c r="B484" s="115"/>
      <c r="C484" s="115"/>
      <c r="D484" s="115"/>
      <c r="E484" s="115"/>
      <c r="F484" s="115"/>
      <c r="G484" s="115"/>
      <c r="H484" s="115"/>
      <c r="I484" s="115"/>
      <c r="J484" s="115"/>
      <c r="K484" s="115"/>
      <c r="L484" s="115"/>
      <c r="M484" s="115"/>
      <c r="N484" s="115"/>
      <c r="O484" s="115"/>
      <c r="P484" s="115"/>
    </row>
    <row r="485" spans="1:16">
      <c r="A485" s="115"/>
      <c r="B485" s="115"/>
      <c r="C485" s="115"/>
      <c r="D485" s="115"/>
      <c r="E485" s="115"/>
      <c r="F485" s="115"/>
      <c r="G485" s="115"/>
      <c r="H485" s="115"/>
      <c r="I485" s="115"/>
      <c r="J485" s="115"/>
      <c r="K485" s="115"/>
      <c r="L485" s="115"/>
      <c r="M485" s="115"/>
      <c r="N485" s="115"/>
      <c r="O485" s="115"/>
      <c r="P485" s="115"/>
    </row>
    <row r="486" spans="1:16">
      <c r="A486" s="306" t="s">
        <v>473</v>
      </c>
      <c r="B486" s="115"/>
      <c r="C486" s="115"/>
      <c r="D486" s="115"/>
      <c r="E486" s="115"/>
      <c r="F486" s="115"/>
      <c r="G486" s="115"/>
      <c r="H486" s="115"/>
      <c r="I486" s="115"/>
      <c r="J486" s="115"/>
      <c r="K486" s="115"/>
      <c r="L486" s="115"/>
      <c r="M486" s="115"/>
      <c r="N486" s="115"/>
      <c r="O486" s="115"/>
      <c r="P486" s="115"/>
    </row>
    <row r="487" spans="1:16">
      <c r="A487" s="115">
        <v>1</v>
      </c>
      <c r="B487" s="322" t="s">
        <v>474</v>
      </c>
      <c r="C487" s="322">
        <v>1</v>
      </c>
      <c r="D487" s="322">
        <v>350000</v>
      </c>
      <c r="E487" s="322">
        <v>350000</v>
      </c>
      <c r="F487" s="323" t="s">
        <v>43</v>
      </c>
      <c r="G487" s="308" t="s">
        <v>19</v>
      </c>
      <c r="H487" s="323" t="s">
        <v>157</v>
      </c>
      <c r="I487" s="333" t="s">
        <v>38</v>
      </c>
      <c r="J487" s="333" t="s">
        <v>38</v>
      </c>
      <c r="K487" s="333" t="s">
        <v>38</v>
      </c>
      <c r="L487" s="333" t="s">
        <v>38</v>
      </c>
      <c r="M487" s="331"/>
      <c r="N487" s="331">
        <v>350000</v>
      </c>
      <c r="O487" s="331"/>
      <c r="P487" s="332"/>
    </row>
    <row r="488" spans="1:16">
      <c r="A488" s="115">
        <v>2</v>
      </c>
      <c r="B488" s="322" t="s">
        <v>475</v>
      </c>
      <c r="C488" s="322">
        <v>1</v>
      </c>
      <c r="D488" s="322">
        <v>2800000</v>
      </c>
      <c r="E488" s="400">
        <v>2800000</v>
      </c>
      <c r="F488" s="323" t="s">
        <v>476</v>
      </c>
      <c r="G488" s="308" t="s">
        <v>19</v>
      </c>
      <c r="H488" s="323" t="s">
        <v>157</v>
      </c>
      <c r="I488" s="333" t="s">
        <v>38</v>
      </c>
      <c r="J488" s="333" t="s">
        <v>38</v>
      </c>
      <c r="K488" s="333" t="s">
        <v>38</v>
      </c>
      <c r="L488" s="333" t="s">
        <v>38</v>
      </c>
      <c r="M488" s="328"/>
      <c r="N488" s="328"/>
      <c r="O488" s="328"/>
      <c r="P488" s="328">
        <v>2800000</v>
      </c>
    </row>
    <row r="489" spans="1:16">
      <c r="A489" s="115">
        <v>3</v>
      </c>
      <c r="B489" s="322" t="s">
        <v>477</v>
      </c>
      <c r="C489" s="115">
        <v>2</v>
      </c>
      <c r="D489" s="115">
        <v>100000</v>
      </c>
      <c r="E489" s="115">
        <v>200000</v>
      </c>
      <c r="F489" s="308" t="s">
        <v>43</v>
      </c>
      <c r="G489" s="308" t="s">
        <v>19</v>
      </c>
      <c r="H489" s="368" t="s">
        <v>211</v>
      </c>
      <c r="I489" s="333" t="s">
        <v>38</v>
      </c>
      <c r="J489" s="333" t="s">
        <v>38</v>
      </c>
      <c r="K489" s="333" t="s">
        <v>38</v>
      </c>
      <c r="L489" s="333" t="s">
        <v>38</v>
      </c>
      <c r="M489" s="328">
        <v>100000</v>
      </c>
      <c r="N489" s="328"/>
      <c r="O489" s="328">
        <v>100000</v>
      </c>
      <c r="P489" s="328"/>
    </row>
    <row r="490" spans="1:16">
      <c r="A490" s="115">
        <v>4</v>
      </c>
      <c r="B490" s="322" t="s">
        <v>478</v>
      </c>
      <c r="C490" s="322">
        <v>1</v>
      </c>
      <c r="D490" s="322">
        <v>2600000</v>
      </c>
      <c r="E490" s="322">
        <v>2600000</v>
      </c>
      <c r="F490" s="323" t="s">
        <v>479</v>
      </c>
      <c r="G490" s="308" t="s">
        <v>19</v>
      </c>
      <c r="H490" s="323" t="s">
        <v>157</v>
      </c>
      <c r="I490" s="333" t="s">
        <v>38</v>
      </c>
      <c r="J490" s="333" t="s">
        <v>38</v>
      </c>
      <c r="K490" s="333" t="s">
        <v>38</v>
      </c>
      <c r="L490" s="333" t="s">
        <v>38</v>
      </c>
      <c r="M490" s="328">
        <v>2600000</v>
      </c>
      <c r="N490" s="328"/>
      <c r="O490" s="328"/>
      <c r="P490" s="328"/>
    </row>
    <row r="491" spans="1:16">
      <c r="A491" s="115">
        <v>5</v>
      </c>
      <c r="B491" s="322" t="s">
        <v>480</v>
      </c>
      <c r="C491" s="322">
        <v>2</v>
      </c>
      <c r="D491" s="322">
        <v>140000</v>
      </c>
      <c r="E491" s="322">
        <v>280000</v>
      </c>
      <c r="F491" s="323" t="s">
        <v>43</v>
      </c>
      <c r="G491" s="308" t="s">
        <v>19</v>
      </c>
      <c r="H491" s="323" t="s">
        <v>157</v>
      </c>
      <c r="I491" s="333" t="s">
        <v>38</v>
      </c>
      <c r="J491" s="333" t="s">
        <v>38</v>
      </c>
      <c r="K491" s="333" t="s">
        <v>38</v>
      </c>
      <c r="L491" s="333" t="s">
        <v>38</v>
      </c>
      <c r="M491" s="331"/>
      <c r="N491" s="331">
        <v>140000</v>
      </c>
      <c r="O491" s="331"/>
      <c r="P491" s="332">
        <v>140000</v>
      </c>
    </row>
    <row r="492" spans="1:16">
      <c r="A492" s="306"/>
      <c r="B492" s="343" t="s">
        <v>22</v>
      </c>
      <c r="C492" s="343"/>
      <c r="D492" s="343"/>
      <c r="E492" s="401">
        <f>SUM(E487:E491)</f>
        <v>6230000</v>
      </c>
      <c r="F492" s="323"/>
      <c r="G492" s="308"/>
      <c r="H492" s="323"/>
      <c r="I492" s="333"/>
      <c r="J492" s="333"/>
      <c r="K492" s="333"/>
      <c r="L492" s="333"/>
      <c r="M492" s="331"/>
      <c r="N492" s="331"/>
      <c r="O492" s="331"/>
      <c r="P492" s="332"/>
    </row>
    <row r="493" spans="1:16">
      <c r="A493" s="115"/>
      <c r="B493" s="322"/>
      <c r="C493" s="322"/>
      <c r="D493" s="322"/>
      <c r="E493" s="322"/>
      <c r="F493" s="323"/>
      <c r="G493" s="308"/>
      <c r="H493" s="323"/>
      <c r="I493" s="333"/>
      <c r="J493" s="333"/>
      <c r="K493" s="333"/>
      <c r="L493" s="333"/>
      <c r="M493" s="331"/>
      <c r="N493" s="331"/>
      <c r="O493" s="331"/>
      <c r="P493" s="332"/>
    </row>
    <row r="494" spans="1:16">
      <c r="A494" s="115"/>
      <c r="B494" s="322"/>
      <c r="C494" s="322"/>
      <c r="D494" s="322"/>
      <c r="E494" s="322"/>
      <c r="F494" s="323"/>
      <c r="G494" s="308"/>
      <c r="H494" s="323"/>
      <c r="I494" s="333"/>
      <c r="J494" s="333"/>
      <c r="K494" s="333"/>
      <c r="L494" s="333"/>
      <c r="M494" s="331"/>
      <c r="N494" s="331"/>
      <c r="O494" s="331"/>
      <c r="P494" s="332"/>
    </row>
    <row r="495" spans="1:16">
      <c r="A495" s="115"/>
      <c r="B495" s="322"/>
      <c r="C495" s="322"/>
      <c r="D495" s="322"/>
      <c r="E495" s="400"/>
      <c r="F495" s="322"/>
      <c r="G495" s="308"/>
      <c r="H495" s="323"/>
      <c r="I495" s="333"/>
      <c r="J495" s="333"/>
      <c r="K495" s="333"/>
      <c r="L495" s="333"/>
      <c r="M495" s="328"/>
      <c r="N495" s="328"/>
      <c r="O495" s="328"/>
      <c r="P495" s="328"/>
    </row>
    <row r="496" spans="1:16">
      <c r="A496" s="306" t="s">
        <v>481</v>
      </c>
      <c r="B496" s="115"/>
      <c r="C496" s="115"/>
      <c r="D496" s="115"/>
      <c r="E496" s="115"/>
      <c r="F496" s="115"/>
      <c r="G496" s="115"/>
      <c r="H496" s="115"/>
      <c r="I496" s="115"/>
      <c r="J496" s="115"/>
      <c r="K496" s="115"/>
      <c r="L496" s="115"/>
      <c r="M496" s="115"/>
      <c r="N496" s="115"/>
      <c r="O496" s="115"/>
      <c r="P496" s="115"/>
    </row>
    <row r="497" ht="15.75" spans="1:16">
      <c r="A497" s="115">
        <v>1</v>
      </c>
      <c r="B497" s="348" t="s">
        <v>482</v>
      </c>
      <c r="C497" s="340">
        <v>30</v>
      </c>
      <c r="D497" s="341">
        <v>300</v>
      </c>
      <c r="E497" s="341">
        <f>C497*D497</f>
        <v>9000</v>
      </c>
      <c r="F497" s="318" t="s">
        <v>104</v>
      </c>
      <c r="G497" s="308" t="s">
        <v>19</v>
      </c>
      <c r="H497" s="308" t="s">
        <v>157</v>
      </c>
      <c r="I497" s="152" t="s">
        <v>21</v>
      </c>
      <c r="J497" s="152" t="s">
        <v>21</v>
      </c>
      <c r="K497" s="152" t="s">
        <v>21</v>
      </c>
      <c r="L497" s="152" t="s">
        <v>21</v>
      </c>
      <c r="M497" s="328">
        <v>4500</v>
      </c>
      <c r="N497" s="328">
        <v>4500</v>
      </c>
      <c r="O497" s="328"/>
      <c r="P497" s="328"/>
    </row>
    <row r="498" ht="15.75" spans="1:16">
      <c r="A498" s="115">
        <v>2</v>
      </c>
      <c r="B498" s="348" t="s">
        <v>483</v>
      </c>
      <c r="C498" s="340">
        <v>5</v>
      </c>
      <c r="D498" s="341">
        <v>240</v>
      </c>
      <c r="E498" s="341">
        <f>C498*D498</f>
        <v>1200</v>
      </c>
      <c r="F498" s="318" t="s">
        <v>104</v>
      </c>
      <c r="G498" s="308" t="s">
        <v>19</v>
      </c>
      <c r="H498" s="308" t="s">
        <v>157</v>
      </c>
      <c r="I498" s="152" t="s">
        <v>21</v>
      </c>
      <c r="J498" s="152" t="s">
        <v>21</v>
      </c>
      <c r="K498" s="152" t="s">
        <v>21</v>
      </c>
      <c r="L498" s="152" t="s">
        <v>21</v>
      </c>
      <c r="M498" s="331"/>
      <c r="N498" s="331">
        <v>720</v>
      </c>
      <c r="O498" s="331">
        <v>480</v>
      </c>
      <c r="P498" s="332"/>
    </row>
    <row r="499" ht="15.75" spans="1:16">
      <c r="A499" s="115">
        <v>3</v>
      </c>
      <c r="B499" s="348" t="s">
        <v>484</v>
      </c>
      <c r="C499" s="340">
        <v>10</v>
      </c>
      <c r="D499" s="341">
        <v>240</v>
      </c>
      <c r="E499" s="341">
        <f>C499*D499</f>
        <v>2400</v>
      </c>
      <c r="F499" s="318" t="s">
        <v>104</v>
      </c>
      <c r="G499" s="308" t="s">
        <v>19</v>
      </c>
      <c r="H499" s="308" t="s">
        <v>157</v>
      </c>
      <c r="I499" s="152" t="s">
        <v>21</v>
      </c>
      <c r="J499" s="152" t="s">
        <v>21</v>
      </c>
      <c r="K499" s="152" t="s">
        <v>21</v>
      </c>
      <c r="L499" s="152" t="s">
        <v>21</v>
      </c>
      <c r="M499" s="328">
        <v>1200</v>
      </c>
      <c r="N499" s="328">
        <v>1200</v>
      </c>
      <c r="O499" s="328"/>
      <c r="P499" s="328"/>
    </row>
    <row r="500" ht="15.75" spans="1:16">
      <c r="A500" s="115"/>
      <c r="B500" s="386" t="s">
        <v>485</v>
      </c>
      <c r="C500" s="402"/>
      <c r="D500" s="403"/>
      <c r="E500" s="341"/>
      <c r="F500" s="318" t="s">
        <v>104</v>
      </c>
      <c r="G500" s="308" t="s">
        <v>19</v>
      </c>
      <c r="H500" s="308" t="s">
        <v>157</v>
      </c>
      <c r="I500" s="152" t="s">
        <v>21</v>
      </c>
      <c r="J500" s="152" t="s">
        <v>21</v>
      </c>
      <c r="K500" s="152" t="s">
        <v>21</v>
      </c>
      <c r="L500" s="152" t="s">
        <v>21</v>
      </c>
      <c r="M500" s="331"/>
      <c r="N500" s="331"/>
      <c r="O500" s="332"/>
      <c r="P500" s="115"/>
    </row>
    <row r="501" ht="15.75" spans="1:16">
      <c r="A501" s="115">
        <v>4</v>
      </c>
      <c r="B501" s="348" t="s">
        <v>486</v>
      </c>
      <c r="C501" s="340">
        <v>100</v>
      </c>
      <c r="D501" s="341">
        <v>240</v>
      </c>
      <c r="E501" s="341">
        <f>C501*D501</f>
        <v>24000</v>
      </c>
      <c r="F501" s="318" t="s">
        <v>104</v>
      </c>
      <c r="G501" s="308" t="s">
        <v>19</v>
      </c>
      <c r="H501" s="308" t="s">
        <v>157</v>
      </c>
      <c r="I501" s="152" t="s">
        <v>21</v>
      </c>
      <c r="J501" s="152" t="s">
        <v>21</v>
      </c>
      <c r="K501" s="152" t="s">
        <v>21</v>
      </c>
      <c r="L501" s="152" t="s">
        <v>21</v>
      </c>
      <c r="M501" s="331"/>
      <c r="N501" s="331">
        <v>12000</v>
      </c>
      <c r="O501" s="331"/>
      <c r="P501" s="332">
        <v>12000</v>
      </c>
    </row>
    <row r="502" ht="15.75" spans="1:16">
      <c r="A502" s="115">
        <v>5</v>
      </c>
      <c r="B502" s="348" t="s">
        <v>487</v>
      </c>
      <c r="C502" s="340">
        <v>5</v>
      </c>
      <c r="D502" s="341">
        <v>2500</v>
      </c>
      <c r="E502" s="341">
        <f>C502*D502</f>
        <v>12500</v>
      </c>
      <c r="F502" s="318" t="s">
        <v>104</v>
      </c>
      <c r="G502" s="308" t="s">
        <v>19</v>
      </c>
      <c r="H502" s="308" t="s">
        <v>157</v>
      </c>
      <c r="I502" s="152" t="s">
        <v>21</v>
      </c>
      <c r="J502" s="152" t="s">
        <v>21</v>
      </c>
      <c r="K502" s="152" t="s">
        <v>21</v>
      </c>
      <c r="L502" s="152" t="s">
        <v>21</v>
      </c>
      <c r="M502" s="328"/>
      <c r="N502" s="328"/>
      <c r="O502" s="328">
        <v>7500</v>
      </c>
      <c r="P502" s="328">
        <v>5000</v>
      </c>
    </row>
    <row r="503" ht="15.75" spans="1:16">
      <c r="A503" s="115"/>
      <c r="B503" s="386" t="s">
        <v>488</v>
      </c>
      <c r="C503" s="402"/>
      <c r="D503" s="403"/>
      <c r="E503" s="341"/>
      <c r="F503" s="318"/>
      <c r="G503" s="308"/>
      <c r="H503" s="308"/>
      <c r="I503" s="152"/>
      <c r="J503" s="152"/>
      <c r="K503" s="152"/>
      <c r="L503" s="152"/>
      <c r="M503" s="331"/>
      <c r="N503" s="331"/>
      <c r="O503" s="331"/>
      <c r="P503" s="332"/>
    </row>
    <row r="504" ht="15.75" spans="1:16">
      <c r="A504" s="115">
        <v>6</v>
      </c>
      <c r="B504" s="348" t="s">
        <v>489</v>
      </c>
      <c r="C504" s="340">
        <v>3</v>
      </c>
      <c r="D504" s="341">
        <v>3800</v>
      </c>
      <c r="E504" s="341">
        <f>C504*D504</f>
        <v>11400</v>
      </c>
      <c r="F504" s="318" t="s">
        <v>104</v>
      </c>
      <c r="G504" s="308" t="s">
        <v>19</v>
      </c>
      <c r="H504" s="308" t="s">
        <v>157</v>
      </c>
      <c r="I504" s="152" t="s">
        <v>21</v>
      </c>
      <c r="J504" s="152" t="s">
        <v>21</v>
      </c>
      <c r="K504" s="152" t="s">
        <v>21</v>
      </c>
      <c r="L504" s="152" t="s">
        <v>21</v>
      </c>
      <c r="M504" s="331"/>
      <c r="N504" s="331">
        <v>3300</v>
      </c>
      <c r="O504" s="331">
        <v>3800</v>
      </c>
      <c r="P504" s="332">
        <v>3800</v>
      </c>
    </row>
    <row r="505" ht="15.75" spans="1:16">
      <c r="A505" s="115">
        <v>7</v>
      </c>
      <c r="B505" s="348" t="s">
        <v>490</v>
      </c>
      <c r="C505" s="340">
        <v>3</v>
      </c>
      <c r="D505" s="341">
        <v>13500</v>
      </c>
      <c r="E505" s="341">
        <f>C505*D505</f>
        <v>40500</v>
      </c>
      <c r="F505" s="318" t="s">
        <v>104</v>
      </c>
      <c r="G505" s="308" t="s">
        <v>19</v>
      </c>
      <c r="H505" s="308" t="s">
        <v>157</v>
      </c>
      <c r="I505" s="152" t="s">
        <v>21</v>
      </c>
      <c r="J505" s="152" t="s">
        <v>21</v>
      </c>
      <c r="K505" s="152" t="s">
        <v>21</v>
      </c>
      <c r="L505" s="152" t="s">
        <v>21</v>
      </c>
      <c r="M505" s="328"/>
      <c r="N505" s="328">
        <v>13500</v>
      </c>
      <c r="O505" s="328">
        <v>13500</v>
      </c>
      <c r="P505" s="328">
        <v>13500</v>
      </c>
    </row>
    <row r="506" ht="15.75" spans="1:16">
      <c r="A506" s="115">
        <v>8</v>
      </c>
      <c r="B506" s="348" t="s">
        <v>491</v>
      </c>
      <c r="C506" s="340">
        <v>3</v>
      </c>
      <c r="D506" s="341">
        <v>4520</v>
      </c>
      <c r="E506" s="341">
        <f>C506*D506</f>
        <v>13560</v>
      </c>
      <c r="F506" s="318" t="s">
        <v>104</v>
      </c>
      <c r="G506" s="308" t="s">
        <v>19</v>
      </c>
      <c r="H506" s="308" t="s">
        <v>157</v>
      </c>
      <c r="I506" s="152" t="s">
        <v>21</v>
      </c>
      <c r="J506" s="152" t="s">
        <v>21</v>
      </c>
      <c r="K506" s="152" t="s">
        <v>21</v>
      </c>
      <c r="L506" s="152" t="s">
        <v>21</v>
      </c>
      <c r="M506" s="331"/>
      <c r="N506" s="331">
        <v>4520</v>
      </c>
      <c r="O506" s="331">
        <v>4520</v>
      </c>
      <c r="P506" s="332">
        <v>4520</v>
      </c>
    </row>
    <row r="507" ht="15.75" spans="1:16">
      <c r="A507" s="115"/>
      <c r="B507" s="386" t="s">
        <v>492</v>
      </c>
      <c r="C507" s="402"/>
      <c r="D507" s="403"/>
      <c r="E507" s="341"/>
      <c r="F507" s="318"/>
      <c r="G507" s="308"/>
      <c r="H507" s="308"/>
      <c r="I507" s="152"/>
      <c r="J507" s="152"/>
      <c r="K507" s="152"/>
      <c r="L507" s="152"/>
      <c r="M507" s="328"/>
      <c r="N507" s="328"/>
      <c r="O507" s="328"/>
      <c r="P507" s="328"/>
    </row>
    <row r="508" ht="15.75" spans="1:16">
      <c r="A508" s="115">
        <v>9</v>
      </c>
      <c r="B508" s="348" t="s">
        <v>493</v>
      </c>
      <c r="C508" s="340">
        <v>1</v>
      </c>
      <c r="D508" s="341">
        <v>11500</v>
      </c>
      <c r="E508" s="341">
        <f>C508*D508</f>
        <v>11500</v>
      </c>
      <c r="F508" s="318" t="s">
        <v>104</v>
      </c>
      <c r="G508" s="308" t="s">
        <v>19</v>
      </c>
      <c r="H508" s="308" t="s">
        <v>157</v>
      </c>
      <c r="I508" s="152" t="s">
        <v>21</v>
      </c>
      <c r="J508" s="152" t="s">
        <v>21</v>
      </c>
      <c r="K508" s="152" t="s">
        <v>21</v>
      </c>
      <c r="L508" s="152" t="s">
        <v>21</v>
      </c>
      <c r="M508" s="331"/>
      <c r="N508" s="331">
        <v>11500</v>
      </c>
      <c r="O508" s="331"/>
      <c r="P508" s="332"/>
    </row>
    <row r="509" ht="15.75" spans="1:16">
      <c r="A509" s="115">
        <v>10</v>
      </c>
      <c r="B509" s="348" t="s">
        <v>494</v>
      </c>
      <c r="C509" s="340">
        <v>1</v>
      </c>
      <c r="D509" s="341">
        <v>10500</v>
      </c>
      <c r="E509" s="341">
        <f>C509*D509</f>
        <v>10500</v>
      </c>
      <c r="F509" s="318" t="s">
        <v>104</v>
      </c>
      <c r="G509" s="308" t="s">
        <v>19</v>
      </c>
      <c r="H509" s="308" t="s">
        <v>157</v>
      </c>
      <c r="I509" s="152" t="s">
        <v>21</v>
      </c>
      <c r="J509" s="152" t="s">
        <v>21</v>
      </c>
      <c r="K509" s="152" t="s">
        <v>21</v>
      </c>
      <c r="L509" s="152" t="s">
        <v>21</v>
      </c>
      <c r="M509" s="328"/>
      <c r="N509" s="328">
        <v>10500</v>
      </c>
      <c r="O509" s="328"/>
      <c r="P509" s="328"/>
    </row>
    <row r="510" ht="15.75" spans="1:16">
      <c r="A510" s="115">
        <v>11</v>
      </c>
      <c r="B510" s="348" t="s">
        <v>495</v>
      </c>
      <c r="C510" s="340">
        <v>1</v>
      </c>
      <c r="D510" s="341">
        <v>9500</v>
      </c>
      <c r="E510" s="341">
        <f>C510*D510</f>
        <v>9500</v>
      </c>
      <c r="F510" s="318" t="s">
        <v>104</v>
      </c>
      <c r="G510" s="308" t="s">
        <v>19</v>
      </c>
      <c r="H510" s="308" t="s">
        <v>157</v>
      </c>
      <c r="I510" s="152" t="s">
        <v>21</v>
      </c>
      <c r="J510" s="152" t="s">
        <v>21</v>
      </c>
      <c r="K510" s="152" t="s">
        <v>21</v>
      </c>
      <c r="L510" s="152" t="s">
        <v>21</v>
      </c>
      <c r="M510" s="331"/>
      <c r="N510" s="331">
        <v>9500</v>
      </c>
      <c r="O510" s="332"/>
      <c r="P510" s="115"/>
    </row>
    <row r="511" ht="15.75" spans="1:16">
      <c r="A511" s="115">
        <v>12</v>
      </c>
      <c r="B511" s="348" t="s">
        <v>496</v>
      </c>
      <c r="C511" s="340">
        <v>1</v>
      </c>
      <c r="D511" s="341">
        <v>2500</v>
      </c>
      <c r="E511" s="341">
        <f>C511*D511</f>
        <v>2500</v>
      </c>
      <c r="F511" s="318" t="s">
        <v>104</v>
      </c>
      <c r="G511" s="308" t="s">
        <v>19</v>
      </c>
      <c r="H511" s="308" t="s">
        <v>157</v>
      </c>
      <c r="I511" s="152" t="s">
        <v>21</v>
      </c>
      <c r="J511" s="152" t="s">
        <v>21</v>
      </c>
      <c r="K511" s="152" t="s">
        <v>21</v>
      </c>
      <c r="L511" s="152" t="s">
        <v>21</v>
      </c>
      <c r="M511" s="331"/>
      <c r="N511" s="331">
        <v>2500</v>
      </c>
      <c r="O511" s="331"/>
      <c r="P511" s="332"/>
    </row>
    <row r="512" ht="15.75" spans="1:16">
      <c r="A512" s="115">
        <v>13</v>
      </c>
      <c r="B512" s="348" t="s">
        <v>497</v>
      </c>
      <c r="C512" s="340">
        <v>1</v>
      </c>
      <c r="D512" s="341">
        <v>2500</v>
      </c>
      <c r="E512" s="341">
        <f>C512*D512</f>
        <v>2500</v>
      </c>
      <c r="F512" s="318" t="s">
        <v>104</v>
      </c>
      <c r="G512" s="308" t="s">
        <v>19</v>
      </c>
      <c r="H512" s="308" t="s">
        <v>157</v>
      </c>
      <c r="I512" s="152" t="s">
        <v>21</v>
      </c>
      <c r="J512" s="152" t="s">
        <v>21</v>
      </c>
      <c r="K512" s="152" t="s">
        <v>21</v>
      </c>
      <c r="L512" s="152" t="s">
        <v>21</v>
      </c>
      <c r="M512" s="328"/>
      <c r="N512" s="328">
        <v>2500</v>
      </c>
      <c r="O512" s="328"/>
      <c r="P512" s="328"/>
    </row>
    <row r="513" ht="15.75" spans="1:16">
      <c r="A513" s="115"/>
      <c r="B513" s="386" t="s">
        <v>498</v>
      </c>
      <c r="C513" s="402"/>
      <c r="D513" s="403"/>
      <c r="E513" s="341"/>
      <c r="F513" s="318"/>
      <c r="G513" s="308"/>
      <c r="H513" s="308"/>
      <c r="I513" s="152"/>
      <c r="J513" s="152"/>
      <c r="K513" s="152"/>
      <c r="L513" s="152"/>
      <c r="M513" s="331"/>
      <c r="N513" s="331"/>
      <c r="O513" s="331"/>
      <c r="P513" s="332"/>
    </row>
    <row r="514" ht="15.75" spans="1:16">
      <c r="A514" s="115">
        <v>14</v>
      </c>
      <c r="B514" s="348" t="s">
        <v>499</v>
      </c>
      <c r="C514" s="340">
        <v>2</v>
      </c>
      <c r="D514" s="341">
        <v>13000</v>
      </c>
      <c r="E514" s="341">
        <f t="shared" ref="E514:E521" si="15">C514*D514</f>
        <v>26000</v>
      </c>
      <c r="F514" s="318" t="s">
        <v>104</v>
      </c>
      <c r="G514" s="308" t="s">
        <v>19</v>
      </c>
      <c r="H514" s="308" t="s">
        <v>157</v>
      </c>
      <c r="I514" s="152" t="s">
        <v>21</v>
      </c>
      <c r="J514" s="152" t="s">
        <v>21</v>
      </c>
      <c r="K514" s="152" t="s">
        <v>21</v>
      </c>
      <c r="L514" s="152" t="s">
        <v>21</v>
      </c>
      <c r="M514" s="331"/>
      <c r="N514" s="331">
        <v>26000</v>
      </c>
      <c r="O514" s="331"/>
      <c r="P514" s="332"/>
    </row>
    <row r="515" ht="15.75" spans="1:16">
      <c r="A515" s="115">
        <v>15</v>
      </c>
      <c r="B515" s="348" t="s">
        <v>500</v>
      </c>
      <c r="C515" s="340">
        <v>1</v>
      </c>
      <c r="D515" s="341">
        <v>30000</v>
      </c>
      <c r="E515" s="341">
        <f t="shared" si="15"/>
        <v>30000</v>
      </c>
      <c r="F515" s="318" t="s">
        <v>104</v>
      </c>
      <c r="G515" s="308" t="s">
        <v>19</v>
      </c>
      <c r="H515" s="308" t="s">
        <v>157</v>
      </c>
      <c r="I515" s="152" t="s">
        <v>21</v>
      </c>
      <c r="J515" s="152" t="s">
        <v>21</v>
      </c>
      <c r="K515" s="152" t="s">
        <v>21</v>
      </c>
      <c r="L515" s="152" t="s">
        <v>21</v>
      </c>
      <c r="M515" s="328"/>
      <c r="N515" s="328">
        <v>30000</v>
      </c>
      <c r="O515" s="328"/>
      <c r="P515" s="328"/>
    </row>
    <row r="516" ht="15.75" spans="1:16">
      <c r="A516" s="115">
        <v>16</v>
      </c>
      <c r="B516" s="348" t="s">
        <v>501</v>
      </c>
      <c r="C516" s="340">
        <v>1</v>
      </c>
      <c r="D516" s="341">
        <v>35000</v>
      </c>
      <c r="E516" s="341">
        <f t="shared" si="15"/>
        <v>35000</v>
      </c>
      <c r="F516" s="318" t="s">
        <v>104</v>
      </c>
      <c r="G516" s="308" t="s">
        <v>19</v>
      </c>
      <c r="H516" s="308" t="s">
        <v>157</v>
      </c>
      <c r="I516" s="152" t="s">
        <v>21</v>
      </c>
      <c r="J516" s="152" t="s">
        <v>21</v>
      </c>
      <c r="K516" s="152" t="s">
        <v>21</v>
      </c>
      <c r="L516" s="152" t="s">
        <v>21</v>
      </c>
      <c r="M516" s="331"/>
      <c r="N516" s="331">
        <v>35000</v>
      </c>
      <c r="O516" s="331"/>
      <c r="P516" s="332"/>
    </row>
    <row r="517" ht="15.75" spans="1:16">
      <c r="A517" s="115">
        <v>17</v>
      </c>
      <c r="B517" s="348" t="s">
        <v>502</v>
      </c>
      <c r="C517" s="340">
        <v>1</v>
      </c>
      <c r="D517" s="341">
        <v>34000</v>
      </c>
      <c r="E517" s="341">
        <f t="shared" si="15"/>
        <v>34000</v>
      </c>
      <c r="F517" s="318" t="s">
        <v>104</v>
      </c>
      <c r="G517" s="308" t="s">
        <v>19</v>
      </c>
      <c r="H517" s="308" t="s">
        <v>157</v>
      </c>
      <c r="I517" s="152" t="s">
        <v>21</v>
      </c>
      <c r="J517" s="152" t="s">
        <v>21</v>
      </c>
      <c r="K517" s="152" t="s">
        <v>21</v>
      </c>
      <c r="L517" s="152" t="s">
        <v>21</v>
      </c>
      <c r="M517" s="328"/>
      <c r="N517" s="328">
        <v>34000</v>
      </c>
      <c r="O517" s="328"/>
      <c r="P517" s="328"/>
    </row>
    <row r="518" ht="15.75" spans="1:16">
      <c r="A518" s="115">
        <v>18</v>
      </c>
      <c r="B518" s="348" t="s">
        <v>503</v>
      </c>
      <c r="C518" s="340">
        <v>1</v>
      </c>
      <c r="D518" s="341">
        <v>24000</v>
      </c>
      <c r="E518" s="341">
        <f t="shared" si="15"/>
        <v>24000</v>
      </c>
      <c r="F518" s="318" t="s">
        <v>104</v>
      </c>
      <c r="G518" s="308" t="s">
        <v>19</v>
      </c>
      <c r="H518" s="308" t="s">
        <v>157</v>
      </c>
      <c r="I518" s="152" t="s">
        <v>21</v>
      </c>
      <c r="J518" s="152" t="s">
        <v>21</v>
      </c>
      <c r="K518" s="152" t="s">
        <v>21</v>
      </c>
      <c r="L518" s="152" t="s">
        <v>21</v>
      </c>
      <c r="M518" s="331"/>
      <c r="N518" s="331">
        <v>24000</v>
      </c>
      <c r="O518" s="332"/>
      <c r="P518" s="332"/>
    </row>
    <row r="519" ht="15.75" spans="1:16">
      <c r="A519" s="115">
        <v>19</v>
      </c>
      <c r="B519" s="348" t="s">
        <v>504</v>
      </c>
      <c r="C519" s="340">
        <v>4</v>
      </c>
      <c r="D519" s="341">
        <v>950</v>
      </c>
      <c r="E519" s="341">
        <f t="shared" si="15"/>
        <v>3800</v>
      </c>
      <c r="F519" s="318" t="s">
        <v>104</v>
      </c>
      <c r="G519" s="308" t="s">
        <v>19</v>
      </c>
      <c r="H519" s="308" t="s">
        <v>157</v>
      </c>
      <c r="I519" s="152" t="s">
        <v>21</v>
      </c>
      <c r="J519" s="152" t="s">
        <v>21</v>
      </c>
      <c r="K519" s="152" t="s">
        <v>21</v>
      </c>
      <c r="L519" s="152" t="s">
        <v>21</v>
      </c>
      <c r="M519" s="331">
        <v>1900</v>
      </c>
      <c r="N519" s="331"/>
      <c r="O519" s="331">
        <v>1900</v>
      </c>
      <c r="P519" s="332"/>
    </row>
    <row r="520" ht="15.75" spans="1:16">
      <c r="A520" s="115">
        <v>20</v>
      </c>
      <c r="B520" s="348" t="s">
        <v>505</v>
      </c>
      <c r="C520" s="340">
        <v>2</v>
      </c>
      <c r="D520" s="341">
        <v>700</v>
      </c>
      <c r="E520" s="341">
        <f t="shared" si="15"/>
        <v>1400</v>
      </c>
      <c r="F520" s="318" t="s">
        <v>104</v>
      </c>
      <c r="G520" s="308" t="s">
        <v>19</v>
      </c>
      <c r="H520" s="308" t="s">
        <v>157</v>
      </c>
      <c r="I520" s="152" t="s">
        <v>21</v>
      </c>
      <c r="J520" s="152" t="s">
        <v>21</v>
      </c>
      <c r="K520" s="152" t="s">
        <v>21</v>
      </c>
      <c r="L520" s="152" t="s">
        <v>21</v>
      </c>
      <c r="M520" s="328">
        <v>700</v>
      </c>
      <c r="N520" s="328"/>
      <c r="O520" s="328">
        <v>700</v>
      </c>
      <c r="P520" s="328"/>
    </row>
    <row r="521" ht="15.75" spans="1:16">
      <c r="A521" s="115">
        <v>21</v>
      </c>
      <c r="B521" s="348" t="s">
        <v>506</v>
      </c>
      <c r="C521" s="340">
        <v>2</v>
      </c>
      <c r="D521" s="341">
        <v>1200</v>
      </c>
      <c r="E521" s="341">
        <f t="shared" si="15"/>
        <v>2400</v>
      </c>
      <c r="F521" s="318" t="s">
        <v>104</v>
      </c>
      <c r="G521" s="308" t="s">
        <v>19</v>
      </c>
      <c r="H521" s="308" t="s">
        <v>157</v>
      </c>
      <c r="I521" s="152" t="s">
        <v>21</v>
      </c>
      <c r="J521" s="152" t="s">
        <v>21</v>
      </c>
      <c r="K521" s="152" t="s">
        <v>21</v>
      </c>
      <c r="L521" s="152" t="s">
        <v>21</v>
      </c>
      <c r="M521" s="331"/>
      <c r="N521" s="331">
        <v>1200</v>
      </c>
      <c r="O521" s="331">
        <v>1200</v>
      </c>
      <c r="P521" s="332"/>
    </row>
    <row r="522" spans="1:16">
      <c r="A522" s="115">
        <v>22</v>
      </c>
      <c r="B522" s="322" t="s">
        <v>507</v>
      </c>
      <c r="C522" s="322">
        <v>20</v>
      </c>
      <c r="D522" s="322">
        <v>30000</v>
      </c>
      <c r="E522" s="322">
        <v>600000</v>
      </c>
      <c r="F522" s="322" t="s">
        <v>508</v>
      </c>
      <c r="G522" s="308" t="s">
        <v>19</v>
      </c>
      <c r="H522" s="323" t="s">
        <v>509</v>
      </c>
      <c r="I522" s="333" t="s">
        <v>38</v>
      </c>
      <c r="J522" s="333" t="s">
        <v>38</v>
      </c>
      <c r="K522" s="333" t="s">
        <v>38</v>
      </c>
      <c r="L522" s="333" t="s">
        <v>38</v>
      </c>
      <c r="M522" s="328">
        <v>300000</v>
      </c>
      <c r="N522" s="328"/>
      <c r="O522" s="328">
        <v>300000</v>
      </c>
      <c r="P522" s="328"/>
    </row>
    <row r="523" ht="15.75" spans="1:16">
      <c r="A523" s="115">
        <v>23</v>
      </c>
      <c r="B523" s="115" t="s">
        <v>510</v>
      </c>
      <c r="C523" s="115">
        <v>1</v>
      </c>
      <c r="D523" s="115">
        <v>11000</v>
      </c>
      <c r="E523" s="319">
        <v>11000</v>
      </c>
      <c r="F523" s="308" t="s">
        <v>37</v>
      </c>
      <c r="G523" s="320" t="s">
        <v>19</v>
      </c>
      <c r="H523" s="308" t="s">
        <v>157</v>
      </c>
      <c r="I523" s="333" t="s">
        <v>38</v>
      </c>
      <c r="J523" s="333" t="s">
        <v>38</v>
      </c>
      <c r="K523" s="333" t="s">
        <v>38</v>
      </c>
      <c r="L523" s="333" t="s">
        <v>38</v>
      </c>
      <c r="M523" s="115"/>
      <c r="N523" s="115"/>
      <c r="O523" s="115">
        <v>11000</v>
      </c>
      <c r="P523" s="115"/>
    </row>
    <row r="524" ht="15.75" spans="1:16">
      <c r="A524" s="115">
        <v>24</v>
      </c>
      <c r="B524" s="115" t="s">
        <v>511</v>
      </c>
      <c r="C524" s="115">
        <v>4</v>
      </c>
      <c r="D524" s="115">
        <v>3000</v>
      </c>
      <c r="E524" s="319">
        <v>12000</v>
      </c>
      <c r="F524" s="308" t="s">
        <v>37</v>
      </c>
      <c r="G524" s="320" t="s">
        <v>19</v>
      </c>
      <c r="H524" s="308" t="s">
        <v>157</v>
      </c>
      <c r="I524" s="333" t="s">
        <v>38</v>
      </c>
      <c r="J524" s="333" t="s">
        <v>38</v>
      </c>
      <c r="K524" s="333" t="s">
        <v>38</v>
      </c>
      <c r="L524" s="333" t="s">
        <v>38</v>
      </c>
      <c r="M524" s="115">
        <v>6000</v>
      </c>
      <c r="N524" s="115">
        <v>6000</v>
      </c>
      <c r="O524" s="115"/>
      <c r="P524" s="115"/>
    </row>
    <row r="525" ht="15.75" spans="1:16">
      <c r="A525" s="115">
        <v>25</v>
      </c>
      <c r="B525" s="115" t="s">
        <v>512</v>
      </c>
      <c r="C525" s="115">
        <v>4</v>
      </c>
      <c r="D525" s="115">
        <v>1800</v>
      </c>
      <c r="E525" s="115">
        <v>7200</v>
      </c>
      <c r="F525" s="308" t="s">
        <v>37</v>
      </c>
      <c r="G525" s="320" t="s">
        <v>19</v>
      </c>
      <c r="H525" s="308" t="s">
        <v>157</v>
      </c>
      <c r="I525" s="333" t="s">
        <v>38</v>
      </c>
      <c r="J525" s="333" t="s">
        <v>38</v>
      </c>
      <c r="K525" s="333" t="s">
        <v>38</v>
      </c>
      <c r="L525" s="333" t="s">
        <v>38</v>
      </c>
      <c r="M525" s="115">
        <v>3600</v>
      </c>
      <c r="N525" s="115"/>
      <c r="O525" s="115">
        <v>3600</v>
      </c>
      <c r="P525" s="115"/>
    </row>
    <row r="526" spans="1:16">
      <c r="A526" s="115">
        <v>26</v>
      </c>
      <c r="B526" s="322" t="s">
        <v>513</v>
      </c>
      <c r="C526" s="322">
        <v>30</v>
      </c>
      <c r="D526" s="322">
        <v>10000</v>
      </c>
      <c r="E526" s="322">
        <v>300000</v>
      </c>
      <c r="F526" s="323" t="s">
        <v>43</v>
      </c>
      <c r="G526" s="308" t="s">
        <v>19</v>
      </c>
      <c r="H526" s="323" t="s">
        <v>509</v>
      </c>
      <c r="I526" s="333" t="s">
        <v>38</v>
      </c>
      <c r="J526" s="333" t="s">
        <v>38</v>
      </c>
      <c r="K526" s="333" t="s">
        <v>38</v>
      </c>
      <c r="L526" s="333" t="s">
        <v>38</v>
      </c>
      <c r="M526" s="331">
        <v>75000</v>
      </c>
      <c r="N526" s="331">
        <v>75000</v>
      </c>
      <c r="O526" s="331">
        <v>75000</v>
      </c>
      <c r="P526" s="332">
        <v>75000</v>
      </c>
    </row>
    <row r="527" spans="1:16">
      <c r="A527" s="115">
        <v>27</v>
      </c>
      <c r="B527" s="322" t="s">
        <v>514</v>
      </c>
      <c r="C527" s="115">
        <v>2000</v>
      </c>
      <c r="D527" s="115">
        <v>25</v>
      </c>
      <c r="E527" s="115">
        <v>50000</v>
      </c>
      <c r="F527" s="308" t="s">
        <v>43</v>
      </c>
      <c r="G527" s="308" t="s">
        <v>19</v>
      </c>
      <c r="H527" s="368" t="s">
        <v>211</v>
      </c>
      <c r="I527" s="333" t="s">
        <v>38</v>
      </c>
      <c r="J527" s="333" t="s">
        <v>38</v>
      </c>
      <c r="K527" s="333" t="s">
        <v>38</v>
      </c>
      <c r="L527" s="333" t="s">
        <v>38</v>
      </c>
      <c r="M527" s="331">
        <v>25000</v>
      </c>
      <c r="N527" s="331">
        <v>25000</v>
      </c>
      <c r="O527" s="331"/>
      <c r="P527" s="332"/>
    </row>
    <row r="528" spans="1:16">
      <c r="A528" s="115">
        <v>28</v>
      </c>
      <c r="B528" s="322" t="s">
        <v>515</v>
      </c>
      <c r="C528" s="115" t="s">
        <v>516</v>
      </c>
      <c r="D528" s="115">
        <v>65</v>
      </c>
      <c r="E528" s="115">
        <v>26000</v>
      </c>
      <c r="F528" s="308" t="s">
        <v>43</v>
      </c>
      <c r="G528" s="308" t="s">
        <v>19</v>
      </c>
      <c r="H528" s="368" t="s">
        <v>211</v>
      </c>
      <c r="I528" s="333" t="s">
        <v>38</v>
      </c>
      <c r="J528" s="333" t="s">
        <v>38</v>
      </c>
      <c r="K528" s="333" t="s">
        <v>38</v>
      </c>
      <c r="L528" s="333" t="s">
        <v>38</v>
      </c>
      <c r="M528" s="328">
        <v>26000</v>
      </c>
      <c r="N528" s="328"/>
      <c r="O528" s="328"/>
      <c r="P528" s="328"/>
    </row>
    <row r="529" spans="1:16">
      <c r="A529" s="115">
        <v>29</v>
      </c>
      <c r="B529" s="322" t="s">
        <v>517</v>
      </c>
      <c r="C529" s="115" t="s">
        <v>518</v>
      </c>
      <c r="D529" s="115">
        <v>700</v>
      </c>
      <c r="E529" s="115">
        <v>56000</v>
      </c>
      <c r="F529" s="308"/>
      <c r="G529" s="308"/>
      <c r="H529" s="368"/>
      <c r="I529" s="333"/>
      <c r="J529" s="333"/>
      <c r="K529" s="333"/>
      <c r="L529" s="333"/>
      <c r="M529" s="328"/>
      <c r="N529" s="328"/>
      <c r="O529" s="328"/>
      <c r="P529" s="328"/>
    </row>
    <row r="530" ht="15.75" spans="1:16">
      <c r="A530" s="115"/>
      <c r="B530" s="386" t="s">
        <v>519</v>
      </c>
      <c r="C530" s="386"/>
      <c r="D530" s="385"/>
      <c r="E530" s="317"/>
      <c r="F530" s="318"/>
      <c r="G530" s="308"/>
      <c r="H530" s="308"/>
      <c r="I530" s="152"/>
      <c r="J530" s="152"/>
      <c r="K530" s="152"/>
      <c r="L530" s="152"/>
      <c r="M530" s="331"/>
      <c r="N530" s="331"/>
      <c r="O530" s="332"/>
      <c r="P530" s="115"/>
    </row>
    <row r="531" ht="15.75" spans="1:16">
      <c r="A531" s="115">
        <v>74</v>
      </c>
      <c r="B531" s="348" t="s">
        <v>520</v>
      </c>
      <c r="C531" s="340">
        <v>1</v>
      </c>
      <c r="D531" s="341">
        <v>4800</v>
      </c>
      <c r="E531" s="341">
        <f t="shared" ref="E531:E539" si="16">C531*D531</f>
        <v>4800</v>
      </c>
      <c r="F531" s="318" t="s">
        <v>104</v>
      </c>
      <c r="G531" s="308" t="s">
        <v>19</v>
      </c>
      <c r="H531" s="308" t="s">
        <v>157</v>
      </c>
      <c r="I531" s="152" t="s">
        <v>21</v>
      </c>
      <c r="J531" s="152" t="s">
        <v>21</v>
      </c>
      <c r="K531" s="152" t="s">
        <v>21</v>
      </c>
      <c r="L531" s="152" t="s">
        <v>21</v>
      </c>
      <c r="M531" s="331">
        <v>4800</v>
      </c>
      <c r="N531" s="331"/>
      <c r="O531" s="331"/>
      <c r="P531" s="332"/>
    </row>
    <row r="532" ht="15.75" spans="1:16">
      <c r="A532" s="115">
        <v>75</v>
      </c>
      <c r="B532" s="348" t="s">
        <v>521</v>
      </c>
      <c r="C532" s="340">
        <v>2</v>
      </c>
      <c r="D532" s="341">
        <v>5200</v>
      </c>
      <c r="E532" s="341">
        <f t="shared" si="16"/>
        <v>10400</v>
      </c>
      <c r="F532" s="318" t="s">
        <v>104</v>
      </c>
      <c r="G532" s="308" t="s">
        <v>19</v>
      </c>
      <c r="H532" s="308" t="s">
        <v>157</v>
      </c>
      <c r="I532" s="152" t="s">
        <v>21</v>
      </c>
      <c r="J532" s="152" t="s">
        <v>21</v>
      </c>
      <c r="K532" s="152" t="s">
        <v>21</v>
      </c>
      <c r="L532" s="152" t="s">
        <v>21</v>
      </c>
      <c r="M532" s="328">
        <v>5200</v>
      </c>
      <c r="N532" s="328"/>
      <c r="O532" s="328">
        <v>5200</v>
      </c>
      <c r="P532" s="328"/>
    </row>
    <row r="533" ht="15.75" spans="1:16">
      <c r="A533" s="115">
        <v>76</v>
      </c>
      <c r="B533" s="348" t="s">
        <v>522</v>
      </c>
      <c r="C533" s="340">
        <v>2</v>
      </c>
      <c r="D533" s="341">
        <v>5600</v>
      </c>
      <c r="E533" s="341">
        <f t="shared" si="16"/>
        <v>11200</v>
      </c>
      <c r="F533" s="318" t="s">
        <v>104</v>
      </c>
      <c r="G533" s="308" t="s">
        <v>19</v>
      </c>
      <c r="H533" s="308" t="s">
        <v>157</v>
      </c>
      <c r="I533" s="152" t="s">
        <v>21</v>
      </c>
      <c r="J533" s="152" t="s">
        <v>21</v>
      </c>
      <c r="K533" s="152" t="s">
        <v>21</v>
      </c>
      <c r="L533" s="152" t="s">
        <v>21</v>
      </c>
      <c r="M533" s="331">
        <v>5600</v>
      </c>
      <c r="N533" s="331"/>
      <c r="O533" s="331"/>
      <c r="P533" s="332">
        <v>5600</v>
      </c>
    </row>
    <row r="534" ht="15.75" spans="1:16">
      <c r="A534" s="115">
        <v>77</v>
      </c>
      <c r="B534" s="348" t="s">
        <v>523</v>
      </c>
      <c r="C534" s="340">
        <v>1</v>
      </c>
      <c r="D534" s="341">
        <v>4210</v>
      </c>
      <c r="E534" s="341">
        <f t="shared" si="16"/>
        <v>4210</v>
      </c>
      <c r="F534" s="318" t="s">
        <v>104</v>
      </c>
      <c r="G534" s="308" t="s">
        <v>19</v>
      </c>
      <c r="H534" s="308" t="s">
        <v>157</v>
      </c>
      <c r="I534" s="152" t="s">
        <v>21</v>
      </c>
      <c r="J534" s="152" t="s">
        <v>21</v>
      </c>
      <c r="K534" s="152" t="s">
        <v>21</v>
      </c>
      <c r="L534" s="152" t="s">
        <v>21</v>
      </c>
      <c r="M534" s="331">
        <v>4210</v>
      </c>
      <c r="N534" s="331"/>
      <c r="O534" s="331"/>
      <c r="P534" s="332"/>
    </row>
    <row r="535" ht="15.75" spans="1:16">
      <c r="A535" s="115">
        <v>78</v>
      </c>
      <c r="B535" s="348" t="s">
        <v>524</v>
      </c>
      <c r="C535" s="340">
        <v>4</v>
      </c>
      <c r="D535" s="341">
        <v>6800</v>
      </c>
      <c r="E535" s="341">
        <f t="shared" si="16"/>
        <v>27200</v>
      </c>
      <c r="F535" s="318" t="s">
        <v>104</v>
      </c>
      <c r="G535" s="308" t="s">
        <v>19</v>
      </c>
      <c r="H535" s="308" t="s">
        <v>157</v>
      </c>
      <c r="I535" s="152" t="s">
        <v>21</v>
      </c>
      <c r="J535" s="152" t="s">
        <v>21</v>
      </c>
      <c r="K535" s="152" t="s">
        <v>21</v>
      </c>
      <c r="L535" s="152" t="s">
        <v>21</v>
      </c>
      <c r="M535" s="328">
        <v>13600</v>
      </c>
      <c r="N535" s="328">
        <v>13600</v>
      </c>
      <c r="O535" s="328"/>
      <c r="P535" s="328"/>
    </row>
    <row r="536" ht="15.75" spans="1:16">
      <c r="A536" s="115">
        <v>79</v>
      </c>
      <c r="B536" s="348" t="s">
        <v>525</v>
      </c>
      <c r="C536" s="340">
        <v>1</v>
      </c>
      <c r="D536" s="341">
        <v>5200</v>
      </c>
      <c r="E536" s="341">
        <f t="shared" si="16"/>
        <v>5200</v>
      </c>
      <c r="F536" s="318" t="s">
        <v>104</v>
      </c>
      <c r="G536" s="308" t="s">
        <v>19</v>
      </c>
      <c r="H536" s="308" t="s">
        <v>157</v>
      </c>
      <c r="I536" s="152" t="s">
        <v>21</v>
      </c>
      <c r="J536" s="152" t="s">
        <v>21</v>
      </c>
      <c r="K536" s="152" t="s">
        <v>21</v>
      </c>
      <c r="L536" s="152" t="s">
        <v>21</v>
      </c>
      <c r="M536" s="331"/>
      <c r="N536" s="331">
        <v>5200</v>
      </c>
      <c r="O536" s="331"/>
      <c r="P536" s="332"/>
    </row>
    <row r="537" ht="15.75" spans="1:16">
      <c r="A537" s="115">
        <v>80</v>
      </c>
      <c r="B537" s="348" t="s">
        <v>526</v>
      </c>
      <c r="C537" s="340">
        <v>1</v>
      </c>
      <c r="D537" s="341">
        <v>3250</v>
      </c>
      <c r="E537" s="341">
        <f t="shared" si="16"/>
        <v>3250</v>
      </c>
      <c r="F537" s="318" t="s">
        <v>104</v>
      </c>
      <c r="G537" s="308" t="s">
        <v>19</v>
      </c>
      <c r="H537" s="308" t="s">
        <v>157</v>
      </c>
      <c r="I537" s="152" t="s">
        <v>21</v>
      </c>
      <c r="J537" s="152" t="s">
        <v>21</v>
      </c>
      <c r="K537" s="152" t="s">
        <v>21</v>
      </c>
      <c r="L537" s="152" t="s">
        <v>21</v>
      </c>
      <c r="M537" s="328"/>
      <c r="N537" s="328">
        <v>3250</v>
      </c>
      <c r="O537" s="328"/>
      <c r="P537" s="328"/>
    </row>
    <row r="538" ht="15.75" spans="1:16">
      <c r="A538" s="115">
        <v>81</v>
      </c>
      <c r="B538" s="348" t="s">
        <v>527</v>
      </c>
      <c r="C538" s="340">
        <v>1</v>
      </c>
      <c r="D538" s="341">
        <v>2120</v>
      </c>
      <c r="E538" s="341">
        <f t="shared" si="16"/>
        <v>2120</v>
      </c>
      <c r="F538" s="318" t="s">
        <v>104</v>
      </c>
      <c r="G538" s="308" t="s">
        <v>19</v>
      </c>
      <c r="H538" s="308" t="s">
        <v>157</v>
      </c>
      <c r="I538" s="152" t="s">
        <v>21</v>
      </c>
      <c r="J538" s="152" t="s">
        <v>21</v>
      </c>
      <c r="K538" s="152" t="s">
        <v>21</v>
      </c>
      <c r="L538" s="152" t="s">
        <v>21</v>
      </c>
      <c r="M538" s="331"/>
      <c r="N538" s="331">
        <v>2120</v>
      </c>
      <c r="O538" s="331"/>
      <c r="P538" s="332"/>
    </row>
    <row r="539" ht="15.75" spans="1:16">
      <c r="A539" s="115">
        <v>82</v>
      </c>
      <c r="B539" s="348" t="s">
        <v>528</v>
      </c>
      <c r="C539" s="340">
        <v>1</v>
      </c>
      <c r="D539" s="341">
        <v>3200</v>
      </c>
      <c r="E539" s="341">
        <f t="shared" si="16"/>
        <v>3200</v>
      </c>
      <c r="F539" s="318" t="s">
        <v>104</v>
      </c>
      <c r="G539" s="308" t="s">
        <v>19</v>
      </c>
      <c r="H539" s="308" t="s">
        <v>157</v>
      </c>
      <c r="I539" s="152" t="s">
        <v>21</v>
      </c>
      <c r="J539" s="152" t="s">
        <v>21</v>
      </c>
      <c r="K539" s="152" t="s">
        <v>21</v>
      </c>
      <c r="L539" s="152" t="s">
        <v>21</v>
      </c>
      <c r="M539" s="328"/>
      <c r="N539" s="328">
        <v>3200</v>
      </c>
      <c r="O539" s="328"/>
      <c r="P539" s="328"/>
    </row>
    <row r="540" ht="15.75" spans="1:16">
      <c r="A540" s="115"/>
      <c r="B540" s="386" t="s">
        <v>529</v>
      </c>
      <c r="C540" s="402"/>
      <c r="D540" s="403"/>
      <c r="E540" s="341" t="s">
        <v>400</v>
      </c>
      <c r="F540" s="318"/>
      <c r="G540" s="115"/>
      <c r="H540" s="308"/>
      <c r="I540" s="152"/>
      <c r="J540" s="152"/>
      <c r="K540" s="152"/>
      <c r="L540" s="152"/>
      <c r="M540" s="331"/>
      <c r="N540" s="331"/>
      <c r="O540" s="332"/>
      <c r="P540" s="115"/>
    </row>
    <row r="541" ht="15.75" spans="1:16">
      <c r="A541" s="115">
        <v>83</v>
      </c>
      <c r="B541" s="348" t="s">
        <v>530</v>
      </c>
      <c r="C541" s="340">
        <v>1</v>
      </c>
      <c r="D541" s="341">
        <v>8000</v>
      </c>
      <c r="E541" s="341">
        <f>C541*D541</f>
        <v>8000</v>
      </c>
      <c r="F541" s="318" t="s">
        <v>104</v>
      </c>
      <c r="G541" s="308" t="s">
        <v>19</v>
      </c>
      <c r="H541" s="308" t="s">
        <v>157</v>
      </c>
      <c r="I541" s="152" t="s">
        <v>21</v>
      </c>
      <c r="J541" s="152" t="s">
        <v>21</v>
      </c>
      <c r="K541" s="152" t="s">
        <v>21</v>
      </c>
      <c r="L541" s="152" t="s">
        <v>21</v>
      </c>
      <c r="M541" s="331">
        <v>8000</v>
      </c>
      <c r="N541" s="331"/>
      <c r="O541" s="331"/>
      <c r="P541" s="332"/>
    </row>
    <row r="542" ht="15.75" spans="1:16">
      <c r="A542" s="115">
        <v>84</v>
      </c>
      <c r="B542" s="348" t="s">
        <v>531</v>
      </c>
      <c r="C542" s="340">
        <v>1</v>
      </c>
      <c r="D542" s="341">
        <v>9800</v>
      </c>
      <c r="E542" s="341">
        <f>C542*D542</f>
        <v>9800</v>
      </c>
      <c r="F542" s="318" t="s">
        <v>104</v>
      </c>
      <c r="G542" s="308" t="s">
        <v>19</v>
      </c>
      <c r="H542" s="308" t="s">
        <v>157</v>
      </c>
      <c r="I542" s="152" t="s">
        <v>21</v>
      </c>
      <c r="J542" s="152" t="s">
        <v>21</v>
      </c>
      <c r="K542" s="152" t="s">
        <v>21</v>
      </c>
      <c r="L542" s="152" t="s">
        <v>21</v>
      </c>
      <c r="M542" s="328">
        <v>9800</v>
      </c>
      <c r="N542" s="328"/>
      <c r="O542" s="328"/>
      <c r="P542" s="328"/>
    </row>
    <row r="543" ht="15.75" spans="1:16">
      <c r="A543" s="115"/>
      <c r="B543" s="348" t="s">
        <v>532</v>
      </c>
      <c r="C543" s="340">
        <v>1</v>
      </c>
      <c r="D543" s="341">
        <v>1800</v>
      </c>
      <c r="E543" s="341">
        <f>C543*D543</f>
        <v>1800</v>
      </c>
      <c r="F543" s="318" t="s">
        <v>104</v>
      </c>
      <c r="G543" s="308" t="s">
        <v>19</v>
      </c>
      <c r="H543" s="308" t="s">
        <v>157</v>
      </c>
      <c r="I543" s="152" t="s">
        <v>21</v>
      </c>
      <c r="J543" s="152" t="s">
        <v>21</v>
      </c>
      <c r="K543" s="152" t="s">
        <v>21</v>
      </c>
      <c r="L543" s="152" t="s">
        <v>21</v>
      </c>
      <c r="M543" s="331">
        <v>1800</v>
      </c>
      <c r="N543" s="331"/>
      <c r="O543" s="331"/>
      <c r="P543" s="332"/>
    </row>
    <row r="544" spans="1:16">
      <c r="A544" s="115">
        <v>85</v>
      </c>
      <c r="B544" s="322" t="s">
        <v>533</v>
      </c>
      <c r="C544" s="322">
        <v>5</v>
      </c>
      <c r="D544" s="322">
        <v>50000</v>
      </c>
      <c r="E544" s="322">
        <v>250000</v>
      </c>
      <c r="F544" s="323" t="s">
        <v>43</v>
      </c>
      <c r="G544" s="308" t="s">
        <v>19</v>
      </c>
      <c r="H544" s="323" t="s">
        <v>509</v>
      </c>
      <c r="I544" s="333" t="s">
        <v>38</v>
      </c>
      <c r="J544" s="333" t="s">
        <v>38</v>
      </c>
      <c r="K544" s="333" t="s">
        <v>38</v>
      </c>
      <c r="L544" s="333" t="s">
        <v>38</v>
      </c>
      <c r="M544" s="331"/>
      <c r="N544" s="331">
        <v>250000</v>
      </c>
      <c r="O544" s="331"/>
      <c r="P544" s="332"/>
    </row>
    <row r="545" spans="1:16">
      <c r="A545" s="306"/>
      <c r="B545" s="306" t="s">
        <v>22</v>
      </c>
      <c r="C545" s="306"/>
      <c r="D545" s="392"/>
      <c r="E545" s="392">
        <f>SUM(E497:E544)</f>
        <v>1711040</v>
      </c>
      <c r="F545" s="115"/>
      <c r="G545" s="115"/>
      <c r="H545" s="115"/>
      <c r="I545" s="115"/>
      <c r="J545" s="115"/>
      <c r="K545" s="115"/>
      <c r="L545" s="115"/>
      <c r="M545" s="115"/>
      <c r="N545" s="115"/>
      <c r="O545" s="115"/>
      <c r="P545" s="115"/>
    </row>
    <row r="546" spans="1:16">
      <c r="A546" s="306"/>
      <c r="B546" s="306"/>
      <c r="C546" s="306"/>
      <c r="D546" s="306"/>
      <c r="E546" s="392"/>
      <c r="F546" s="115"/>
      <c r="G546" s="115"/>
      <c r="H546" s="115"/>
      <c r="I546" s="115"/>
      <c r="J546" s="115"/>
      <c r="K546" s="115"/>
      <c r="L546" s="115"/>
      <c r="M546" s="115"/>
      <c r="N546" s="115"/>
      <c r="O546" s="115"/>
      <c r="P546" s="115"/>
    </row>
    <row r="547" spans="1:16">
      <c r="A547" s="115"/>
      <c r="B547" s="115"/>
      <c r="C547" s="115"/>
      <c r="D547" s="115"/>
      <c r="E547" s="115"/>
      <c r="F547" s="115"/>
      <c r="G547" s="115"/>
      <c r="H547" s="115"/>
      <c r="I547" s="115"/>
      <c r="J547" s="115"/>
      <c r="K547" s="115"/>
      <c r="L547" s="115"/>
      <c r="M547" s="115"/>
      <c r="N547" s="115"/>
      <c r="O547" s="115"/>
      <c r="P547" s="115"/>
    </row>
    <row r="548" spans="1:16">
      <c r="A548" s="115"/>
      <c r="B548" s="115"/>
      <c r="C548" s="115"/>
      <c r="D548" s="115"/>
      <c r="E548" s="115"/>
      <c r="F548" s="115"/>
      <c r="G548" s="115"/>
      <c r="H548" s="115"/>
      <c r="I548" s="115"/>
      <c r="J548" s="115"/>
      <c r="K548" s="115"/>
      <c r="L548" s="115"/>
      <c r="M548" s="115"/>
      <c r="N548" s="115"/>
      <c r="O548" s="115"/>
      <c r="P548" s="115"/>
    </row>
    <row r="549" spans="1:16">
      <c r="A549" s="306" t="s">
        <v>534</v>
      </c>
      <c r="B549" s="115"/>
      <c r="C549" s="115"/>
      <c r="D549" s="115"/>
      <c r="E549" s="115"/>
      <c r="F549" s="115"/>
      <c r="G549" s="115"/>
      <c r="H549" s="115"/>
      <c r="I549" s="115"/>
      <c r="J549" s="115"/>
      <c r="K549" s="115"/>
      <c r="L549" s="115"/>
      <c r="M549" s="115"/>
      <c r="N549" s="115"/>
      <c r="O549" s="115"/>
      <c r="P549" s="115"/>
    </row>
    <row r="550" ht="15.75" spans="1:16">
      <c r="A550" s="115">
        <v>1</v>
      </c>
      <c r="B550" s="321" t="s">
        <v>535</v>
      </c>
      <c r="C550" s="321">
        <v>1</v>
      </c>
      <c r="D550" s="405">
        <v>500000</v>
      </c>
      <c r="E550" s="317">
        <f>C550*D550</f>
        <v>500000</v>
      </c>
      <c r="F550" s="308" t="s">
        <v>42</v>
      </c>
      <c r="G550" s="320" t="s">
        <v>19</v>
      </c>
      <c r="H550" s="308" t="s">
        <v>157</v>
      </c>
      <c r="I550" s="333" t="s">
        <v>38</v>
      </c>
      <c r="J550" s="333" t="s">
        <v>38</v>
      </c>
      <c r="K550" s="333" t="s">
        <v>38</v>
      </c>
      <c r="L550" s="333" t="s">
        <v>38</v>
      </c>
      <c r="M550" s="328">
        <v>500000</v>
      </c>
      <c r="N550" s="328"/>
      <c r="O550" s="328"/>
      <c r="P550" s="328"/>
    </row>
    <row r="551" ht="15.75" spans="1:16">
      <c r="A551" s="115">
        <v>2</v>
      </c>
      <c r="B551" s="321" t="s">
        <v>536</v>
      </c>
      <c r="C551" s="321">
        <v>1</v>
      </c>
      <c r="D551" s="405">
        <v>1000000</v>
      </c>
      <c r="E551" s="317">
        <f>C551*D551</f>
        <v>1000000</v>
      </c>
      <c r="F551" s="308" t="s">
        <v>42</v>
      </c>
      <c r="G551" s="320" t="s">
        <v>19</v>
      </c>
      <c r="H551" s="308" t="s">
        <v>157</v>
      </c>
      <c r="I551" s="333" t="s">
        <v>38</v>
      </c>
      <c r="J551" s="333" t="s">
        <v>38</v>
      </c>
      <c r="K551" s="333" t="s">
        <v>38</v>
      </c>
      <c r="L551" s="333" t="s">
        <v>38</v>
      </c>
      <c r="M551" s="331">
        <v>1000000</v>
      </c>
      <c r="N551" s="331"/>
      <c r="O551" s="331"/>
      <c r="P551" s="332"/>
    </row>
    <row r="552" ht="15.75" spans="1:16">
      <c r="A552" s="115">
        <v>3</v>
      </c>
      <c r="B552" s="321" t="s">
        <v>537</v>
      </c>
      <c r="C552" s="321">
        <v>2</v>
      </c>
      <c r="D552" s="405">
        <v>120000</v>
      </c>
      <c r="E552" s="317">
        <f>C552*D552</f>
        <v>240000</v>
      </c>
      <c r="F552" s="308" t="s">
        <v>42</v>
      </c>
      <c r="G552" s="320" t="s">
        <v>19</v>
      </c>
      <c r="H552" s="308" t="s">
        <v>157</v>
      </c>
      <c r="I552" s="333" t="s">
        <v>38</v>
      </c>
      <c r="J552" s="333" t="s">
        <v>38</v>
      </c>
      <c r="K552" s="333" t="s">
        <v>38</v>
      </c>
      <c r="L552" s="333" t="s">
        <v>38</v>
      </c>
      <c r="M552" s="328">
        <v>120000</v>
      </c>
      <c r="N552" s="328">
        <v>120000</v>
      </c>
      <c r="O552" s="328"/>
      <c r="P552" s="328"/>
    </row>
    <row r="553" ht="15.75" spans="1:16">
      <c r="A553" s="115">
        <v>4</v>
      </c>
      <c r="B553" s="321" t="s">
        <v>538</v>
      </c>
      <c r="C553" s="321">
        <v>1</v>
      </c>
      <c r="D553" s="405">
        <v>1000000</v>
      </c>
      <c r="E553" s="317">
        <f>C553*D553</f>
        <v>1000000</v>
      </c>
      <c r="F553" s="308" t="s">
        <v>42</v>
      </c>
      <c r="G553" s="320" t="s">
        <v>19</v>
      </c>
      <c r="H553" s="308" t="s">
        <v>157</v>
      </c>
      <c r="I553" s="333" t="s">
        <v>38</v>
      </c>
      <c r="J553" s="333" t="s">
        <v>38</v>
      </c>
      <c r="K553" s="333" t="s">
        <v>38</v>
      </c>
      <c r="L553" s="333" t="s">
        <v>38</v>
      </c>
      <c r="M553" s="331"/>
      <c r="N553" s="331">
        <v>1000000</v>
      </c>
      <c r="O553" s="331"/>
      <c r="P553" s="332"/>
    </row>
    <row r="554" ht="15.75" spans="1:16">
      <c r="A554" s="115">
        <v>5</v>
      </c>
      <c r="B554" s="321" t="s">
        <v>539</v>
      </c>
      <c r="C554" s="321">
        <v>10</v>
      </c>
      <c r="D554" s="405">
        <v>10000</v>
      </c>
      <c r="E554" s="317">
        <f>C554*D554</f>
        <v>100000</v>
      </c>
      <c r="F554" s="308" t="s">
        <v>42</v>
      </c>
      <c r="G554" s="320" t="s">
        <v>19</v>
      </c>
      <c r="H554" s="308" t="s">
        <v>157</v>
      </c>
      <c r="I554" s="333" t="s">
        <v>38</v>
      </c>
      <c r="J554" s="333" t="s">
        <v>38</v>
      </c>
      <c r="K554" s="333" t="s">
        <v>38</v>
      </c>
      <c r="L554" s="333" t="s">
        <v>38</v>
      </c>
      <c r="M554" s="328"/>
      <c r="N554" s="328">
        <v>1000000</v>
      </c>
      <c r="O554" s="328"/>
      <c r="P554" s="328"/>
    </row>
    <row r="555" spans="1:16">
      <c r="A555" s="115">
        <v>6</v>
      </c>
      <c r="B555" s="322" t="s">
        <v>540</v>
      </c>
      <c r="C555" s="348">
        <v>2</v>
      </c>
      <c r="D555" s="322">
        <v>100000</v>
      </c>
      <c r="E555" s="348">
        <v>200000</v>
      </c>
      <c r="F555" s="323" t="s">
        <v>43</v>
      </c>
      <c r="G555" s="308" t="s">
        <v>19</v>
      </c>
      <c r="H555" s="308" t="s">
        <v>157</v>
      </c>
      <c r="I555" s="333" t="s">
        <v>38</v>
      </c>
      <c r="J555" s="333" t="s">
        <v>38</v>
      </c>
      <c r="K555" s="333" t="s">
        <v>38</v>
      </c>
      <c r="L555" s="333" t="s">
        <v>38</v>
      </c>
      <c r="M555" s="328">
        <v>100000</v>
      </c>
      <c r="N555" s="328">
        <v>100000</v>
      </c>
      <c r="O555" s="328"/>
      <c r="P555" s="328"/>
    </row>
    <row r="556" spans="1:16">
      <c r="A556" s="115"/>
      <c r="B556" s="322" t="s">
        <v>541</v>
      </c>
      <c r="C556" s="115">
        <v>1</v>
      </c>
      <c r="D556" s="322">
        <v>300000</v>
      </c>
      <c r="E556" s="115">
        <v>300000</v>
      </c>
      <c r="F556" s="323" t="s">
        <v>43</v>
      </c>
      <c r="G556" s="308" t="s">
        <v>19</v>
      </c>
      <c r="H556" s="308" t="s">
        <v>157</v>
      </c>
      <c r="I556" s="333" t="s">
        <v>38</v>
      </c>
      <c r="J556" s="333" t="s">
        <v>38</v>
      </c>
      <c r="K556" s="333" t="s">
        <v>38</v>
      </c>
      <c r="L556" s="333" t="s">
        <v>38</v>
      </c>
      <c r="M556" s="328"/>
      <c r="N556" s="328">
        <v>300000</v>
      </c>
      <c r="O556" s="328"/>
      <c r="P556" s="328"/>
    </row>
    <row r="557" spans="1:16">
      <c r="A557" s="115"/>
      <c r="B557" s="322" t="s">
        <v>542</v>
      </c>
      <c r="C557" s="115"/>
      <c r="D557" s="115"/>
      <c r="E557" s="115"/>
      <c r="F557" s="115"/>
      <c r="G557" s="308" t="s">
        <v>19</v>
      </c>
      <c r="H557" s="308" t="s">
        <v>157</v>
      </c>
      <c r="I557" s="115"/>
      <c r="J557" s="115"/>
      <c r="K557" s="115"/>
      <c r="L557" s="115"/>
      <c r="M557" s="331"/>
      <c r="N557" s="331"/>
      <c r="O557" s="331"/>
      <c r="P557" s="332"/>
    </row>
    <row r="558" spans="1:16">
      <c r="A558" s="306"/>
      <c r="B558" s="306" t="s">
        <v>22</v>
      </c>
      <c r="C558" s="306"/>
      <c r="D558" s="306"/>
      <c r="E558" s="392">
        <f>SUM(E550:E557)</f>
        <v>3340000</v>
      </c>
      <c r="F558" s="115"/>
      <c r="G558" s="115"/>
      <c r="H558" s="115"/>
      <c r="I558" s="115"/>
      <c r="J558" s="115"/>
      <c r="K558" s="115"/>
      <c r="L558" s="115"/>
      <c r="M558" s="115"/>
      <c r="N558" s="115"/>
      <c r="O558" s="115"/>
      <c r="P558" s="115"/>
    </row>
    <row r="559" spans="1:16">
      <c r="A559" s="115"/>
      <c r="B559" s="115"/>
      <c r="C559" s="115"/>
      <c r="D559" s="115"/>
      <c r="E559" s="115"/>
      <c r="F559" s="115"/>
      <c r="G559" s="115"/>
      <c r="H559" s="115"/>
      <c r="I559" s="115"/>
      <c r="J559" s="115"/>
      <c r="K559" s="115"/>
      <c r="L559" s="115"/>
      <c r="M559" s="115"/>
      <c r="N559" s="115"/>
      <c r="O559" s="115"/>
      <c r="P559" s="115"/>
    </row>
    <row r="560" spans="1:16">
      <c r="A560" s="115"/>
      <c r="B560" s="115"/>
      <c r="C560" s="115"/>
      <c r="D560" s="115"/>
      <c r="E560" s="115"/>
      <c r="F560" s="115"/>
      <c r="G560" s="115"/>
      <c r="H560" s="115"/>
      <c r="I560" s="115"/>
      <c r="J560" s="115"/>
      <c r="K560" s="115"/>
      <c r="L560" s="115"/>
      <c r="M560" s="115"/>
      <c r="N560" s="115"/>
      <c r="O560" s="115"/>
      <c r="P560" s="115"/>
    </row>
    <row r="561" spans="1:16">
      <c r="A561" s="115"/>
      <c r="B561" s="115"/>
      <c r="C561" s="115"/>
      <c r="D561" s="115"/>
      <c r="E561" s="115"/>
      <c r="F561" s="115"/>
      <c r="G561" s="115"/>
      <c r="H561" s="115"/>
      <c r="I561" s="115"/>
      <c r="J561" s="115"/>
      <c r="K561" s="115"/>
      <c r="L561" s="115"/>
      <c r="M561" s="115"/>
      <c r="N561" s="115"/>
      <c r="O561" s="115"/>
      <c r="P561" s="115"/>
    </row>
    <row r="562" spans="1:16">
      <c r="A562" s="306" t="s">
        <v>543</v>
      </c>
      <c r="B562" s="115"/>
      <c r="C562" s="115"/>
      <c r="D562" s="115"/>
      <c r="E562" s="115"/>
      <c r="F562" s="115"/>
      <c r="G562" s="115"/>
      <c r="H562" s="115"/>
      <c r="I562" s="115"/>
      <c r="J562" s="115"/>
      <c r="K562" s="115"/>
      <c r="L562" s="115"/>
      <c r="M562" s="115"/>
      <c r="N562" s="115"/>
      <c r="O562" s="115"/>
      <c r="P562" s="115"/>
    </row>
    <row r="563" ht="15.75" spans="1:16">
      <c r="A563" s="115">
        <v>1</v>
      </c>
      <c r="B563" s="348" t="s">
        <v>544</v>
      </c>
      <c r="C563" s="340">
        <v>2</v>
      </c>
      <c r="D563" s="341">
        <v>33000</v>
      </c>
      <c r="E563" s="341">
        <f>C563*D563</f>
        <v>66000</v>
      </c>
      <c r="F563" s="318" t="s">
        <v>104</v>
      </c>
      <c r="G563" s="308" t="s">
        <v>19</v>
      </c>
      <c r="H563" s="308" t="s">
        <v>157</v>
      </c>
      <c r="I563" s="152" t="s">
        <v>21</v>
      </c>
      <c r="J563" s="152" t="s">
        <v>21</v>
      </c>
      <c r="K563" s="152" t="s">
        <v>21</v>
      </c>
      <c r="L563" s="152" t="s">
        <v>21</v>
      </c>
      <c r="M563" s="331">
        <v>33000</v>
      </c>
      <c r="N563" s="331"/>
      <c r="O563" s="331">
        <v>33000</v>
      </c>
      <c r="P563" s="332"/>
    </row>
    <row r="564" ht="15.75" spans="1:16">
      <c r="A564" s="115"/>
      <c r="B564" s="348" t="s">
        <v>545</v>
      </c>
      <c r="C564" s="340">
        <v>2</v>
      </c>
      <c r="D564" s="341">
        <v>2500</v>
      </c>
      <c r="E564" s="341">
        <f>C564*D564</f>
        <v>5000</v>
      </c>
      <c r="F564" s="318" t="s">
        <v>104</v>
      </c>
      <c r="G564" s="308" t="s">
        <v>19</v>
      </c>
      <c r="H564" s="308" t="s">
        <v>157</v>
      </c>
      <c r="I564" s="152" t="s">
        <v>21</v>
      </c>
      <c r="J564" s="152" t="s">
        <v>21</v>
      </c>
      <c r="K564" s="152" t="s">
        <v>21</v>
      </c>
      <c r="L564" s="152" t="s">
        <v>21</v>
      </c>
      <c r="M564" s="328">
        <v>2500</v>
      </c>
      <c r="N564" s="328"/>
      <c r="O564" s="328">
        <v>2500</v>
      </c>
      <c r="P564" s="328"/>
    </row>
    <row r="565" ht="15.75" spans="1:16">
      <c r="A565" s="115"/>
      <c r="B565" s="348" t="s">
        <v>546</v>
      </c>
      <c r="C565" s="340">
        <v>4</v>
      </c>
      <c r="D565" s="341">
        <v>5000</v>
      </c>
      <c r="E565" s="341">
        <f>C565*D565</f>
        <v>20000</v>
      </c>
      <c r="F565" s="318" t="s">
        <v>104</v>
      </c>
      <c r="G565" s="308" t="s">
        <v>19</v>
      </c>
      <c r="H565" s="308" t="s">
        <v>157</v>
      </c>
      <c r="I565" s="152" t="s">
        <v>21</v>
      </c>
      <c r="J565" s="152" t="s">
        <v>21</v>
      </c>
      <c r="K565" s="152" t="s">
        <v>21</v>
      </c>
      <c r="L565" s="152" t="s">
        <v>21</v>
      </c>
      <c r="M565" s="331">
        <v>5000</v>
      </c>
      <c r="N565" s="331">
        <v>5000</v>
      </c>
      <c r="O565" s="331">
        <v>5000</v>
      </c>
      <c r="P565" s="332">
        <v>5000</v>
      </c>
    </row>
    <row r="566" spans="1:16">
      <c r="A566" s="115"/>
      <c r="B566" s="322" t="s">
        <v>547</v>
      </c>
      <c r="C566" s="115">
        <v>50</v>
      </c>
      <c r="D566" s="322">
        <v>600</v>
      </c>
      <c r="E566" s="322">
        <v>30000</v>
      </c>
      <c r="F566" s="323" t="s">
        <v>548</v>
      </c>
      <c r="G566" s="308" t="s">
        <v>19</v>
      </c>
      <c r="H566" s="368" t="s">
        <v>509</v>
      </c>
      <c r="I566" s="333" t="s">
        <v>38</v>
      </c>
      <c r="J566" s="333" t="s">
        <v>38</v>
      </c>
      <c r="K566" s="333" t="s">
        <v>38</v>
      </c>
      <c r="L566" s="333" t="s">
        <v>38</v>
      </c>
      <c r="M566" s="331">
        <v>15000</v>
      </c>
      <c r="N566" s="331"/>
      <c r="O566" s="331">
        <v>15000</v>
      </c>
      <c r="P566" s="332"/>
    </row>
    <row r="567" spans="1:16">
      <c r="A567" s="306"/>
      <c r="B567" s="306" t="s">
        <v>22</v>
      </c>
      <c r="C567" s="306"/>
      <c r="D567" s="306"/>
      <c r="E567" s="392">
        <f>SUM(E563:E566)</f>
        <v>121000</v>
      </c>
      <c r="F567" s="115"/>
      <c r="G567" s="115"/>
      <c r="H567" s="115"/>
      <c r="I567" s="115"/>
      <c r="J567" s="115"/>
      <c r="K567" s="115"/>
      <c r="L567" s="115"/>
      <c r="M567" s="115"/>
      <c r="N567" s="115"/>
      <c r="O567" s="115"/>
      <c r="P567" s="115"/>
    </row>
    <row r="568" spans="1:16">
      <c r="A568" s="115"/>
      <c r="B568" s="115"/>
      <c r="C568" s="115"/>
      <c r="D568" s="115"/>
      <c r="E568" s="115"/>
      <c r="F568" s="115"/>
      <c r="G568" s="115"/>
      <c r="H568" s="115"/>
      <c r="I568" s="115"/>
      <c r="J568" s="115"/>
      <c r="K568" s="115"/>
      <c r="L568" s="115"/>
      <c r="M568" s="115"/>
      <c r="N568" s="115"/>
      <c r="O568" s="115"/>
      <c r="P568" s="115"/>
    </row>
    <row r="569" spans="1:16">
      <c r="A569" s="115"/>
      <c r="B569" s="115"/>
      <c r="C569" s="115"/>
      <c r="D569" s="115"/>
      <c r="E569" s="115"/>
      <c r="F569" s="115"/>
      <c r="G569" s="115"/>
      <c r="H569" s="115"/>
      <c r="I569" s="115"/>
      <c r="J569" s="115"/>
      <c r="K569" s="115"/>
      <c r="L569" s="115"/>
      <c r="M569" s="115"/>
      <c r="N569" s="115"/>
      <c r="O569" s="115"/>
      <c r="P569" s="115"/>
    </row>
    <row r="570" spans="1:16">
      <c r="A570" s="115"/>
      <c r="B570" s="115"/>
      <c r="C570" s="115"/>
      <c r="D570" s="115"/>
      <c r="E570" s="115"/>
      <c r="F570" s="115"/>
      <c r="G570" s="115"/>
      <c r="H570" s="115"/>
      <c r="I570" s="115"/>
      <c r="J570" s="115"/>
      <c r="K570" s="115"/>
      <c r="L570" s="115"/>
      <c r="M570" s="115"/>
      <c r="N570" s="115"/>
      <c r="O570" s="115"/>
      <c r="P570" s="115"/>
    </row>
    <row r="571" spans="1:16">
      <c r="A571" s="306" t="s">
        <v>549</v>
      </c>
      <c r="B571" s="115"/>
      <c r="C571" s="115"/>
      <c r="D571" s="115"/>
      <c r="E571" s="115"/>
      <c r="F571" s="115"/>
      <c r="G571" s="115"/>
      <c r="H571" s="115"/>
      <c r="I571" s="115"/>
      <c r="J571" s="115"/>
      <c r="K571" s="115"/>
      <c r="L571" s="115"/>
      <c r="M571" s="115"/>
      <c r="N571" s="115"/>
      <c r="O571" s="115"/>
      <c r="P571" s="115"/>
    </row>
    <row r="572" spans="1:16">
      <c r="A572" s="115">
        <v>1</v>
      </c>
      <c r="B572" s="115"/>
      <c r="C572" s="115"/>
      <c r="D572" s="115"/>
      <c r="E572" s="115"/>
      <c r="F572" s="115"/>
      <c r="G572" s="115"/>
      <c r="H572" s="115"/>
      <c r="I572" s="115"/>
      <c r="J572" s="115"/>
      <c r="K572" s="115"/>
      <c r="L572" s="115"/>
      <c r="M572" s="115"/>
      <c r="N572" s="115"/>
      <c r="O572" s="115"/>
      <c r="P572" s="115"/>
    </row>
    <row r="573" spans="1:16">
      <c r="A573" s="115">
        <v>2</v>
      </c>
      <c r="B573" s="115"/>
      <c r="C573" s="115"/>
      <c r="D573" s="115"/>
      <c r="E573" s="115"/>
      <c r="F573" s="115"/>
      <c r="G573" s="115"/>
      <c r="H573" s="115"/>
      <c r="I573" s="115"/>
      <c r="J573" s="115"/>
      <c r="K573" s="115"/>
      <c r="L573" s="115"/>
      <c r="M573" s="115"/>
      <c r="N573" s="115"/>
      <c r="O573" s="115"/>
      <c r="P573" s="115"/>
    </row>
    <row r="574" spans="1:16">
      <c r="A574" s="115">
        <v>3</v>
      </c>
      <c r="B574" s="115"/>
      <c r="C574" s="115"/>
      <c r="D574" s="115"/>
      <c r="E574" s="115"/>
      <c r="F574" s="115"/>
      <c r="G574" s="115"/>
      <c r="H574" s="115"/>
      <c r="I574" s="115"/>
      <c r="J574" s="115"/>
      <c r="K574" s="115"/>
      <c r="L574" s="115"/>
      <c r="M574" s="115"/>
      <c r="N574" s="115"/>
      <c r="O574" s="115"/>
      <c r="P574" s="115"/>
    </row>
    <row r="575" spans="1:16">
      <c r="A575" s="306" t="s">
        <v>550</v>
      </c>
      <c r="B575" s="115"/>
      <c r="C575" s="115"/>
      <c r="D575" s="115"/>
      <c r="E575" s="115"/>
      <c r="F575" s="115"/>
      <c r="G575" s="115"/>
      <c r="H575" s="115"/>
      <c r="I575" s="115"/>
      <c r="J575" s="115"/>
      <c r="K575" s="115"/>
      <c r="L575" s="115"/>
      <c r="M575" s="115"/>
      <c r="N575" s="115"/>
      <c r="O575" s="115"/>
      <c r="P575" s="115"/>
    </row>
    <row r="576" spans="1:16">
      <c r="A576" s="115">
        <v>1</v>
      </c>
      <c r="B576" s="115"/>
      <c r="C576" s="115"/>
      <c r="D576" s="115"/>
      <c r="E576" s="115"/>
      <c r="F576" s="115"/>
      <c r="G576" s="115"/>
      <c r="H576" s="115"/>
      <c r="I576" s="115"/>
      <c r="J576" s="115"/>
      <c r="K576" s="115"/>
      <c r="L576" s="115"/>
      <c r="M576" s="115"/>
      <c r="N576" s="115"/>
      <c r="O576" s="115"/>
      <c r="P576" s="115"/>
    </row>
    <row r="577" spans="1:16">
      <c r="A577" s="115">
        <v>2</v>
      </c>
      <c r="B577" s="115"/>
      <c r="C577" s="115"/>
      <c r="D577" s="115"/>
      <c r="E577" s="115"/>
      <c r="F577" s="115"/>
      <c r="G577" s="115"/>
      <c r="H577" s="115"/>
      <c r="I577" s="115"/>
      <c r="J577" s="115"/>
      <c r="K577" s="115"/>
      <c r="L577" s="115"/>
      <c r="M577" s="115"/>
      <c r="N577" s="115"/>
      <c r="O577" s="115"/>
      <c r="P577" s="115"/>
    </row>
    <row r="578" spans="1:16">
      <c r="A578" s="115">
        <v>3</v>
      </c>
      <c r="B578" s="115"/>
      <c r="C578" s="115"/>
      <c r="D578" s="115"/>
      <c r="E578" s="115"/>
      <c r="F578" s="115"/>
      <c r="G578" s="115"/>
      <c r="H578" s="115"/>
      <c r="I578" s="115"/>
      <c r="J578" s="115"/>
      <c r="K578" s="115"/>
      <c r="L578" s="115"/>
      <c r="M578" s="115"/>
      <c r="N578" s="115"/>
      <c r="O578" s="115"/>
      <c r="P578" s="115"/>
    </row>
    <row r="579" spans="1:16">
      <c r="A579" s="306" t="s">
        <v>551</v>
      </c>
      <c r="B579" s="115"/>
      <c r="C579" s="115"/>
      <c r="D579" s="115"/>
      <c r="E579" s="115"/>
      <c r="F579" s="115"/>
      <c r="G579" s="115"/>
      <c r="H579" s="115"/>
      <c r="I579" s="115"/>
      <c r="J579" s="115"/>
      <c r="K579" s="115"/>
      <c r="L579" s="115"/>
      <c r="M579" s="115"/>
      <c r="N579" s="115"/>
      <c r="O579" s="115"/>
      <c r="P579" s="115"/>
    </row>
    <row r="580" spans="1:16">
      <c r="A580" s="115">
        <v>1</v>
      </c>
      <c r="B580" s="115"/>
      <c r="C580" s="115"/>
      <c r="D580" s="115"/>
      <c r="E580" s="115"/>
      <c r="F580" s="115"/>
      <c r="G580" s="115"/>
      <c r="H580" s="115"/>
      <c r="I580" s="115"/>
      <c r="J580" s="115"/>
      <c r="K580" s="115"/>
      <c r="L580" s="115"/>
      <c r="M580" s="115"/>
      <c r="N580" s="115"/>
      <c r="O580" s="115"/>
      <c r="P580" s="115"/>
    </row>
    <row r="581" spans="1:16">
      <c r="A581" s="115">
        <v>2</v>
      </c>
      <c r="B581" s="115"/>
      <c r="C581" s="115"/>
      <c r="D581" s="115"/>
      <c r="E581" s="115"/>
      <c r="F581" s="115"/>
      <c r="G581" s="115"/>
      <c r="H581" s="115"/>
      <c r="I581" s="115"/>
      <c r="J581" s="115"/>
      <c r="K581" s="115"/>
      <c r="L581" s="115"/>
      <c r="M581" s="115"/>
      <c r="N581" s="115"/>
      <c r="O581" s="115"/>
      <c r="P581" s="115"/>
    </row>
    <row r="582" spans="1:16">
      <c r="A582" s="115">
        <v>3</v>
      </c>
      <c r="B582" s="115"/>
      <c r="C582" s="115"/>
      <c r="D582" s="115"/>
      <c r="E582" s="115"/>
      <c r="F582" s="115"/>
      <c r="G582" s="115"/>
      <c r="H582" s="115"/>
      <c r="I582" s="115"/>
      <c r="J582" s="115"/>
      <c r="K582" s="115"/>
      <c r="L582" s="115"/>
      <c r="M582" s="115"/>
      <c r="N582" s="115"/>
      <c r="O582" s="115"/>
      <c r="P582" s="115"/>
    </row>
    <row r="583" spans="1:16">
      <c r="A583" s="306" t="s">
        <v>552</v>
      </c>
      <c r="B583" s="115"/>
      <c r="C583" s="115"/>
      <c r="D583" s="115"/>
      <c r="E583" s="115"/>
      <c r="F583" s="115"/>
      <c r="G583" s="115"/>
      <c r="H583" s="115"/>
      <c r="I583" s="115"/>
      <c r="J583" s="115"/>
      <c r="K583" s="115"/>
      <c r="L583" s="115"/>
      <c r="M583" s="115"/>
      <c r="N583" s="115"/>
      <c r="O583" s="115"/>
      <c r="P583" s="115"/>
    </row>
    <row r="584" spans="1:16">
      <c r="A584" s="115">
        <v>1</v>
      </c>
      <c r="B584" s="115"/>
      <c r="C584" s="115"/>
      <c r="D584" s="115"/>
      <c r="E584" s="115"/>
      <c r="F584" s="115"/>
      <c r="G584" s="115"/>
      <c r="H584" s="115"/>
      <c r="I584" s="115"/>
      <c r="J584" s="115"/>
      <c r="K584" s="115"/>
      <c r="L584" s="115"/>
      <c r="M584" s="115"/>
      <c r="N584" s="115"/>
      <c r="O584" s="115"/>
      <c r="P584" s="115"/>
    </row>
    <row r="585" spans="1:16">
      <c r="A585" s="115">
        <v>2</v>
      </c>
      <c r="B585" s="115"/>
      <c r="C585" s="115"/>
      <c r="D585" s="115"/>
      <c r="E585" s="115"/>
      <c r="F585" s="115"/>
      <c r="G585" s="115"/>
      <c r="H585" s="115"/>
      <c r="I585" s="115"/>
      <c r="J585" s="115"/>
      <c r="K585" s="115"/>
      <c r="L585" s="115"/>
      <c r="M585" s="115"/>
      <c r="N585" s="115"/>
      <c r="O585" s="115"/>
      <c r="P585" s="115"/>
    </row>
    <row r="586" spans="1:16">
      <c r="A586" s="306" t="s">
        <v>553</v>
      </c>
      <c r="B586" s="115"/>
      <c r="C586" s="115"/>
      <c r="D586" s="115"/>
      <c r="E586" s="115"/>
      <c r="F586" s="115"/>
      <c r="G586" s="115"/>
      <c r="H586" s="115"/>
      <c r="I586" s="115"/>
      <c r="J586" s="115"/>
      <c r="K586" s="115"/>
      <c r="L586" s="115"/>
      <c r="M586" s="115"/>
      <c r="N586" s="115"/>
      <c r="O586" s="115"/>
      <c r="P586" s="115"/>
    </row>
    <row r="587" ht="15.75" spans="1:16">
      <c r="A587" s="115">
        <v>1</v>
      </c>
      <c r="B587" s="315" t="s">
        <v>554</v>
      </c>
      <c r="C587" s="315" t="s">
        <v>377</v>
      </c>
      <c r="D587" s="317">
        <v>24000</v>
      </c>
      <c r="E587" s="317">
        <v>48000</v>
      </c>
      <c r="F587" s="318" t="s">
        <v>35</v>
      </c>
      <c r="G587" s="308" t="s">
        <v>19</v>
      </c>
      <c r="H587" s="308" t="s">
        <v>157</v>
      </c>
      <c r="I587" s="152" t="s">
        <v>21</v>
      </c>
      <c r="J587" s="152" t="s">
        <v>21</v>
      </c>
      <c r="K587" s="152" t="s">
        <v>21</v>
      </c>
      <c r="L587" s="152" t="s">
        <v>21</v>
      </c>
      <c r="M587" s="331">
        <v>48000</v>
      </c>
      <c r="N587" s="331"/>
      <c r="O587" s="331"/>
      <c r="P587" s="332"/>
    </row>
    <row r="588" spans="1:16">
      <c r="A588" s="115"/>
      <c r="B588" s="115"/>
      <c r="C588" s="115"/>
      <c r="D588" s="115"/>
      <c r="E588" s="115"/>
      <c r="F588" s="115"/>
      <c r="G588" s="115"/>
      <c r="H588" s="115"/>
      <c r="I588" s="115"/>
      <c r="J588" s="115"/>
      <c r="K588" s="115"/>
      <c r="L588" s="115"/>
      <c r="M588" s="115"/>
      <c r="N588" s="115"/>
      <c r="O588" s="115"/>
      <c r="P588" s="115"/>
    </row>
    <row r="589" spans="1:16">
      <c r="A589" s="306"/>
      <c r="B589" s="306" t="s">
        <v>22</v>
      </c>
      <c r="C589" s="306"/>
      <c r="D589" s="392">
        <f>SUM(D587:D588)</f>
        <v>24000</v>
      </c>
      <c r="E589" s="115"/>
      <c r="F589" s="115"/>
      <c r="G589" s="115"/>
      <c r="H589" s="115"/>
      <c r="I589" s="115"/>
      <c r="J589" s="115"/>
      <c r="K589" s="115"/>
      <c r="L589" s="115"/>
      <c r="M589" s="115"/>
      <c r="N589" s="115"/>
      <c r="O589" s="115"/>
      <c r="P589" s="115"/>
    </row>
    <row r="590" spans="1:16">
      <c r="A590" s="115"/>
      <c r="B590" s="115"/>
      <c r="C590" s="115"/>
      <c r="D590" s="115"/>
      <c r="E590" s="115"/>
      <c r="F590" s="115"/>
      <c r="G590" s="115"/>
      <c r="H590" s="115"/>
      <c r="I590" s="115"/>
      <c r="J590" s="115"/>
      <c r="K590" s="115"/>
      <c r="L590" s="115"/>
      <c r="M590" s="115"/>
      <c r="N590" s="115"/>
      <c r="O590" s="115"/>
      <c r="P590" s="115"/>
    </row>
    <row r="591" spans="1:16">
      <c r="A591" s="115"/>
      <c r="B591" s="115"/>
      <c r="C591" s="115"/>
      <c r="D591" s="115"/>
      <c r="E591" s="115"/>
      <c r="F591" s="115"/>
      <c r="G591" s="115"/>
      <c r="H591" s="115"/>
      <c r="I591" s="115"/>
      <c r="J591" s="115"/>
      <c r="K591" s="115"/>
      <c r="L591" s="115"/>
      <c r="M591" s="115"/>
      <c r="N591" s="115"/>
      <c r="O591" s="115"/>
      <c r="P591" s="115"/>
    </row>
    <row r="592" spans="1:16">
      <c r="A592" s="306" t="s">
        <v>555</v>
      </c>
      <c r="B592" s="115"/>
      <c r="C592" s="115"/>
      <c r="D592" s="115"/>
      <c r="E592" s="115"/>
      <c r="F592" s="115"/>
      <c r="G592" s="115"/>
      <c r="H592" s="115"/>
      <c r="I592" s="115"/>
      <c r="J592" s="115"/>
      <c r="K592" s="115"/>
      <c r="L592" s="115"/>
      <c r="M592" s="115"/>
      <c r="N592" s="115"/>
      <c r="O592" s="115"/>
      <c r="P592" s="115"/>
    </row>
    <row r="593" spans="1:16">
      <c r="A593" s="115">
        <v>1</v>
      </c>
      <c r="B593" s="115"/>
      <c r="C593" s="115"/>
      <c r="D593" s="115"/>
      <c r="E593" s="115"/>
      <c r="F593" s="115"/>
      <c r="G593" s="115"/>
      <c r="H593" s="115"/>
      <c r="I593" s="115"/>
      <c r="J593" s="115"/>
      <c r="K593" s="115"/>
      <c r="L593" s="115"/>
      <c r="M593" s="115"/>
      <c r="N593" s="115"/>
      <c r="O593" s="115"/>
      <c r="P593" s="115"/>
    </row>
    <row r="594" spans="1:16">
      <c r="A594" s="115">
        <v>2</v>
      </c>
      <c r="B594" s="115"/>
      <c r="C594" s="115"/>
      <c r="D594" s="115"/>
      <c r="E594" s="115"/>
      <c r="F594" s="115"/>
      <c r="G594" s="115"/>
      <c r="H594" s="115"/>
      <c r="I594" s="115"/>
      <c r="J594" s="115"/>
      <c r="K594" s="115"/>
      <c r="L594" s="115"/>
      <c r="M594" s="115"/>
      <c r="N594" s="115"/>
      <c r="O594" s="115"/>
      <c r="P594" s="115"/>
    </row>
    <row r="595" spans="1:16">
      <c r="A595" s="115">
        <v>3</v>
      </c>
      <c r="B595" s="115"/>
      <c r="C595" s="115"/>
      <c r="D595" s="115"/>
      <c r="E595" s="115"/>
      <c r="F595" s="115"/>
      <c r="G595" s="115"/>
      <c r="H595" s="115"/>
      <c r="I595" s="115"/>
      <c r="J595" s="115"/>
      <c r="K595" s="115"/>
      <c r="L595" s="115"/>
      <c r="M595" s="115"/>
      <c r="N595" s="115"/>
      <c r="O595" s="115"/>
      <c r="P595" s="115"/>
    </row>
    <row r="596" spans="1:16">
      <c r="A596" s="306" t="s">
        <v>556</v>
      </c>
      <c r="B596" s="115"/>
      <c r="C596" s="115"/>
      <c r="D596" s="115"/>
      <c r="E596" s="115"/>
      <c r="F596" s="115"/>
      <c r="G596" s="115"/>
      <c r="H596" s="115"/>
      <c r="I596" s="115"/>
      <c r="J596" s="115"/>
      <c r="K596" s="115"/>
      <c r="L596" s="115"/>
      <c r="M596" s="115"/>
      <c r="N596" s="115"/>
      <c r="O596" s="115"/>
      <c r="P596" s="115"/>
    </row>
    <row r="597" spans="1:16">
      <c r="A597" s="115">
        <v>1</v>
      </c>
      <c r="B597" s="115"/>
      <c r="C597" s="115"/>
      <c r="D597" s="115"/>
      <c r="E597" s="115"/>
      <c r="F597" s="115"/>
      <c r="G597" s="115"/>
      <c r="H597" s="115"/>
      <c r="I597" s="115"/>
      <c r="J597" s="115"/>
      <c r="K597" s="115"/>
      <c r="L597" s="115"/>
      <c r="M597" s="115"/>
      <c r="N597" s="115"/>
      <c r="O597" s="115"/>
      <c r="P597" s="115"/>
    </row>
    <row r="598" spans="1:16">
      <c r="A598" s="115">
        <v>2</v>
      </c>
      <c r="B598" s="115"/>
      <c r="C598" s="115"/>
      <c r="D598" s="115"/>
      <c r="E598" s="115"/>
      <c r="F598" s="115"/>
      <c r="G598" s="115"/>
      <c r="H598" s="115"/>
      <c r="I598" s="115"/>
      <c r="J598" s="115"/>
      <c r="K598" s="115"/>
      <c r="L598" s="115"/>
      <c r="M598" s="115"/>
      <c r="N598" s="115"/>
      <c r="O598" s="115"/>
      <c r="P598" s="115"/>
    </row>
    <row r="599" spans="1:16">
      <c r="A599" s="115">
        <v>3</v>
      </c>
      <c r="B599" s="115"/>
      <c r="C599" s="115"/>
      <c r="D599" s="115"/>
      <c r="E599" s="115"/>
      <c r="F599" s="115"/>
      <c r="G599" s="115"/>
      <c r="H599" s="115"/>
      <c r="I599" s="115"/>
      <c r="J599" s="115"/>
      <c r="K599" s="115"/>
      <c r="L599" s="115"/>
      <c r="M599" s="115"/>
      <c r="N599" s="115"/>
      <c r="O599" s="115"/>
      <c r="P599" s="115"/>
    </row>
    <row r="600" spans="1:16">
      <c r="A600" s="306" t="s">
        <v>557</v>
      </c>
      <c r="B600" s="115"/>
      <c r="C600" s="115"/>
      <c r="D600" s="115"/>
      <c r="E600" s="115"/>
      <c r="F600" s="115"/>
      <c r="G600" s="115"/>
      <c r="H600" s="115"/>
      <c r="I600" s="115"/>
      <c r="J600" s="115"/>
      <c r="K600" s="115"/>
      <c r="L600" s="115"/>
      <c r="M600" s="115"/>
      <c r="N600" s="115"/>
      <c r="O600" s="115"/>
      <c r="P600" s="115"/>
    </row>
    <row r="601" ht="31.5" spans="1:16">
      <c r="A601" s="115">
        <v>1</v>
      </c>
      <c r="B601" s="377" t="s">
        <v>558</v>
      </c>
      <c r="C601" s="377">
        <v>250</v>
      </c>
      <c r="D601" s="378">
        <v>3250</v>
      </c>
      <c r="E601" s="406">
        <v>812500</v>
      </c>
      <c r="F601" s="320" t="s">
        <v>559</v>
      </c>
      <c r="G601" s="320" t="s">
        <v>19</v>
      </c>
      <c r="H601" s="320" t="s">
        <v>157</v>
      </c>
      <c r="I601" s="333" t="s">
        <v>38</v>
      </c>
      <c r="J601" s="333" t="s">
        <v>38</v>
      </c>
      <c r="K601" s="333" t="s">
        <v>38</v>
      </c>
      <c r="L601" s="333" t="s">
        <v>38</v>
      </c>
      <c r="M601" s="384">
        <v>406250</v>
      </c>
      <c r="N601" s="384">
        <v>406250</v>
      </c>
      <c r="O601" s="384"/>
      <c r="P601" s="384"/>
    </row>
    <row r="602" ht="31.5" spans="1:16">
      <c r="A602" s="115">
        <v>2</v>
      </c>
      <c r="B602" s="377" t="s">
        <v>560</v>
      </c>
      <c r="C602" s="377">
        <v>200</v>
      </c>
      <c r="D602" s="378">
        <v>2600</v>
      </c>
      <c r="E602" s="406">
        <v>520000</v>
      </c>
      <c r="F602" s="320" t="s">
        <v>559</v>
      </c>
      <c r="G602" s="320" t="s">
        <v>19</v>
      </c>
      <c r="H602" s="320" t="s">
        <v>157</v>
      </c>
      <c r="I602" s="333" t="s">
        <v>38</v>
      </c>
      <c r="J602" s="333" t="s">
        <v>38</v>
      </c>
      <c r="K602" s="333" t="s">
        <v>38</v>
      </c>
      <c r="L602" s="333" t="s">
        <v>38</v>
      </c>
      <c r="M602" s="384">
        <v>260000</v>
      </c>
      <c r="N602" s="384">
        <v>260000</v>
      </c>
      <c r="O602" s="384"/>
      <c r="P602" s="384"/>
    </row>
    <row r="603" ht="15.75" spans="1:16">
      <c r="A603" s="115">
        <v>3</v>
      </c>
      <c r="B603" s="377" t="s">
        <v>561</v>
      </c>
      <c r="C603" s="377">
        <v>125</v>
      </c>
      <c r="D603" s="378">
        <v>1600</v>
      </c>
      <c r="E603" s="406">
        <v>200000</v>
      </c>
      <c r="F603" s="320" t="s">
        <v>559</v>
      </c>
      <c r="G603" s="320" t="s">
        <v>19</v>
      </c>
      <c r="H603" s="320" t="s">
        <v>157</v>
      </c>
      <c r="I603" s="333" t="s">
        <v>38</v>
      </c>
      <c r="J603" s="333" t="s">
        <v>38</v>
      </c>
      <c r="K603" s="333" t="s">
        <v>38</v>
      </c>
      <c r="L603" s="333" t="s">
        <v>38</v>
      </c>
      <c r="M603" s="384">
        <v>100000</v>
      </c>
      <c r="N603" s="384">
        <v>100000</v>
      </c>
      <c r="O603" s="384"/>
      <c r="P603" s="384"/>
    </row>
    <row r="604" ht="15.75" spans="1:16">
      <c r="A604" s="115">
        <v>4</v>
      </c>
      <c r="B604" s="377" t="s">
        <v>562</v>
      </c>
      <c r="C604" s="377">
        <v>1</v>
      </c>
      <c r="D604" s="378">
        <v>3700</v>
      </c>
      <c r="E604" s="378">
        <v>3700</v>
      </c>
      <c r="F604" s="320" t="s">
        <v>559</v>
      </c>
      <c r="G604" s="320" t="s">
        <v>19</v>
      </c>
      <c r="H604" s="320" t="s">
        <v>157</v>
      </c>
      <c r="I604" s="333" t="s">
        <v>38</v>
      </c>
      <c r="J604" s="333" t="s">
        <v>38</v>
      </c>
      <c r="K604" s="333" t="s">
        <v>38</v>
      </c>
      <c r="L604" s="333" t="s">
        <v>38</v>
      </c>
      <c r="M604" s="384">
        <v>3700</v>
      </c>
      <c r="N604" s="384"/>
      <c r="O604" s="384"/>
      <c r="P604" s="384"/>
    </row>
    <row r="605" ht="15.75" spans="1:16">
      <c r="A605" s="115">
        <v>5</v>
      </c>
      <c r="B605" s="377" t="s">
        <v>563</v>
      </c>
      <c r="C605" s="377" t="s">
        <v>564</v>
      </c>
      <c r="D605" s="378">
        <v>250</v>
      </c>
      <c r="E605" s="378">
        <v>6250</v>
      </c>
      <c r="F605" s="320" t="s">
        <v>559</v>
      </c>
      <c r="G605" s="320" t="s">
        <v>19</v>
      </c>
      <c r="H605" s="320" t="s">
        <v>157</v>
      </c>
      <c r="I605" s="333" t="s">
        <v>38</v>
      </c>
      <c r="J605" s="333" t="s">
        <v>38</v>
      </c>
      <c r="K605" s="333" t="s">
        <v>38</v>
      </c>
      <c r="L605" s="333" t="s">
        <v>38</v>
      </c>
      <c r="M605" s="384">
        <v>6250</v>
      </c>
      <c r="N605" s="384"/>
      <c r="O605" s="384"/>
      <c r="P605" s="384"/>
    </row>
    <row r="606" ht="15.75" spans="1:16">
      <c r="A606" s="115">
        <v>6</v>
      </c>
      <c r="B606" s="377" t="s">
        <v>565</v>
      </c>
      <c r="C606" s="377" t="s">
        <v>566</v>
      </c>
      <c r="D606" s="378">
        <v>500</v>
      </c>
      <c r="E606" s="378">
        <v>2500</v>
      </c>
      <c r="F606" s="320" t="s">
        <v>559</v>
      </c>
      <c r="G606" s="320" t="s">
        <v>19</v>
      </c>
      <c r="H606" s="320" t="s">
        <v>157</v>
      </c>
      <c r="I606" s="333" t="s">
        <v>38</v>
      </c>
      <c r="J606" s="333" t="s">
        <v>38</v>
      </c>
      <c r="K606" s="333" t="s">
        <v>38</v>
      </c>
      <c r="L606" s="333" t="s">
        <v>38</v>
      </c>
      <c r="M606" s="384">
        <v>2500</v>
      </c>
      <c r="N606" s="384"/>
      <c r="O606" s="384"/>
      <c r="P606" s="384"/>
    </row>
    <row r="607" ht="15.75" spans="1:16">
      <c r="A607" s="115">
        <v>7</v>
      </c>
      <c r="B607" s="377" t="s">
        <v>567</v>
      </c>
      <c r="C607" s="377" t="s">
        <v>568</v>
      </c>
      <c r="D607" s="378">
        <v>1500</v>
      </c>
      <c r="E607" s="378">
        <v>75000</v>
      </c>
      <c r="F607" s="320" t="s">
        <v>559</v>
      </c>
      <c r="G607" s="320" t="s">
        <v>19</v>
      </c>
      <c r="H607" s="320" t="s">
        <v>157</v>
      </c>
      <c r="I607" s="333" t="s">
        <v>38</v>
      </c>
      <c r="J607" s="333" t="s">
        <v>38</v>
      </c>
      <c r="K607" s="333" t="s">
        <v>38</v>
      </c>
      <c r="L607" s="333" t="s">
        <v>38</v>
      </c>
      <c r="M607" s="384"/>
      <c r="N607" s="384">
        <v>37500</v>
      </c>
      <c r="O607" s="384">
        <v>37500</v>
      </c>
      <c r="P607" s="384"/>
    </row>
    <row r="608" ht="15.75" spans="1:16">
      <c r="A608" s="115">
        <v>8</v>
      </c>
      <c r="B608" s="377" t="s">
        <v>569</v>
      </c>
      <c r="C608" s="377" t="s">
        <v>570</v>
      </c>
      <c r="D608" s="378">
        <v>1500</v>
      </c>
      <c r="E608" s="378">
        <v>37500</v>
      </c>
      <c r="F608" s="320" t="s">
        <v>559</v>
      </c>
      <c r="G608" s="320" t="s">
        <v>19</v>
      </c>
      <c r="H608" s="320" t="s">
        <v>157</v>
      </c>
      <c r="I608" s="333" t="s">
        <v>38</v>
      </c>
      <c r="J608" s="333" t="s">
        <v>38</v>
      </c>
      <c r="K608" s="333" t="s">
        <v>38</v>
      </c>
      <c r="L608" s="333" t="s">
        <v>38</v>
      </c>
      <c r="M608" s="384">
        <v>18750</v>
      </c>
      <c r="N608" s="384">
        <v>18750</v>
      </c>
      <c r="O608" s="384"/>
      <c r="P608" s="384"/>
    </row>
    <row r="609" ht="15.75" spans="1:16">
      <c r="A609" s="115">
        <v>9</v>
      </c>
      <c r="B609" s="377" t="s">
        <v>571</v>
      </c>
      <c r="C609" s="377" t="s">
        <v>572</v>
      </c>
      <c r="D609" s="378">
        <v>4600</v>
      </c>
      <c r="E609" s="378">
        <v>46000</v>
      </c>
      <c r="F609" s="320" t="s">
        <v>559</v>
      </c>
      <c r="G609" s="320" t="s">
        <v>19</v>
      </c>
      <c r="H609" s="320" t="s">
        <v>157</v>
      </c>
      <c r="I609" s="333" t="s">
        <v>38</v>
      </c>
      <c r="J609" s="333" t="s">
        <v>38</v>
      </c>
      <c r="K609" s="333" t="s">
        <v>38</v>
      </c>
      <c r="L609" s="333" t="s">
        <v>38</v>
      </c>
      <c r="M609" s="384">
        <v>23000</v>
      </c>
      <c r="N609" s="384">
        <v>23000</v>
      </c>
      <c r="O609" s="384"/>
      <c r="P609" s="384"/>
    </row>
    <row r="610" ht="15.75" spans="1:16">
      <c r="A610" s="115">
        <v>10</v>
      </c>
      <c r="B610" s="377" t="s">
        <v>573</v>
      </c>
      <c r="C610" s="377" t="s">
        <v>574</v>
      </c>
      <c r="D610" s="378">
        <v>30000</v>
      </c>
      <c r="E610" s="406">
        <v>240000</v>
      </c>
      <c r="F610" s="320" t="s">
        <v>559</v>
      </c>
      <c r="G610" s="320" t="s">
        <v>19</v>
      </c>
      <c r="H610" s="320" t="s">
        <v>157</v>
      </c>
      <c r="I610" s="333" t="s">
        <v>38</v>
      </c>
      <c r="J610" s="333" t="s">
        <v>38</v>
      </c>
      <c r="K610" s="333" t="s">
        <v>38</v>
      </c>
      <c r="L610" s="333" t="s">
        <v>38</v>
      </c>
      <c r="M610" s="384"/>
      <c r="N610" s="384">
        <v>120000</v>
      </c>
      <c r="O610" s="384"/>
      <c r="P610" s="384">
        <v>120000</v>
      </c>
    </row>
    <row r="611" ht="15.75" spans="1:16">
      <c r="A611" s="115">
        <v>11</v>
      </c>
      <c r="B611" s="377" t="s">
        <v>575</v>
      </c>
      <c r="C611" s="377">
        <v>14</v>
      </c>
      <c r="D611" s="378">
        <v>3500</v>
      </c>
      <c r="E611" s="406">
        <v>49000</v>
      </c>
      <c r="F611" s="320" t="s">
        <v>559</v>
      </c>
      <c r="G611" s="320" t="s">
        <v>19</v>
      </c>
      <c r="H611" s="320" t="s">
        <v>157</v>
      </c>
      <c r="I611" s="333" t="s">
        <v>38</v>
      </c>
      <c r="J611" s="333" t="s">
        <v>38</v>
      </c>
      <c r="K611" s="333" t="s">
        <v>38</v>
      </c>
      <c r="L611" s="333" t="s">
        <v>38</v>
      </c>
      <c r="M611" s="384"/>
      <c r="N611" s="384">
        <v>24500</v>
      </c>
      <c r="O611" s="384"/>
      <c r="P611" s="384">
        <v>24500</v>
      </c>
    </row>
    <row r="612" ht="15.75" spans="1:16">
      <c r="A612" s="115">
        <v>12</v>
      </c>
      <c r="B612" s="377" t="s">
        <v>576</v>
      </c>
      <c r="C612" s="377" t="s">
        <v>572</v>
      </c>
      <c r="D612" s="378">
        <v>3900</v>
      </c>
      <c r="E612" s="378">
        <v>39000</v>
      </c>
      <c r="F612" s="320" t="s">
        <v>559</v>
      </c>
      <c r="G612" s="320" t="s">
        <v>19</v>
      </c>
      <c r="H612" s="320" t="s">
        <v>157</v>
      </c>
      <c r="I612" s="333" t="s">
        <v>38</v>
      </c>
      <c r="J612" s="333" t="s">
        <v>38</v>
      </c>
      <c r="K612" s="333" t="s">
        <v>38</v>
      </c>
      <c r="L612" s="333" t="s">
        <v>38</v>
      </c>
      <c r="M612" s="384"/>
      <c r="N612" s="384"/>
      <c r="O612" s="384">
        <v>19500</v>
      </c>
      <c r="P612" s="384">
        <v>19500</v>
      </c>
    </row>
    <row r="613" ht="15.75" spans="1:16">
      <c r="A613" s="115">
        <v>13</v>
      </c>
      <c r="B613" s="377" t="s">
        <v>577</v>
      </c>
      <c r="C613" s="377" t="s">
        <v>572</v>
      </c>
      <c r="D613" s="378">
        <v>3900</v>
      </c>
      <c r="E613" s="378">
        <v>39000</v>
      </c>
      <c r="F613" s="320" t="s">
        <v>559</v>
      </c>
      <c r="G613" s="320" t="s">
        <v>19</v>
      </c>
      <c r="H613" s="320" t="s">
        <v>157</v>
      </c>
      <c r="I613" s="333" t="s">
        <v>38</v>
      </c>
      <c r="J613" s="333" t="s">
        <v>38</v>
      </c>
      <c r="K613" s="333" t="s">
        <v>38</v>
      </c>
      <c r="L613" s="333" t="s">
        <v>38</v>
      </c>
      <c r="M613" s="384"/>
      <c r="N613" s="384"/>
      <c r="O613" s="384">
        <v>19500</v>
      </c>
      <c r="P613" s="384">
        <v>19500</v>
      </c>
    </row>
    <row r="614" ht="15.75" spans="1:16">
      <c r="A614" s="115">
        <v>14</v>
      </c>
      <c r="B614" s="377" t="s">
        <v>578</v>
      </c>
      <c r="C614" s="377" t="s">
        <v>574</v>
      </c>
      <c r="D614" s="378">
        <v>4600</v>
      </c>
      <c r="E614" s="378">
        <v>36800</v>
      </c>
      <c r="F614" s="320" t="s">
        <v>559</v>
      </c>
      <c r="G614" s="320" t="s">
        <v>19</v>
      </c>
      <c r="H614" s="320" t="s">
        <v>157</v>
      </c>
      <c r="I614" s="333" t="s">
        <v>38</v>
      </c>
      <c r="J614" s="333" t="s">
        <v>38</v>
      </c>
      <c r="K614" s="333" t="s">
        <v>38</v>
      </c>
      <c r="L614" s="333" t="s">
        <v>38</v>
      </c>
      <c r="M614" s="384"/>
      <c r="N614" s="384"/>
      <c r="O614" s="384">
        <v>18400</v>
      </c>
      <c r="P614" s="384">
        <v>18400</v>
      </c>
    </row>
    <row r="615" ht="15.75" spans="1:16">
      <c r="A615" s="115">
        <v>15</v>
      </c>
      <c r="B615" s="377" t="s">
        <v>579</v>
      </c>
      <c r="C615" s="377" t="s">
        <v>572</v>
      </c>
      <c r="D615" s="378">
        <v>900</v>
      </c>
      <c r="E615" s="378">
        <v>9000</v>
      </c>
      <c r="F615" s="320" t="s">
        <v>559</v>
      </c>
      <c r="G615" s="320" t="s">
        <v>19</v>
      </c>
      <c r="H615" s="320" t="s">
        <v>157</v>
      </c>
      <c r="I615" s="333" t="s">
        <v>38</v>
      </c>
      <c r="J615" s="333" t="s">
        <v>38</v>
      </c>
      <c r="K615" s="333" t="s">
        <v>38</v>
      </c>
      <c r="L615" s="333" t="s">
        <v>38</v>
      </c>
      <c r="M615" s="384"/>
      <c r="N615" s="384"/>
      <c r="O615" s="384">
        <v>4500</v>
      </c>
      <c r="P615" s="384">
        <v>4500</v>
      </c>
    </row>
    <row r="616" ht="15.75" spans="1:16">
      <c r="A616" s="115">
        <v>16</v>
      </c>
      <c r="B616" s="377" t="s">
        <v>580</v>
      </c>
      <c r="C616" s="377" t="s">
        <v>278</v>
      </c>
      <c r="D616" s="378">
        <v>700</v>
      </c>
      <c r="E616" s="378">
        <v>8400</v>
      </c>
      <c r="F616" s="320" t="s">
        <v>559</v>
      </c>
      <c r="G616" s="320" t="s">
        <v>19</v>
      </c>
      <c r="H616" s="320" t="s">
        <v>157</v>
      </c>
      <c r="I616" s="333" t="s">
        <v>38</v>
      </c>
      <c r="J616" s="333" t="s">
        <v>38</v>
      </c>
      <c r="K616" s="333" t="s">
        <v>38</v>
      </c>
      <c r="L616" s="333" t="s">
        <v>38</v>
      </c>
      <c r="M616" s="384"/>
      <c r="N616" s="384"/>
      <c r="O616" s="384">
        <v>4200</v>
      </c>
      <c r="P616" s="384">
        <v>4200</v>
      </c>
    </row>
    <row r="617" ht="15.75" spans="1:16">
      <c r="A617" s="115">
        <v>17</v>
      </c>
      <c r="B617" s="377" t="s">
        <v>581</v>
      </c>
      <c r="C617" s="377" t="s">
        <v>582</v>
      </c>
      <c r="D617" s="377">
        <v>2500</v>
      </c>
      <c r="E617" s="378">
        <v>60000</v>
      </c>
      <c r="F617" s="320" t="s">
        <v>559</v>
      </c>
      <c r="G617" s="320" t="s">
        <v>19</v>
      </c>
      <c r="H617" s="320" t="s">
        <v>157</v>
      </c>
      <c r="I617" s="333" t="s">
        <v>38</v>
      </c>
      <c r="J617" s="333" t="s">
        <v>38</v>
      </c>
      <c r="K617" s="333" t="s">
        <v>38</v>
      </c>
      <c r="L617" s="333" t="s">
        <v>38</v>
      </c>
      <c r="M617" s="384">
        <v>30000</v>
      </c>
      <c r="N617" s="384">
        <v>30000</v>
      </c>
      <c r="O617" s="384"/>
      <c r="P617" s="384"/>
    </row>
    <row r="618" ht="15.75" spans="1:16">
      <c r="A618" s="115">
        <v>18</v>
      </c>
      <c r="B618" s="377" t="s">
        <v>583</v>
      </c>
      <c r="C618" s="377" t="s">
        <v>584</v>
      </c>
      <c r="D618" s="377">
        <v>2500</v>
      </c>
      <c r="E618" s="378">
        <v>60000</v>
      </c>
      <c r="F618" s="320" t="s">
        <v>559</v>
      </c>
      <c r="G618" s="320" t="s">
        <v>19</v>
      </c>
      <c r="H618" s="320" t="s">
        <v>157</v>
      </c>
      <c r="I618" s="333" t="s">
        <v>38</v>
      </c>
      <c r="J618" s="333" t="s">
        <v>38</v>
      </c>
      <c r="K618" s="333" t="s">
        <v>38</v>
      </c>
      <c r="L618" s="333" t="s">
        <v>38</v>
      </c>
      <c r="M618" s="384">
        <v>30000</v>
      </c>
      <c r="N618" s="384">
        <v>30000</v>
      </c>
      <c r="O618" s="384"/>
      <c r="P618" s="384"/>
    </row>
    <row r="619" ht="15.75" spans="1:16">
      <c r="A619" s="115">
        <v>19</v>
      </c>
      <c r="B619" s="377" t="s">
        <v>585</v>
      </c>
      <c r="C619" s="377" t="s">
        <v>586</v>
      </c>
      <c r="D619" s="377">
        <v>800</v>
      </c>
      <c r="E619" s="406">
        <v>64000</v>
      </c>
      <c r="F619" s="320" t="s">
        <v>559</v>
      </c>
      <c r="G619" s="320" t="s">
        <v>19</v>
      </c>
      <c r="H619" s="320" t="s">
        <v>157</v>
      </c>
      <c r="I619" s="333" t="s">
        <v>38</v>
      </c>
      <c r="J619" s="333" t="s">
        <v>38</v>
      </c>
      <c r="K619" s="333" t="s">
        <v>38</v>
      </c>
      <c r="L619" s="333" t="s">
        <v>38</v>
      </c>
      <c r="M619" s="384">
        <v>16000</v>
      </c>
      <c r="N619" s="384">
        <v>16000</v>
      </c>
      <c r="O619" s="384">
        <v>16000</v>
      </c>
      <c r="P619" s="384">
        <v>16000</v>
      </c>
    </row>
    <row r="620" ht="15.75" spans="1:16">
      <c r="A620" s="115">
        <v>20</v>
      </c>
      <c r="B620" s="377" t="s">
        <v>587</v>
      </c>
      <c r="C620" s="377" t="s">
        <v>588</v>
      </c>
      <c r="D620" s="377">
        <v>300</v>
      </c>
      <c r="E620" s="406">
        <v>7200</v>
      </c>
      <c r="F620" s="320" t="s">
        <v>559</v>
      </c>
      <c r="G620" s="320" t="s">
        <v>19</v>
      </c>
      <c r="H620" s="320" t="s">
        <v>157</v>
      </c>
      <c r="I620" s="333" t="s">
        <v>38</v>
      </c>
      <c r="J620" s="333" t="s">
        <v>38</v>
      </c>
      <c r="K620" s="333" t="s">
        <v>38</v>
      </c>
      <c r="L620" s="333" t="s">
        <v>38</v>
      </c>
      <c r="M620" s="384">
        <v>3600</v>
      </c>
      <c r="N620" s="384"/>
      <c r="O620" s="384">
        <v>3600</v>
      </c>
      <c r="P620" s="384"/>
    </row>
    <row r="621" ht="15.75" spans="1:16">
      <c r="A621" s="115">
        <v>21</v>
      </c>
      <c r="B621" s="377" t="s">
        <v>589</v>
      </c>
      <c r="C621" s="377" t="s">
        <v>588</v>
      </c>
      <c r="D621" s="377">
        <v>300</v>
      </c>
      <c r="E621" s="378">
        <v>7200</v>
      </c>
      <c r="F621" s="320" t="s">
        <v>559</v>
      </c>
      <c r="G621" s="320" t="s">
        <v>19</v>
      </c>
      <c r="H621" s="320" t="s">
        <v>157</v>
      </c>
      <c r="I621" s="333" t="s">
        <v>38</v>
      </c>
      <c r="J621" s="333" t="s">
        <v>38</v>
      </c>
      <c r="K621" s="333" t="s">
        <v>38</v>
      </c>
      <c r="L621" s="333" t="s">
        <v>38</v>
      </c>
      <c r="M621" s="384">
        <v>3600</v>
      </c>
      <c r="N621" s="384"/>
      <c r="O621" s="384">
        <v>3600</v>
      </c>
      <c r="P621" s="384"/>
    </row>
    <row r="622" ht="15.75" spans="1:16">
      <c r="A622" s="115">
        <v>22</v>
      </c>
      <c r="B622" s="377" t="s">
        <v>590</v>
      </c>
      <c r="C622" s="377" t="s">
        <v>588</v>
      </c>
      <c r="D622" s="377">
        <v>300</v>
      </c>
      <c r="E622" s="378">
        <v>7200</v>
      </c>
      <c r="F622" s="320" t="s">
        <v>559</v>
      </c>
      <c r="G622" s="320" t="s">
        <v>19</v>
      </c>
      <c r="H622" s="320" t="s">
        <v>157</v>
      </c>
      <c r="I622" s="333" t="s">
        <v>38</v>
      </c>
      <c r="J622" s="333" t="s">
        <v>38</v>
      </c>
      <c r="K622" s="333" t="s">
        <v>38</v>
      </c>
      <c r="L622" s="333" t="s">
        <v>38</v>
      </c>
      <c r="M622" s="384">
        <v>3600</v>
      </c>
      <c r="N622" s="384"/>
      <c r="O622" s="384">
        <v>3600</v>
      </c>
      <c r="P622" s="384"/>
    </row>
    <row r="623" ht="15.75" spans="1:16">
      <c r="A623" s="115">
        <v>23</v>
      </c>
      <c r="B623" s="377" t="s">
        <v>591</v>
      </c>
      <c r="C623" s="377" t="s">
        <v>592</v>
      </c>
      <c r="D623" s="377">
        <v>350</v>
      </c>
      <c r="E623" s="378">
        <v>8400</v>
      </c>
      <c r="F623" s="320" t="s">
        <v>559</v>
      </c>
      <c r="G623" s="320" t="s">
        <v>19</v>
      </c>
      <c r="H623" s="320" t="s">
        <v>157</v>
      </c>
      <c r="I623" s="333" t="s">
        <v>38</v>
      </c>
      <c r="J623" s="333" t="s">
        <v>38</v>
      </c>
      <c r="K623" s="333" t="s">
        <v>38</v>
      </c>
      <c r="L623" s="333" t="s">
        <v>38</v>
      </c>
      <c r="M623" s="384">
        <v>4200</v>
      </c>
      <c r="N623" s="384"/>
      <c r="O623" s="384">
        <v>4200</v>
      </c>
      <c r="P623" s="384"/>
    </row>
    <row r="624" ht="15.75" spans="1:16">
      <c r="A624" s="115">
        <v>24</v>
      </c>
      <c r="B624" s="377" t="s">
        <v>593</v>
      </c>
      <c r="C624" s="377" t="s">
        <v>588</v>
      </c>
      <c r="D624" s="378">
        <v>450</v>
      </c>
      <c r="E624" s="378">
        <v>10800</v>
      </c>
      <c r="F624" s="320" t="s">
        <v>559</v>
      </c>
      <c r="G624" s="320" t="s">
        <v>19</v>
      </c>
      <c r="H624" s="320" t="s">
        <v>157</v>
      </c>
      <c r="I624" s="333" t="s">
        <v>38</v>
      </c>
      <c r="J624" s="333" t="s">
        <v>38</v>
      </c>
      <c r="K624" s="333" t="s">
        <v>38</v>
      </c>
      <c r="L624" s="333" t="s">
        <v>38</v>
      </c>
      <c r="M624" s="384">
        <v>5400</v>
      </c>
      <c r="N624" s="384">
        <v>5400</v>
      </c>
      <c r="O624" s="384"/>
      <c r="P624" s="384"/>
    </row>
    <row r="625" ht="15.75" spans="1:16">
      <c r="A625" s="115">
        <v>25</v>
      </c>
      <c r="B625" s="377" t="s">
        <v>594</v>
      </c>
      <c r="C625" s="377" t="s">
        <v>588</v>
      </c>
      <c r="D625" s="378">
        <v>420</v>
      </c>
      <c r="E625" s="378">
        <v>10080</v>
      </c>
      <c r="F625" s="320" t="s">
        <v>559</v>
      </c>
      <c r="G625" s="320" t="s">
        <v>19</v>
      </c>
      <c r="H625" s="320" t="s">
        <v>157</v>
      </c>
      <c r="I625" s="333" t="s">
        <v>38</v>
      </c>
      <c r="J625" s="333" t="s">
        <v>38</v>
      </c>
      <c r="K625" s="333" t="s">
        <v>38</v>
      </c>
      <c r="L625" s="333" t="s">
        <v>38</v>
      </c>
      <c r="M625" s="384">
        <v>5040</v>
      </c>
      <c r="N625" s="384">
        <v>5040</v>
      </c>
      <c r="O625" s="384"/>
      <c r="P625" s="384"/>
    </row>
    <row r="626" ht="15.75" spans="1:16">
      <c r="A626" s="115">
        <v>26</v>
      </c>
      <c r="B626" s="377" t="s">
        <v>595</v>
      </c>
      <c r="C626" s="377" t="s">
        <v>588</v>
      </c>
      <c r="D626" s="378">
        <v>420</v>
      </c>
      <c r="E626" s="406">
        <v>10080</v>
      </c>
      <c r="F626" s="320" t="s">
        <v>559</v>
      </c>
      <c r="G626" s="320" t="s">
        <v>19</v>
      </c>
      <c r="H626" s="320" t="s">
        <v>157</v>
      </c>
      <c r="I626" s="333" t="s">
        <v>38</v>
      </c>
      <c r="J626" s="333" t="s">
        <v>38</v>
      </c>
      <c r="K626" s="333" t="s">
        <v>38</v>
      </c>
      <c r="L626" s="333" t="s">
        <v>38</v>
      </c>
      <c r="M626" s="384">
        <v>5040</v>
      </c>
      <c r="N626" s="384">
        <v>5040</v>
      </c>
      <c r="O626" s="384"/>
      <c r="P626" s="384"/>
    </row>
    <row r="627" ht="15.75" spans="1:16">
      <c r="A627" s="115">
        <v>27</v>
      </c>
      <c r="B627" s="377" t="s">
        <v>596</v>
      </c>
      <c r="C627" s="377" t="s">
        <v>597</v>
      </c>
      <c r="D627" s="378">
        <v>1600</v>
      </c>
      <c r="E627" s="406">
        <v>38400</v>
      </c>
      <c r="F627" s="320" t="s">
        <v>559</v>
      </c>
      <c r="G627" s="320" t="s">
        <v>19</v>
      </c>
      <c r="H627" s="320" t="s">
        <v>157</v>
      </c>
      <c r="I627" s="333" t="s">
        <v>38</v>
      </c>
      <c r="J627" s="333" t="s">
        <v>38</v>
      </c>
      <c r="K627" s="333" t="s">
        <v>38</v>
      </c>
      <c r="L627" s="333" t="s">
        <v>38</v>
      </c>
      <c r="M627" s="384">
        <v>19200</v>
      </c>
      <c r="N627" s="384">
        <v>19200</v>
      </c>
      <c r="O627" s="384"/>
      <c r="P627" s="384"/>
    </row>
    <row r="628" ht="15.75" spans="1:16">
      <c r="A628" s="115">
        <v>28</v>
      </c>
      <c r="B628" s="377" t="s">
        <v>598</v>
      </c>
      <c r="C628" s="377" t="s">
        <v>599</v>
      </c>
      <c r="D628" s="378">
        <v>1800</v>
      </c>
      <c r="E628" s="406">
        <v>43200</v>
      </c>
      <c r="F628" s="320" t="s">
        <v>559</v>
      </c>
      <c r="G628" s="320" t="s">
        <v>19</v>
      </c>
      <c r="H628" s="320" t="s">
        <v>157</v>
      </c>
      <c r="I628" s="333" t="s">
        <v>38</v>
      </c>
      <c r="J628" s="333" t="s">
        <v>38</v>
      </c>
      <c r="K628" s="333" t="s">
        <v>38</v>
      </c>
      <c r="L628" s="333" t="s">
        <v>38</v>
      </c>
      <c r="M628" s="384">
        <v>21600</v>
      </c>
      <c r="N628" s="384">
        <v>21600</v>
      </c>
      <c r="O628" s="384"/>
      <c r="P628" s="384"/>
    </row>
    <row r="629" ht="15.75" spans="1:16">
      <c r="A629" s="115">
        <v>29</v>
      </c>
      <c r="B629" s="377" t="s">
        <v>600</v>
      </c>
      <c r="C629" s="377" t="s">
        <v>601</v>
      </c>
      <c r="D629" s="378">
        <v>2200</v>
      </c>
      <c r="E629" s="406">
        <v>44000</v>
      </c>
      <c r="F629" s="320" t="s">
        <v>559</v>
      </c>
      <c r="G629" s="320" t="s">
        <v>19</v>
      </c>
      <c r="H629" s="320" t="s">
        <v>157</v>
      </c>
      <c r="I629" s="333" t="s">
        <v>38</v>
      </c>
      <c r="J629" s="333" t="s">
        <v>38</v>
      </c>
      <c r="K629" s="333" t="s">
        <v>38</v>
      </c>
      <c r="L629" s="333" t="s">
        <v>38</v>
      </c>
      <c r="M629" s="384">
        <v>22000</v>
      </c>
      <c r="N629" s="384"/>
      <c r="O629" s="384">
        <v>22000</v>
      </c>
      <c r="P629" s="384"/>
    </row>
    <row r="630" ht="15.75" spans="1:16">
      <c r="A630" s="115">
        <v>30</v>
      </c>
      <c r="B630" s="377" t="s">
        <v>602</v>
      </c>
      <c r="C630" s="377" t="s">
        <v>599</v>
      </c>
      <c r="D630" s="378">
        <v>350</v>
      </c>
      <c r="E630" s="406">
        <v>8400</v>
      </c>
      <c r="F630" s="320" t="s">
        <v>559</v>
      </c>
      <c r="G630" s="320" t="s">
        <v>19</v>
      </c>
      <c r="H630" s="320" t="s">
        <v>157</v>
      </c>
      <c r="I630" s="333" t="s">
        <v>38</v>
      </c>
      <c r="J630" s="333" t="s">
        <v>38</v>
      </c>
      <c r="K630" s="333" t="s">
        <v>38</v>
      </c>
      <c r="L630" s="333" t="s">
        <v>38</v>
      </c>
      <c r="M630" s="384">
        <v>4200</v>
      </c>
      <c r="N630" s="384"/>
      <c r="O630" s="384">
        <v>4200</v>
      </c>
      <c r="P630" s="384"/>
    </row>
    <row r="631" ht="15.75" spans="1:16">
      <c r="A631" s="115">
        <v>31</v>
      </c>
      <c r="B631" s="377" t="s">
        <v>603</v>
      </c>
      <c r="C631" s="377" t="s">
        <v>604</v>
      </c>
      <c r="D631" s="378">
        <v>320</v>
      </c>
      <c r="E631" s="378">
        <v>3200</v>
      </c>
      <c r="F631" s="320" t="s">
        <v>559</v>
      </c>
      <c r="G631" s="320" t="s">
        <v>19</v>
      </c>
      <c r="H631" s="320" t="s">
        <v>157</v>
      </c>
      <c r="I631" s="333" t="s">
        <v>38</v>
      </c>
      <c r="J631" s="333" t="s">
        <v>38</v>
      </c>
      <c r="K631" s="333" t="s">
        <v>38</v>
      </c>
      <c r="L631" s="333" t="s">
        <v>38</v>
      </c>
      <c r="M631" s="384">
        <v>3200</v>
      </c>
      <c r="N631" s="384"/>
      <c r="O631" s="384"/>
      <c r="P631" s="384"/>
    </row>
    <row r="632" ht="15.75" spans="1:16">
      <c r="A632" s="115">
        <v>32</v>
      </c>
      <c r="B632" s="377" t="s">
        <v>605</v>
      </c>
      <c r="C632" s="377" t="s">
        <v>604</v>
      </c>
      <c r="D632" s="378">
        <v>310</v>
      </c>
      <c r="E632" s="378">
        <v>3100</v>
      </c>
      <c r="F632" s="320" t="s">
        <v>559</v>
      </c>
      <c r="G632" s="320" t="s">
        <v>19</v>
      </c>
      <c r="H632" s="320" t="s">
        <v>157</v>
      </c>
      <c r="I632" s="333" t="s">
        <v>38</v>
      </c>
      <c r="J632" s="333" t="s">
        <v>38</v>
      </c>
      <c r="K632" s="333" t="s">
        <v>38</v>
      </c>
      <c r="L632" s="333" t="s">
        <v>38</v>
      </c>
      <c r="M632" s="384">
        <v>3100</v>
      </c>
      <c r="N632" s="384"/>
      <c r="O632" s="384"/>
      <c r="P632" s="384"/>
    </row>
    <row r="633" ht="15.75" spans="1:16">
      <c r="A633" s="115">
        <v>33</v>
      </c>
      <c r="B633" s="377" t="s">
        <v>606</v>
      </c>
      <c r="C633" s="377" t="s">
        <v>607</v>
      </c>
      <c r="D633" s="378">
        <v>300</v>
      </c>
      <c r="E633" s="378">
        <v>1500</v>
      </c>
      <c r="F633" s="320" t="s">
        <v>559</v>
      </c>
      <c r="G633" s="320" t="s">
        <v>19</v>
      </c>
      <c r="H633" s="320" t="s">
        <v>157</v>
      </c>
      <c r="I633" s="333" t="s">
        <v>38</v>
      </c>
      <c r="J633" s="333" t="s">
        <v>38</v>
      </c>
      <c r="K633" s="333" t="s">
        <v>38</v>
      </c>
      <c r="L633" s="333" t="s">
        <v>38</v>
      </c>
      <c r="M633" s="384">
        <v>1500</v>
      </c>
      <c r="N633" s="384"/>
      <c r="O633" s="384"/>
      <c r="P633" s="384"/>
    </row>
    <row r="634" ht="15.75" spans="1:16">
      <c r="A634" s="115">
        <v>34</v>
      </c>
      <c r="B634" s="377" t="s">
        <v>608</v>
      </c>
      <c r="C634" s="377" t="s">
        <v>280</v>
      </c>
      <c r="D634" s="378">
        <v>280</v>
      </c>
      <c r="E634" s="378">
        <v>2800</v>
      </c>
      <c r="F634" s="320" t="s">
        <v>559</v>
      </c>
      <c r="G634" s="320" t="s">
        <v>19</v>
      </c>
      <c r="H634" s="320" t="s">
        <v>157</v>
      </c>
      <c r="I634" s="333" t="s">
        <v>38</v>
      </c>
      <c r="J634" s="333" t="s">
        <v>38</v>
      </c>
      <c r="K634" s="333" t="s">
        <v>38</v>
      </c>
      <c r="L634" s="333" t="s">
        <v>38</v>
      </c>
      <c r="M634" s="384">
        <v>2800</v>
      </c>
      <c r="N634" s="384"/>
      <c r="O634" s="384"/>
      <c r="P634" s="384"/>
    </row>
    <row r="635" ht="15.75" spans="1:16">
      <c r="A635" s="115">
        <v>35</v>
      </c>
      <c r="B635" s="377" t="s">
        <v>609</v>
      </c>
      <c r="C635" s="377" t="s">
        <v>280</v>
      </c>
      <c r="D635" s="378">
        <v>8500</v>
      </c>
      <c r="E635" s="406">
        <v>85000</v>
      </c>
      <c r="F635" s="320" t="s">
        <v>559</v>
      </c>
      <c r="G635" s="320" t="s">
        <v>19</v>
      </c>
      <c r="H635" s="320" t="s">
        <v>157</v>
      </c>
      <c r="I635" s="333" t="s">
        <v>38</v>
      </c>
      <c r="J635" s="333" t="s">
        <v>38</v>
      </c>
      <c r="K635" s="333" t="s">
        <v>38</v>
      </c>
      <c r="L635" s="333" t="s">
        <v>38</v>
      </c>
      <c r="M635" s="384"/>
      <c r="N635" s="384">
        <v>42500</v>
      </c>
      <c r="O635" s="384"/>
      <c r="P635" s="384">
        <v>42500</v>
      </c>
    </row>
    <row r="636" ht="15.75" spans="1:16">
      <c r="A636" s="115">
        <v>36</v>
      </c>
      <c r="B636" s="377" t="s">
        <v>610</v>
      </c>
      <c r="C636" s="377" t="s">
        <v>611</v>
      </c>
      <c r="D636" s="378">
        <v>650</v>
      </c>
      <c r="E636" s="378">
        <v>5200</v>
      </c>
      <c r="F636" s="320" t="s">
        <v>559</v>
      </c>
      <c r="G636" s="320" t="s">
        <v>19</v>
      </c>
      <c r="H636" s="320" t="s">
        <v>157</v>
      </c>
      <c r="I636" s="333" t="s">
        <v>38</v>
      </c>
      <c r="J636" s="333" t="s">
        <v>38</v>
      </c>
      <c r="K636" s="333" t="s">
        <v>38</v>
      </c>
      <c r="L636" s="333" t="s">
        <v>38</v>
      </c>
      <c r="M636" s="384"/>
      <c r="N636" s="384">
        <v>5200</v>
      </c>
      <c r="O636" s="384"/>
      <c r="P636" s="384"/>
    </row>
    <row r="637" ht="15.75" spans="1:16">
      <c r="A637" s="115">
        <v>37</v>
      </c>
      <c r="B637" s="377" t="s">
        <v>612</v>
      </c>
      <c r="C637" s="377" t="s">
        <v>613</v>
      </c>
      <c r="D637" s="378">
        <v>950</v>
      </c>
      <c r="E637" s="378">
        <v>19000</v>
      </c>
      <c r="F637" s="320" t="s">
        <v>559</v>
      </c>
      <c r="G637" s="320" t="s">
        <v>19</v>
      </c>
      <c r="H637" s="320" t="s">
        <v>157</v>
      </c>
      <c r="I637" s="333" t="s">
        <v>38</v>
      </c>
      <c r="J637" s="333" t="s">
        <v>38</v>
      </c>
      <c r="K637" s="333" t="s">
        <v>38</v>
      </c>
      <c r="L637" s="333" t="s">
        <v>38</v>
      </c>
      <c r="M637" s="384"/>
      <c r="N637" s="384">
        <v>9500</v>
      </c>
      <c r="O637" s="384"/>
      <c r="P637" s="384">
        <v>9500</v>
      </c>
    </row>
    <row r="638" ht="15.75" spans="1:16">
      <c r="A638" s="115">
        <v>38</v>
      </c>
      <c r="B638" s="377" t="s">
        <v>614</v>
      </c>
      <c r="C638" s="377" t="s">
        <v>615</v>
      </c>
      <c r="D638" s="378">
        <v>95</v>
      </c>
      <c r="E638" s="378">
        <v>19000</v>
      </c>
      <c r="F638" s="320" t="s">
        <v>559</v>
      </c>
      <c r="G638" s="320" t="s">
        <v>19</v>
      </c>
      <c r="H638" s="320" t="s">
        <v>157</v>
      </c>
      <c r="I638" s="333" t="s">
        <v>38</v>
      </c>
      <c r="J638" s="333" t="s">
        <v>38</v>
      </c>
      <c r="K638" s="333" t="s">
        <v>38</v>
      </c>
      <c r="L638" s="333" t="s">
        <v>38</v>
      </c>
      <c r="M638" s="384"/>
      <c r="N638" s="384">
        <v>9500</v>
      </c>
      <c r="O638" s="384"/>
      <c r="P638" s="384">
        <v>9500</v>
      </c>
    </row>
    <row r="639" ht="15.75" spans="1:16">
      <c r="A639" s="115">
        <v>39</v>
      </c>
      <c r="B639" s="377" t="s">
        <v>616</v>
      </c>
      <c r="C639" s="377" t="s">
        <v>615</v>
      </c>
      <c r="D639" s="378">
        <v>110</v>
      </c>
      <c r="E639" s="378">
        <v>22000</v>
      </c>
      <c r="F639" s="320" t="s">
        <v>559</v>
      </c>
      <c r="G639" s="320" t="s">
        <v>19</v>
      </c>
      <c r="H639" s="320" t="s">
        <v>157</v>
      </c>
      <c r="I639" s="333" t="s">
        <v>38</v>
      </c>
      <c r="J639" s="333" t="s">
        <v>38</v>
      </c>
      <c r="K639" s="333" t="s">
        <v>38</v>
      </c>
      <c r="L639" s="333" t="s">
        <v>38</v>
      </c>
      <c r="M639" s="384"/>
      <c r="N639" s="384">
        <v>11000</v>
      </c>
      <c r="O639" s="384"/>
      <c r="P639" s="384">
        <v>11000</v>
      </c>
    </row>
    <row r="640" ht="15.75" spans="1:16">
      <c r="A640" s="115">
        <v>40</v>
      </c>
      <c r="B640" s="377" t="s">
        <v>617</v>
      </c>
      <c r="C640" s="377" t="s">
        <v>618</v>
      </c>
      <c r="D640" s="378">
        <v>150</v>
      </c>
      <c r="E640" s="378">
        <v>37500</v>
      </c>
      <c r="F640" s="320" t="s">
        <v>559</v>
      </c>
      <c r="G640" s="320" t="s">
        <v>19</v>
      </c>
      <c r="H640" s="320" t="s">
        <v>157</v>
      </c>
      <c r="I640" s="333" t="s">
        <v>38</v>
      </c>
      <c r="J640" s="333" t="s">
        <v>38</v>
      </c>
      <c r="K640" s="333" t="s">
        <v>38</v>
      </c>
      <c r="L640" s="333" t="s">
        <v>38</v>
      </c>
      <c r="M640" s="384"/>
      <c r="N640" s="384">
        <v>18750</v>
      </c>
      <c r="O640" s="384"/>
      <c r="P640" s="384">
        <v>18750</v>
      </c>
    </row>
    <row r="641" ht="15.75" spans="1:16">
      <c r="A641" s="115">
        <v>41</v>
      </c>
      <c r="B641" s="377" t="s">
        <v>619</v>
      </c>
      <c r="C641" s="377" t="s">
        <v>620</v>
      </c>
      <c r="D641" s="378">
        <v>240</v>
      </c>
      <c r="E641" s="378">
        <v>24000</v>
      </c>
      <c r="F641" s="320" t="s">
        <v>559</v>
      </c>
      <c r="G641" s="320" t="s">
        <v>19</v>
      </c>
      <c r="H641" s="320" t="s">
        <v>157</v>
      </c>
      <c r="I641" s="333" t="s">
        <v>38</v>
      </c>
      <c r="J641" s="333" t="s">
        <v>38</v>
      </c>
      <c r="K641" s="333" t="s">
        <v>38</v>
      </c>
      <c r="L641" s="333" t="s">
        <v>38</v>
      </c>
      <c r="M641" s="384">
        <v>12000</v>
      </c>
      <c r="N641" s="384">
        <v>12000</v>
      </c>
      <c r="O641" s="384"/>
      <c r="P641" s="384"/>
    </row>
    <row r="642" ht="15.75" spans="1:16">
      <c r="A642" s="115">
        <v>42</v>
      </c>
      <c r="B642" s="377" t="s">
        <v>621</v>
      </c>
      <c r="C642" s="377" t="s">
        <v>620</v>
      </c>
      <c r="D642" s="378">
        <v>280</v>
      </c>
      <c r="E642" s="378">
        <v>28000</v>
      </c>
      <c r="F642" s="320" t="s">
        <v>559</v>
      </c>
      <c r="G642" s="320" t="s">
        <v>19</v>
      </c>
      <c r="H642" s="320" t="s">
        <v>157</v>
      </c>
      <c r="I642" s="333" t="s">
        <v>38</v>
      </c>
      <c r="J642" s="333" t="s">
        <v>38</v>
      </c>
      <c r="K642" s="333" t="s">
        <v>38</v>
      </c>
      <c r="L642" s="333" t="s">
        <v>38</v>
      </c>
      <c r="M642" s="384"/>
      <c r="N642" s="384">
        <v>14000</v>
      </c>
      <c r="O642" s="384"/>
      <c r="P642" s="384">
        <v>14000</v>
      </c>
    </row>
    <row r="643" ht="31.5" spans="1:16">
      <c r="A643" s="115">
        <v>43</v>
      </c>
      <c r="B643" s="377" t="s">
        <v>622</v>
      </c>
      <c r="C643" s="377" t="s">
        <v>623</v>
      </c>
      <c r="D643" s="378">
        <v>180</v>
      </c>
      <c r="E643" s="406">
        <v>180000</v>
      </c>
      <c r="F643" s="320" t="s">
        <v>559</v>
      </c>
      <c r="G643" s="320" t="s">
        <v>19</v>
      </c>
      <c r="H643" s="320" t="s">
        <v>157</v>
      </c>
      <c r="I643" s="333" t="s">
        <v>38</v>
      </c>
      <c r="J643" s="333" t="s">
        <v>38</v>
      </c>
      <c r="K643" s="333" t="s">
        <v>38</v>
      </c>
      <c r="L643" s="333" t="s">
        <v>38</v>
      </c>
      <c r="M643" s="384">
        <v>90000</v>
      </c>
      <c r="N643" s="384"/>
      <c r="O643" s="384">
        <v>90000</v>
      </c>
      <c r="P643" s="384"/>
    </row>
    <row r="644" ht="15.75" spans="1:16">
      <c r="A644" s="115">
        <v>44</v>
      </c>
      <c r="B644" s="377" t="s">
        <v>624</v>
      </c>
      <c r="C644" s="377" t="s">
        <v>625</v>
      </c>
      <c r="D644" s="378">
        <v>1050</v>
      </c>
      <c r="E644" s="406">
        <v>63000</v>
      </c>
      <c r="F644" s="320" t="s">
        <v>559</v>
      </c>
      <c r="G644" s="320" t="s">
        <v>19</v>
      </c>
      <c r="H644" s="320" t="s">
        <v>157</v>
      </c>
      <c r="I644" s="333" t="s">
        <v>38</v>
      </c>
      <c r="J644" s="333" t="s">
        <v>38</v>
      </c>
      <c r="K644" s="333" t="s">
        <v>38</v>
      </c>
      <c r="L644" s="333" t="s">
        <v>38</v>
      </c>
      <c r="M644" s="384">
        <v>31500</v>
      </c>
      <c r="N644" s="384"/>
      <c r="O644" s="384">
        <v>31500</v>
      </c>
      <c r="P644" s="384"/>
    </row>
    <row r="645" ht="15.75" spans="1:16">
      <c r="A645" s="115">
        <v>45</v>
      </c>
      <c r="B645" s="377" t="s">
        <v>626</v>
      </c>
      <c r="C645" s="377" t="s">
        <v>627</v>
      </c>
      <c r="D645" s="378">
        <v>1050</v>
      </c>
      <c r="E645" s="378">
        <v>42000</v>
      </c>
      <c r="F645" s="320" t="s">
        <v>559</v>
      </c>
      <c r="G645" s="320" t="s">
        <v>19</v>
      </c>
      <c r="H645" s="320" t="s">
        <v>157</v>
      </c>
      <c r="I645" s="333" t="s">
        <v>38</v>
      </c>
      <c r="J645" s="333" t="s">
        <v>38</v>
      </c>
      <c r="K645" s="333" t="s">
        <v>38</v>
      </c>
      <c r="L645" s="333" t="s">
        <v>38</v>
      </c>
      <c r="M645" s="384">
        <v>21000</v>
      </c>
      <c r="N645" s="384">
        <v>21000</v>
      </c>
      <c r="O645" s="384"/>
      <c r="P645" s="384"/>
    </row>
    <row r="646" ht="15.75" spans="1:16">
      <c r="A646" s="115">
        <v>46</v>
      </c>
      <c r="B646" s="377" t="s">
        <v>628</v>
      </c>
      <c r="C646" s="377" t="s">
        <v>625</v>
      </c>
      <c r="D646" s="378">
        <v>1050</v>
      </c>
      <c r="E646" s="406">
        <v>63000</v>
      </c>
      <c r="F646" s="320" t="s">
        <v>559</v>
      </c>
      <c r="G646" s="320" t="s">
        <v>19</v>
      </c>
      <c r="H646" s="320" t="s">
        <v>157</v>
      </c>
      <c r="I646" s="333" t="s">
        <v>38</v>
      </c>
      <c r="J646" s="333" t="s">
        <v>38</v>
      </c>
      <c r="K646" s="333" t="s">
        <v>38</v>
      </c>
      <c r="L646" s="333" t="s">
        <v>38</v>
      </c>
      <c r="M646" s="384">
        <v>31500</v>
      </c>
      <c r="N646" s="384">
        <v>31500</v>
      </c>
      <c r="O646" s="384"/>
      <c r="P646" s="384"/>
    </row>
    <row r="647" ht="15.75" spans="1:16">
      <c r="A647" s="115">
        <v>47</v>
      </c>
      <c r="B647" s="377" t="s">
        <v>629</v>
      </c>
      <c r="C647" s="377" t="s">
        <v>630</v>
      </c>
      <c r="D647" s="378">
        <v>1050</v>
      </c>
      <c r="E647" s="406">
        <v>84000</v>
      </c>
      <c r="F647" s="320" t="s">
        <v>559</v>
      </c>
      <c r="G647" s="320" t="s">
        <v>19</v>
      </c>
      <c r="H647" s="320" t="s">
        <v>157</v>
      </c>
      <c r="I647" s="333" t="s">
        <v>38</v>
      </c>
      <c r="J647" s="333" t="s">
        <v>38</v>
      </c>
      <c r="K647" s="333" t="s">
        <v>38</v>
      </c>
      <c r="L647" s="333" t="s">
        <v>38</v>
      </c>
      <c r="M647" s="384">
        <v>42000</v>
      </c>
      <c r="N647" s="384">
        <v>42000</v>
      </c>
      <c r="O647" s="384"/>
      <c r="P647" s="384"/>
    </row>
    <row r="648" ht="15.75" spans="1:16">
      <c r="A648" s="115">
        <v>48</v>
      </c>
      <c r="B648" s="377" t="s">
        <v>631</v>
      </c>
      <c r="C648" s="377" t="s">
        <v>632</v>
      </c>
      <c r="D648" s="378">
        <v>1050</v>
      </c>
      <c r="E648" s="378">
        <v>21000</v>
      </c>
      <c r="F648" s="320" t="s">
        <v>559</v>
      </c>
      <c r="G648" s="320" t="s">
        <v>19</v>
      </c>
      <c r="H648" s="320" t="s">
        <v>157</v>
      </c>
      <c r="I648" s="333" t="s">
        <v>38</v>
      </c>
      <c r="J648" s="333" t="s">
        <v>38</v>
      </c>
      <c r="K648" s="333" t="s">
        <v>38</v>
      </c>
      <c r="L648" s="333" t="s">
        <v>38</v>
      </c>
      <c r="M648" s="384">
        <v>10500</v>
      </c>
      <c r="N648" s="384">
        <v>10500</v>
      </c>
      <c r="O648" s="384"/>
      <c r="P648" s="384"/>
    </row>
    <row r="649" ht="15.75" spans="1:16">
      <c r="A649" s="115">
        <v>49</v>
      </c>
      <c r="B649" s="377" t="s">
        <v>633</v>
      </c>
      <c r="C649" s="377" t="s">
        <v>632</v>
      </c>
      <c r="D649" s="378">
        <v>1050</v>
      </c>
      <c r="E649" s="378">
        <v>21000</v>
      </c>
      <c r="F649" s="320" t="s">
        <v>559</v>
      </c>
      <c r="G649" s="320" t="s">
        <v>19</v>
      </c>
      <c r="H649" s="320" t="s">
        <v>157</v>
      </c>
      <c r="I649" s="333" t="s">
        <v>38</v>
      </c>
      <c r="J649" s="333" t="s">
        <v>38</v>
      </c>
      <c r="K649" s="333" t="s">
        <v>38</v>
      </c>
      <c r="L649" s="333" t="s">
        <v>38</v>
      </c>
      <c r="M649" s="384">
        <v>10500</v>
      </c>
      <c r="N649" s="384">
        <v>10500</v>
      </c>
      <c r="O649" s="384"/>
      <c r="P649" s="384"/>
    </row>
    <row r="650" ht="15.75" spans="1:16">
      <c r="A650" s="115">
        <v>50</v>
      </c>
      <c r="B650" s="377" t="s">
        <v>634</v>
      </c>
      <c r="C650" s="377" t="s">
        <v>635</v>
      </c>
      <c r="D650" s="378">
        <v>450</v>
      </c>
      <c r="E650" s="378">
        <v>22500</v>
      </c>
      <c r="F650" s="320" t="s">
        <v>559</v>
      </c>
      <c r="G650" s="320" t="s">
        <v>19</v>
      </c>
      <c r="H650" s="320" t="s">
        <v>157</v>
      </c>
      <c r="I650" s="333" t="s">
        <v>38</v>
      </c>
      <c r="J650" s="333" t="s">
        <v>38</v>
      </c>
      <c r="K650" s="333" t="s">
        <v>38</v>
      </c>
      <c r="L650" s="333" t="s">
        <v>38</v>
      </c>
      <c r="M650" s="384">
        <v>22500</v>
      </c>
      <c r="N650" s="384"/>
      <c r="O650" s="384"/>
      <c r="P650" s="384"/>
    </row>
    <row r="651" ht="15.75" spans="1:16">
      <c r="A651" s="115">
        <v>51</v>
      </c>
      <c r="B651" s="377" t="s">
        <v>636</v>
      </c>
      <c r="C651" s="377" t="s">
        <v>637</v>
      </c>
      <c r="D651" s="378">
        <v>1050</v>
      </c>
      <c r="E651" s="378">
        <v>16800</v>
      </c>
      <c r="F651" s="320" t="s">
        <v>559</v>
      </c>
      <c r="G651" s="320" t="s">
        <v>19</v>
      </c>
      <c r="H651" s="320" t="s">
        <v>157</v>
      </c>
      <c r="I651" s="333" t="s">
        <v>38</v>
      </c>
      <c r="J651" s="333" t="s">
        <v>38</v>
      </c>
      <c r="K651" s="333" t="s">
        <v>38</v>
      </c>
      <c r="L651" s="333" t="s">
        <v>38</v>
      </c>
      <c r="M651" s="384">
        <v>16800</v>
      </c>
      <c r="N651" s="384"/>
      <c r="O651" s="384"/>
      <c r="P651" s="384"/>
    </row>
    <row r="652" ht="15.75" spans="1:16">
      <c r="A652" s="115">
        <v>52</v>
      </c>
      <c r="B652" s="377" t="s">
        <v>638</v>
      </c>
      <c r="C652" s="377" t="s">
        <v>635</v>
      </c>
      <c r="D652" s="378">
        <v>520</v>
      </c>
      <c r="E652" s="378">
        <v>26000</v>
      </c>
      <c r="F652" s="320" t="s">
        <v>559</v>
      </c>
      <c r="G652" s="320" t="s">
        <v>19</v>
      </c>
      <c r="H652" s="320" t="s">
        <v>157</v>
      </c>
      <c r="I652" s="333" t="s">
        <v>38</v>
      </c>
      <c r="J652" s="333" t="s">
        <v>38</v>
      </c>
      <c r="K652" s="333" t="s">
        <v>38</v>
      </c>
      <c r="L652" s="333" t="s">
        <v>38</v>
      </c>
      <c r="M652" s="384">
        <v>13000</v>
      </c>
      <c r="N652" s="384">
        <v>13000</v>
      </c>
      <c r="O652" s="384"/>
      <c r="P652" s="384"/>
    </row>
    <row r="653" ht="15.75" spans="1:16">
      <c r="A653" s="115">
        <v>53</v>
      </c>
      <c r="B653" s="377" t="s">
        <v>639</v>
      </c>
      <c r="C653" s="377" t="s">
        <v>640</v>
      </c>
      <c r="D653" s="378">
        <v>6500</v>
      </c>
      <c r="E653" s="378">
        <v>6500</v>
      </c>
      <c r="F653" s="320" t="s">
        <v>559</v>
      </c>
      <c r="G653" s="320" t="s">
        <v>19</v>
      </c>
      <c r="H653" s="320" t="s">
        <v>157</v>
      </c>
      <c r="I653" s="333" t="s">
        <v>38</v>
      </c>
      <c r="J653" s="333" t="s">
        <v>38</v>
      </c>
      <c r="K653" s="333" t="s">
        <v>38</v>
      </c>
      <c r="L653" s="333" t="s">
        <v>38</v>
      </c>
      <c r="M653" s="384"/>
      <c r="N653" s="384">
        <v>6500</v>
      </c>
      <c r="O653" s="384"/>
      <c r="P653" s="384"/>
    </row>
    <row r="654" ht="15.75" spans="1:16">
      <c r="A654" s="115">
        <v>54</v>
      </c>
      <c r="B654" s="377" t="s">
        <v>641</v>
      </c>
      <c r="C654" s="377" t="s">
        <v>642</v>
      </c>
      <c r="D654" s="378">
        <v>6500</v>
      </c>
      <c r="E654" s="378">
        <v>6500</v>
      </c>
      <c r="F654" s="320" t="s">
        <v>559</v>
      </c>
      <c r="G654" s="320" t="s">
        <v>19</v>
      </c>
      <c r="H654" s="320" t="s">
        <v>157</v>
      </c>
      <c r="I654" s="333" t="s">
        <v>38</v>
      </c>
      <c r="J654" s="333" t="s">
        <v>38</v>
      </c>
      <c r="K654" s="333" t="s">
        <v>38</v>
      </c>
      <c r="L654" s="333" t="s">
        <v>38</v>
      </c>
      <c r="M654" s="384"/>
      <c r="N654" s="384">
        <v>6500</v>
      </c>
      <c r="O654" s="384"/>
      <c r="P654" s="384"/>
    </row>
    <row r="655" ht="15.75" spans="1:16">
      <c r="A655" s="115">
        <v>55</v>
      </c>
      <c r="B655" s="377" t="s">
        <v>643</v>
      </c>
      <c r="C655" s="377" t="s">
        <v>640</v>
      </c>
      <c r="D655" s="378">
        <v>4500</v>
      </c>
      <c r="E655" s="378">
        <v>4500</v>
      </c>
      <c r="F655" s="320" t="s">
        <v>559</v>
      </c>
      <c r="G655" s="320" t="s">
        <v>19</v>
      </c>
      <c r="H655" s="320" t="s">
        <v>157</v>
      </c>
      <c r="I655" s="333" t="s">
        <v>38</v>
      </c>
      <c r="J655" s="333" t="s">
        <v>38</v>
      </c>
      <c r="K655" s="333" t="s">
        <v>38</v>
      </c>
      <c r="L655" s="333" t="s">
        <v>38</v>
      </c>
      <c r="M655" s="384">
        <v>4500</v>
      </c>
      <c r="N655" s="384"/>
      <c r="O655" s="384"/>
      <c r="P655" s="384"/>
    </row>
    <row r="656" ht="15.75" spans="1:16">
      <c r="A656" s="115">
        <v>56</v>
      </c>
      <c r="B656" s="377" t="s">
        <v>644</v>
      </c>
      <c r="C656" s="377" t="s">
        <v>640</v>
      </c>
      <c r="D656" s="378">
        <v>4500</v>
      </c>
      <c r="E656" s="378">
        <v>4500</v>
      </c>
      <c r="F656" s="320" t="s">
        <v>559</v>
      </c>
      <c r="G656" s="320" t="s">
        <v>19</v>
      </c>
      <c r="H656" s="320" t="s">
        <v>157</v>
      </c>
      <c r="I656" s="333" t="s">
        <v>38</v>
      </c>
      <c r="J656" s="333" t="s">
        <v>38</v>
      </c>
      <c r="K656" s="333" t="s">
        <v>38</v>
      </c>
      <c r="L656" s="333" t="s">
        <v>38</v>
      </c>
      <c r="M656" s="384">
        <v>4500</v>
      </c>
      <c r="N656" s="384"/>
      <c r="O656" s="384"/>
      <c r="P656" s="384"/>
    </row>
    <row r="657" ht="15.75" spans="1:16">
      <c r="A657" s="115">
        <v>57</v>
      </c>
      <c r="B657" s="377" t="s">
        <v>645</v>
      </c>
      <c r="C657" s="377" t="s">
        <v>646</v>
      </c>
      <c r="D657" s="378">
        <v>8500</v>
      </c>
      <c r="E657" s="378">
        <v>212500</v>
      </c>
      <c r="F657" s="320" t="s">
        <v>559</v>
      </c>
      <c r="G657" s="320" t="s">
        <v>19</v>
      </c>
      <c r="H657" s="320" t="s">
        <v>157</v>
      </c>
      <c r="I657" s="333" t="s">
        <v>38</v>
      </c>
      <c r="J657" s="333" t="s">
        <v>38</v>
      </c>
      <c r="K657" s="333" t="s">
        <v>38</v>
      </c>
      <c r="L657" s="333" t="s">
        <v>38</v>
      </c>
      <c r="M657" s="384">
        <v>59500</v>
      </c>
      <c r="N657" s="384">
        <v>51000</v>
      </c>
      <c r="O657" s="384">
        <v>51000</v>
      </c>
      <c r="P657" s="384">
        <v>51000</v>
      </c>
    </row>
    <row r="658" ht="15.75" spans="1:16">
      <c r="A658" s="115">
        <v>58</v>
      </c>
      <c r="B658" s="377" t="s">
        <v>647</v>
      </c>
      <c r="C658" s="377" t="s">
        <v>648</v>
      </c>
      <c r="D658" s="378">
        <v>9500</v>
      </c>
      <c r="E658" s="378">
        <v>475000</v>
      </c>
      <c r="F658" s="320" t="s">
        <v>559</v>
      </c>
      <c r="G658" s="320" t="s">
        <v>19</v>
      </c>
      <c r="H658" s="320" t="s">
        <v>157</v>
      </c>
      <c r="I658" s="333" t="s">
        <v>38</v>
      </c>
      <c r="J658" s="333" t="s">
        <v>38</v>
      </c>
      <c r="K658" s="333" t="s">
        <v>38</v>
      </c>
      <c r="L658" s="333" t="s">
        <v>38</v>
      </c>
      <c r="M658" s="384">
        <v>114000</v>
      </c>
      <c r="N658" s="384">
        <v>114000</v>
      </c>
      <c r="O658" s="384">
        <v>114000</v>
      </c>
      <c r="P658" s="384">
        <v>133000</v>
      </c>
    </row>
    <row r="659" ht="15.75" spans="1:16">
      <c r="A659" s="115">
        <v>59</v>
      </c>
      <c r="B659" s="377" t="s">
        <v>649</v>
      </c>
      <c r="C659" s="377" t="s">
        <v>650</v>
      </c>
      <c r="D659" s="378">
        <v>1200</v>
      </c>
      <c r="E659" s="378">
        <v>120000</v>
      </c>
      <c r="F659" s="320" t="s">
        <v>559</v>
      </c>
      <c r="G659" s="320" t="s">
        <v>19</v>
      </c>
      <c r="H659" s="320" t="s">
        <v>157</v>
      </c>
      <c r="I659" s="333" t="s">
        <v>38</v>
      </c>
      <c r="J659" s="333" t="s">
        <v>38</v>
      </c>
      <c r="K659" s="333" t="s">
        <v>38</v>
      </c>
      <c r="L659" s="333" t="s">
        <v>38</v>
      </c>
      <c r="M659" s="384">
        <v>60000</v>
      </c>
      <c r="N659" s="384">
        <v>60000</v>
      </c>
      <c r="O659" s="384"/>
      <c r="P659" s="384"/>
    </row>
    <row r="660" ht="15.75" spans="1:16">
      <c r="A660" s="115">
        <v>60</v>
      </c>
      <c r="B660" s="377" t="s">
        <v>638</v>
      </c>
      <c r="C660" s="377" t="s">
        <v>627</v>
      </c>
      <c r="D660" s="378">
        <v>520</v>
      </c>
      <c r="E660" s="378">
        <v>20800</v>
      </c>
      <c r="F660" s="320" t="s">
        <v>559</v>
      </c>
      <c r="G660" s="320" t="s">
        <v>19</v>
      </c>
      <c r="H660" s="320" t="s">
        <v>157</v>
      </c>
      <c r="I660" s="333" t="s">
        <v>38</v>
      </c>
      <c r="J660" s="333" t="s">
        <v>38</v>
      </c>
      <c r="K660" s="333" t="s">
        <v>38</v>
      </c>
      <c r="L660" s="333" t="s">
        <v>38</v>
      </c>
      <c r="M660" s="384">
        <v>5200</v>
      </c>
      <c r="N660" s="384">
        <v>5200</v>
      </c>
      <c r="O660" s="384">
        <v>5200</v>
      </c>
      <c r="P660" s="384">
        <v>5200</v>
      </c>
    </row>
    <row r="661" spans="1:16">
      <c r="A661" s="306"/>
      <c r="B661" s="306" t="s">
        <v>22</v>
      </c>
      <c r="C661" s="306"/>
      <c r="D661" s="306"/>
      <c r="E661" s="382">
        <f>SUM(E601:E660)</f>
        <v>4143510</v>
      </c>
      <c r="F661" s="115"/>
      <c r="G661" s="115"/>
      <c r="H661" s="115"/>
      <c r="I661" s="115"/>
      <c r="J661" s="115"/>
      <c r="K661" s="115"/>
      <c r="L661" s="115"/>
      <c r="M661" s="115"/>
      <c r="N661" s="115"/>
      <c r="O661" s="115"/>
      <c r="P661" s="115"/>
    </row>
    <row r="662" spans="1:16">
      <c r="A662" s="306"/>
      <c r="B662" s="306"/>
      <c r="C662" s="306"/>
      <c r="D662" s="306"/>
      <c r="E662" s="306"/>
      <c r="F662" s="115"/>
      <c r="G662" s="115"/>
      <c r="H662" s="115"/>
      <c r="I662" s="115"/>
      <c r="J662" s="115"/>
      <c r="K662" s="115"/>
      <c r="L662" s="115"/>
      <c r="M662" s="115"/>
      <c r="N662" s="115"/>
      <c r="O662" s="115"/>
      <c r="P662" s="115"/>
    </row>
    <row r="663" spans="1:16">
      <c r="A663" s="115"/>
      <c r="B663" s="115"/>
      <c r="C663" s="115"/>
      <c r="D663" s="115"/>
      <c r="E663" s="115"/>
      <c r="F663" s="115"/>
      <c r="G663" s="115"/>
      <c r="H663" s="115"/>
      <c r="I663" s="115"/>
      <c r="J663" s="115"/>
      <c r="K663" s="115"/>
      <c r="L663" s="115"/>
      <c r="M663" s="115"/>
      <c r="N663" s="115"/>
      <c r="O663" s="115"/>
      <c r="P663" s="115"/>
    </row>
    <row r="664" spans="1:16">
      <c r="A664" s="115"/>
      <c r="B664" s="115"/>
      <c r="C664" s="115"/>
      <c r="D664" s="115"/>
      <c r="E664" s="115"/>
      <c r="F664" s="115"/>
      <c r="G664" s="115"/>
      <c r="H664" s="115"/>
      <c r="I664" s="115"/>
      <c r="J664" s="115"/>
      <c r="K664" s="115"/>
      <c r="L664" s="115"/>
      <c r="M664" s="115"/>
      <c r="N664" s="115"/>
      <c r="O664" s="115"/>
      <c r="P664" s="115"/>
    </row>
    <row r="665" spans="1:16">
      <c r="A665" s="306" t="s">
        <v>651</v>
      </c>
      <c r="B665" s="115"/>
      <c r="C665" s="115"/>
      <c r="D665" s="115"/>
      <c r="E665" s="115"/>
      <c r="F665" s="115"/>
      <c r="G665" s="115"/>
      <c r="H665" s="115"/>
      <c r="I665" s="115"/>
      <c r="J665" s="115"/>
      <c r="K665" s="115"/>
      <c r="L665" s="115"/>
      <c r="M665" s="115"/>
      <c r="N665" s="115"/>
      <c r="O665" s="115"/>
      <c r="P665" s="115"/>
    </row>
    <row r="666" spans="1:16">
      <c r="A666" s="115"/>
      <c r="B666" s="115"/>
      <c r="C666" s="115"/>
      <c r="D666" s="115"/>
      <c r="E666" s="115"/>
      <c r="F666" s="115"/>
      <c r="G666" s="115"/>
      <c r="H666" s="115"/>
      <c r="I666" s="115"/>
      <c r="J666" s="115"/>
      <c r="K666" s="115"/>
      <c r="L666" s="115"/>
      <c r="M666" s="115"/>
      <c r="N666" s="115"/>
      <c r="O666" s="115"/>
      <c r="P666" s="115"/>
    </row>
    <row r="667" spans="1:16">
      <c r="A667" s="115"/>
      <c r="B667" s="115"/>
      <c r="C667" s="115"/>
      <c r="D667" s="115"/>
      <c r="E667" s="115"/>
      <c r="F667" s="115"/>
      <c r="G667" s="115"/>
      <c r="H667" s="115"/>
      <c r="I667" s="115"/>
      <c r="J667" s="115"/>
      <c r="K667" s="115"/>
      <c r="L667" s="115"/>
      <c r="M667" s="115"/>
      <c r="N667" s="115"/>
      <c r="O667" s="115"/>
      <c r="P667" s="115"/>
    </row>
    <row r="668" spans="1:16">
      <c r="A668" s="115"/>
      <c r="B668" s="115"/>
      <c r="C668" s="115"/>
      <c r="D668" s="115"/>
      <c r="E668" s="115"/>
      <c r="F668" s="115"/>
      <c r="G668" s="115"/>
      <c r="H668" s="115"/>
      <c r="I668" s="115"/>
      <c r="J668" s="115"/>
      <c r="K668" s="115"/>
      <c r="L668" s="115"/>
      <c r="M668" s="115"/>
      <c r="N668" s="115"/>
      <c r="O668" s="115"/>
      <c r="P668" s="115"/>
    </row>
    <row r="669" spans="1:16">
      <c r="A669" s="306" t="s">
        <v>652</v>
      </c>
      <c r="B669" s="115"/>
      <c r="C669" s="115"/>
      <c r="D669" s="115"/>
      <c r="E669" s="115"/>
      <c r="F669" s="115"/>
      <c r="G669" s="115"/>
      <c r="H669" s="115"/>
      <c r="I669" s="115"/>
      <c r="J669" s="115"/>
      <c r="K669" s="115"/>
      <c r="L669" s="115"/>
      <c r="M669" s="115"/>
      <c r="N669" s="115"/>
      <c r="O669" s="115"/>
      <c r="P669" s="115"/>
    </row>
    <row r="670" spans="1:16">
      <c r="A670" s="115"/>
      <c r="B670" s="115"/>
      <c r="C670" s="115"/>
      <c r="D670" s="115"/>
      <c r="E670" s="115"/>
      <c r="F670" s="115"/>
      <c r="G670" s="115"/>
      <c r="H670" s="115"/>
      <c r="I670" s="115"/>
      <c r="J670" s="115"/>
      <c r="K670" s="115"/>
      <c r="L670" s="115"/>
      <c r="M670" s="115"/>
      <c r="N670" s="115"/>
      <c r="O670" s="115"/>
      <c r="P670" s="115"/>
    </row>
    <row r="671" spans="1:16">
      <c r="A671" s="115"/>
      <c r="B671" s="115"/>
      <c r="C671" s="115"/>
      <c r="D671" s="115"/>
      <c r="E671" s="115"/>
      <c r="F671" s="115"/>
      <c r="G671" s="115"/>
      <c r="H671" s="115"/>
      <c r="I671" s="115"/>
      <c r="J671" s="115"/>
      <c r="K671" s="115"/>
      <c r="L671" s="115"/>
      <c r="M671" s="115"/>
      <c r="N671" s="115"/>
      <c r="O671" s="115"/>
      <c r="P671" s="115"/>
    </row>
    <row r="672" spans="1:16">
      <c r="A672" s="115"/>
      <c r="B672" s="115"/>
      <c r="C672" s="115"/>
      <c r="D672" s="115"/>
      <c r="E672" s="115"/>
      <c r="F672" s="115"/>
      <c r="G672" s="115"/>
      <c r="H672" s="115"/>
      <c r="I672" s="115"/>
      <c r="J672" s="115"/>
      <c r="K672" s="115"/>
      <c r="L672" s="115"/>
      <c r="M672" s="115"/>
      <c r="N672" s="115"/>
      <c r="O672" s="115"/>
      <c r="P672" s="115"/>
    </row>
    <row r="673" spans="1:16">
      <c r="A673" s="115"/>
      <c r="B673" s="115"/>
      <c r="C673" s="115"/>
      <c r="D673" s="115"/>
      <c r="E673" s="115"/>
      <c r="F673" s="115"/>
      <c r="G673" s="115"/>
      <c r="H673" s="115"/>
      <c r="I673" s="115"/>
      <c r="J673" s="115"/>
      <c r="K673" s="115"/>
      <c r="L673" s="115"/>
      <c r="M673" s="115"/>
      <c r="N673" s="115"/>
      <c r="O673" s="115"/>
      <c r="P673" s="115"/>
    </row>
    <row r="674" spans="1:16">
      <c r="A674" s="115"/>
      <c r="B674" s="115"/>
      <c r="C674" s="115"/>
      <c r="D674" s="115"/>
      <c r="E674" s="115"/>
      <c r="F674" s="115"/>
      <c r="G674" s="115"/>
      <c r="H674" s="115"/>
      <c r="I674" s="115"/>
      <c r="J674" s="115"/>
      <c r="K674" s="115"/>
      <c r="L674" s="115"/>
      <c r="M674" s="115"/>
      <c r="N674" s="115"/>
      <c r="O674" s="115"/>
      <c r="P674" s="115"/>
    </row>
    <row r="675" spans="1:16">
      <c r="A675" s="115"/>
      <c r="B675" s="115"/>
      <c r="C675" s="115"/>
      <c r="D675" s="115"/>
      <c r="E675" s="115"/>
      <c r="F675" s="115"/>
      <c r="G675" s="115"/>
      <c r="H675" s="115"/>
      <c r="I675" s="115"/>
      <c r="J675" s="115"/>
      <c r="K675" s="115"/>
      <c r="L675" s="115"/>
      <c r="M675" s="115"/>
      <c r="N675" s="115"/>
      <c r="O675" s="115"/>
      <c r="P675" s="115"/>
    </row>
    <row r="676" spans="1:16">
      <c r="A676" s="407">
        <v>37</v>
      </c>
      <c r="B676" s="408" t="s">
        <v>653</v>
      </c>
      <c r="C676" s="115"/>
      <c r="D676" s="115"/>
      <c r="E676" s="115"/>
      <c r="F676" s="115"/>
      <c r="G676" s="115"/>
      <c r="H676" s="115"/>
      <c r="I676" s="115"/>
      <c r="J676" s="115"/>
      <c r="K676" s="115"/>
      <c r="L676" s="115"/>
      <c r="M676" s="115"/>
      <c r="N676" s="115"/>
      <c r="O676" s="115"/>
      <c r="P676" s="115"/>
    </row>
    <row r="677" ht="15.75" spans="1:16">
      <c r="A677" s="115">
        <v>1</v>
      </c>
      <c r="B677" s="28" t="s">
        <v>654</v>
      </c>
      <c r="C677" s="115">
        <v>1</v>
      </c>
      <c r="D677" s="115">
        <v>185000</v>
      </c>
      <c r="E677" s="310">
        <f>C677*D677</f>
        <v>185000</v>
      </c>
      <c r="F677" s="255" t="s">
        <v>25</v>
      </c>
      <c r="G677" s="152" t="s">
        <v>19</v>
      </c>
      <c r="H677" s="152" t="s">
        <v>157</v>
      </c>
      <c r="I677" s="152" t="s">
        <v>21</v>
      </c>
      <c r="J677" s="152" t="s">
        <v>21</v>
      </c>
      <c r="K677" s="152" t="s">
        <v>21</v>
      </c>
      <c r="L677" s="152" t="s">
        <v>21</v>
      </c>
      <c r="M677" s="71">
        <v>185000</v>
      </c>
      <c r="N677" s="71"/>
      <c r="O677" s="71"/>
      <c r="P677" s="71"/>
    </row>
    <row r="678" ht="15.75" spans="1:16">
      <c r="A678" s="115">
        <v>2</v>
      </c>
      <c r="B678" s="115" t="s">
        <v>655</v>
      </c>
      <c r="C678" s="115">
        <v>1</v>
      </c>
      <c r="D678" s="310">
        <v>13000</v>
      </c>
      <c r="E678" s="310">
        <f>C678*D678</f>
        <v>13000</v>
      </c>
      <c r="F678" s="308" t="s">
        <v>99</v>
      </c>
      <c r="G678" s="308" t="s">
        <v>19</v>
      </c>
      <c r="H678" s="152" t="s">
        <v>157</v>
      </c>
      <c r="I678" s="152" t="s">
        <v>21</v>
      </c>
      <c r="J678" s="152" t="s">
        <v>21</v>
      </c>
      <c r="K678" s="152" t="s">
        <v>21</v>
      </c>
      <c r="L678" s="152" t="s">
        <v>21</v>
      </c>
      <c r="M678" s="334">
        <v>13000</v>
      </c>
      <c r="N678" s="115"/>
      <c r="O678" s="115"/>
      <c r="P678" s="115"/>
    </row>
    <row r="679" ht="15.75" spans="1:16">
      <c r="A679" s="115">
        <v>3</v>
      </c>
      <c r="B679" s="115" t="s">
        <v>656</v>
      </c>
      <c r="C679" s="115">
        <v>1</v>
      </c>
      <c r="D679" s="310">
        <v>27500</v>
      </c>
      <c r="E679" s="310">
        <f>C679*D679</f>
        <v>27500</v>
      </c>
      <c r="F679" s="308" t="s">
        <v>99</v>
      </c>
      <c r="G679" s="308" t="s">
        <v>19</v>
      </c>
      <c r="H679" s="152" t="s">
        <v>157</v>
      </c>
      <c r="I679" s="152" t="s">
        <v>21</v>
      </c>
      <c r="J679" s="152" t="s">
        <v>21</v>
      </c>
      <c r="K679" s="152" t="s">
        <v>21</v>
      </c>
      <c r="L679" s="152" t="s">
        <v>21</v>
      </c>
      <c r="M679" s="334"/>
      <c r="N679" s="334">
        <v>27500</v>
      </c>
      <c r="O679" s="115"/>
      <c r="P679" s="115"/>
    </row>
    <row r="680" ht="15.75" spans="1:16">
      <c r="A680" s="115">
        <v>4</v>
      </c>
      <c r="B680" s="115" t="s">
        <v>657</v>
      </c>
      <c r="C680" s="308">
        <v>1</v>
      </c>
      <c r="D680" s="115">
        <v>300000</v>
      </c>
      <c r="E680" s="310">
        <v>300000</v>
      </c>
      <c r="F680" s="308" t="s">
        <v>31</v>
      </c>
      <c r="G680" s="308" t="s">
        <v>19</v>
      </c>
      <c r="H680" s="152" t="s">
        <v>157</v>
      </c>
      <c r="I680" s="152" t="s">
        <v>21</v>
      </c>
      <c r="J680" s="152" t="s">
        <v>21</v>
      </c>
      <c r="K680" s="152" t="s">
        <v>21</v>
      </c>
      <c r="L680" s="152" t="s">
        <v>21</v>
      </c>
      <c r="M680" s="115">
        <v>300000</v>
      </c>
      <c r="N680" s="115"/>
      <c r="O680" s="115"/>
      <c r="P680" s="71"/>
    </row>
    <row r="681" ht="15.75" spans="1:16">
      <c r="A681" s="115">
        <v>5</v>
      </c>
      <c r="B681" s="115" t="s">
        <v>658</v>
      </c>
      <c r="C681" s="308">
        <v>1</v>
      </c>
      <c r="D681" s="115">
        <v>185000</v>
      </c>
      <c r="E681" s="310">
        <v>185000</v>
      </c>
      <c r="F681" s="308" t="s">
        <v>31</v>
      </c>
      <c r="G681" s="308" t="s">
        <v>19</v>
      </c>
      <c r="H681" s="152" t="s">
        <v>157</v>
      </c>
      <c r="I681" s="152" t="s">
        <v>21</v>
      </c>
      <c r="J681" s="152" t="s">
        <v>21</v>
      </c>
      <c r="K681" s="152" t="s">
        <v>21</v>
      </c>
      <c r="L681" s="152" t="s">
        <v>21</v>
      </c>
      <c r="M681" s="115">
        <v>185000</v>
      </c>
      <c r="N681" s="115"/>
      <c r="O681" s="115"/>
      <c r="P681" s="71"/>
    </row>
    <row r="682" ht="15.75" spans="1:16">
      <c r="A682" s="115">
        <v>6</v>
      </c>
      <c r="B682" s="311" t="s">
        <v>659</v>
      </c>
      <c r="C682" s="312">
        <v>2</v>
      </c>
      <c r="D682" s="115">
        <v>150000</v>
      </c>
      <c r="E682" s="314">
        <f>C682*D682:D682</f>
        <v>300000</v>
      </c>
      <c r="F682" s="308" t="s">
        <v>33</v>
      </c>
      <c r="G682" s="308" t="s">
        <v>19</v>
      </c>
      <c r="H682" s="152" t="s">
        <v>157</v>
      </c>
      <c r="I682" s="152" t="s">
        <v>21</v>
      </c>
      <c r="J682" s="152" t="s">
        <v>21</v>
      </c>
      <c r="K682" s="152" t="s">
        <v>21</v>
      </c>
      <c r="L682" s="152" t="s">
        <v>21</v>
      </c>
      <c r="M682" s="311">
        <v>300000</v>
      </c>
      <c r="N682" s="311"/>
      <c r="O682" s="311"/>
      <c r="P682" s="311"/>
    </row>
    <row r="683" ht="15.75" spans="1:16">
      <c r="A683" s="115">
        <v>7</v>
      </c>
      <c r="B683" s="115" t="s">
        <v>660</v>
      </c>
      <c r="C683" s="115">
        <v>1</v>
      </c>
      <c r="D683" s="115">
        <v>185000</v>
      </c>
      <c r="E683" s="115">
        <f>C683*D683</f>
        <v>185000</v>
      </c>
      <c r="F683" s="308" t="s">
        <v>18</v>
      </c>
      <c r="G683" s="349" t="s">
        <v>19</v>
      </c>
      <c r="H683" s="152" t="s">
        <v>157</v>
      </c>
      <c r="I683" s="152" t="s">
        <v>21</v>
      </c>
      <c r="J683" s="152" t="s">
        <v>21</v>
      </c>
      <c r="K683" s="152" t="s">
        <v>21</v>
      </c>
      <c r="L683" s="152" t="s">
        <v>21</v>
      </c>
      <c r="M683" s="115">
        <v>185000</v>
      </c>
      <c r="N683" s="115"/>
      <c r="O683" s="115"/>
      <c r="P683" s="115"/>
    </row>
    <row r="684" ht="15.75" spans="1:16">
      <c r="A684" s="115">
        <v>8</v>
      </c>
      <c r="B684" s="115" t="s">
        <v>661</v>
      </c>
      <c r="C684" s="115">
        <v>1</v>
      </c>
      <c r="D684" s="115">
        <v>140000</v>
      </c>
      <c r="E684" s="115">
        <f>C684*D684</f>
        <v>140000</v>
      </c>
      <c r="F684" s="308" t="s">
        <v>18</v>
      </c>
      <c r="G684" s="308" t="s">
        <v>19</v>
      </c>
      <c r="H684" s="152" t="s">
        <v>157</v>
      </c>
      <c r="I684" s="152" t="s">
        <v>21</v>
      </c>
      <c r="J684" s="152" t="s">
        <v>21</v>
      </c>
      <c r="K684" s="152" t="s">
        <v>21</v>
      </c>
      <c r="L684" s="152" t="s">
        <v>21</v>
      </c>
      <c r="M684" s="115">
        <v>140000</v>
      </c>
      <c r="N684" s="115"/>
      <c r="O684" s="115"/>
      <c r="P684" s="115"/>
    </row>
    <row r="685" ht="15.75" spans="1:16">
      <c r="A685" s="115">
        <v>9</v>
      </c>
      <c r="B685" s="315" t="s">
        <v>662</v>
      </c>
      <c r="C685" s="315" t="s">
        <v>310</v>
      </c>
      <c r="D685" s="317">
        <v>7500</v>
      </c>
      <c r="E685" s="317">
        <v>75000</v>
      </c>
      <c r="F685" s="318" t="s">
        <v>35</v>
      </c>
      <c r="G685" s="308" t="s">
        <v>19</v>
      </c>
      <c r="H685" s="152" t="s">
        <v>157</v>
      </c>
      <c r="I685" s="152" t="s">
        <v>21</v>
      </c>
      <c r="J685" s="152" t="s">
        <v>21</v>
      </c>
      <c r="K685" s="152" t="s">
        <v>21</v>
      </c>
      <c r="L685" s="152" t="s">
        <v>21</v>
      </c>
      <c r="M685" s="328">
        <v>37500</v>
      </c>
      <c r="N685" s="328"/>
      <c r="O685" s="328">
        <v>37500</v>
      </c>
      <c r="P685" s="115"/>
    </row>
    <row r="686" ht="15.75" spans="1:16">
      <c r="A686" s="115">
        <v>10</v>
      </c>
      <c r="B686" s="339" t="s">
        <v>663</v>
      </c>
      <c r="C686" s="340">
        <v>1</v>
      </c>
      <c r="D686" s="341">
        <v>185000</v>
      </c>
      <c r="E686" s="341">
        <f>C686*D686</f>
        <v>185000</v>
      </c>
      <c r="F686" s="318" t="s">
        <v>104</v>
      </c>
      <c r="G686" s="308" t="s">
        <v>19</v>
      </c>
      <c r="H686" s="152" t="s">
        <v>157</v>
      </c>
      <c r="I686" s="152" t="s">
        <v>21</v>
      </c>
      <c r="J686" s="152" t="s">
        <v>21</v>
      </c>
      <c r="K686" s="152" t="s">
        <v>21</v>
      </c>
      <c r="L686" s="152" t="s">
        <v>21</v>
      </c>
      <c r="M686" s="331">
        <v>185000</v>
      </c>
      <c r="N686" s="331"/>
      <c r="O686" s="331"/>
      <c r="P686" s="332"/>
    </row>
    <row r="687" ht="15.75" spans="1:16">
      <c r="A687" s="115">
        <v>11</v>
      </c>
      <c r="B687" s="321" t="s">
        <v>664</v>
      </c>
      <c r="C687" s="374">
        <v>1</v>
      </c>
      <c r="D687" s="317">
        <v>10000</v>
      </c>
      <c r="E687" s="317">
        <f>C687*D687</f>
        <v>10000</v>
      </c>
      <c r="F687" s="308" t="s">
        <v>42</v>
      </c>
      <c r="G687" s="320" t="s">
        <v>19</v>
      </c>
      <c r="H687" s="152" t="s">
        <v>157</v>
      </c>
      <c r="I687" s="333" t="s">
        <v>38</v>
      </c>
      <c r="J687" s="333" t="s">
        <v>38</v>
      </c>
      <c r="K687" s="333" t="s">
        <v>38</v>
      </c>
      <c r="L687" s="333" t="s">
        <v>38</v>
      </c>
      <c r="M687" s="331">
        <v>20000</v>
      </c>
      <c r="N687" s="331"/>
      <c r="O687" s="331"/>
      <c r="P687" s="115"/>
    </row>
    <row r="688" ht="15.75" spans="1:16">
      <c r="A688" s="115">
        <v>12</v>
      </c>
      <c r="B688" s="115" t="s">
        <v>665</v>
      </c>
      <c r="C688" s="115">
        <v>2</v>
      </c>
      <c r="D688" s="115">
        <v>30000</v>
      </c>
      <c r="E688" s="115">
        <f>D688*2</f>
        <v>60000</v>
      </c>
      <c r="F688" s="308" t="s">
        <v>40</v>
      </c>
      <c r="G688" s="320" t="s">
        <v>19</v>
      </c>
      <c r="H688" s="152" t="s">
        <v>157</v>
      </c>
      <c r="I688" s="333" t="s">
        <v>38</v>
      </c>
      <c r="J688" s="333" t="s">
        <v>38</v>
      </c>
      <c r="K688" s="333" t="s">
        <v>38</v>
      </c>
      <c r="L688" s="333" t="s">
        <v>38</v>
      </c>
      <c r="M688" s="115">
        <v>30000</v>
      </c>
      <c r="N688" s="115"/>
      <c r="O688" s="115">
        <v>30000</v>
      </c>
      <c r="P688" s="115"/>
    </row>
    <row r="689" ht="15.75" spans="1:16">
      <c r="A689" s="115">
        <v>13</v>
      </c>
      <c r="B689" s="115" t="s">
        <v>666</v>
      </c>
      <c r="C689" s="115">
        <v>2</v>
      </c>
      <c r="D689" s="115">
        <v>70000</v>
      </c>
      <c r="E689" s="115">
        <f>D689*2</f>
        <v>140000</v>
      </c>
      <c r="F689" s="308" t="s">
        <v>40</v>
      </c>
      <c r="G689" s="320" t="s">
        <v>19</v>
      </c>
      <c r="H689" s="152" t="s">
        <v>157</v>
      </c>
      <c r="I689" s="333" t="s">
        <v>38</v>
      </c>
      <c r="J689" s="333" t="s">
        <v>38</v>
      </c>
      <c r="K689" s="333" t="s">
        <v>38</v>
      </c>
      <c r="L689" s="333" t="s">
        <v>38</v>
      </c>
      <c r="M689" s="115">
        <v>140000</v>
      </c>
      <c r="N689" s="115"/>
      <c r="O689" s="115"/>
      <c r="P689" s="115"/>
    </row>
    <row r="690" ht="15.75" spans="1:16">
      <c r="A690" s="115">
        <v>14</v>
      </c>
      <c r="B690" s="321" t="s">
        <v>667</v>
      </c>
      <c r="C690" s="321">
        <v>1</v>
      </c>
      <c r="D690" s="115">
        <v>150000</v>
      </c>
      <c r="E690" s="310">
        <f>C690*D690</f>
        <v>150000</v>
      </c>
      <c r="F690" s="308" t="s">
        <v>42</v>
      </c>
      <c r="G690" s="320" t="s">
        <v>19</v>
      </c>
      <c r="H690" s="152" t="s">
        <v>157</v>
      </c>
      <c r="I690" s="333" t="s">
        <v>38</v>
      </c>
      <c r="J690" s="333" t="s">
        <v>38</v>
      </c>
      <c r="K690" s="333" t="s">
        <v>38</v>
      </c>
      <c r="L690" s="333" t="s">
        <v>38</v>
      </c>
      <c r="M690" s="115">
        <v>150000</v>
      </c>
      <c r="N690" s="115"/>
      <c r="O690" s="115"/>
      <c r="P690" s="71"/>
    </row>
    <row r="691" ht="15.75" spans="1:16">
      <c r="A691" s="115">
        <v>15</v>
      </c>
      <c r="B691" s="321" t="s">
        <v>668</v>
      </c>
      <c r="C691" s="321">
        <v>2</v>
      </c>
      <c r="D691" s="115">
        <v>180000</v>
      </c>
      <c r="E691" s="310">
        <f>C691*D691</f>
        <v>360000</v>
      </c>
      <c r="F691" s="308" t="s">
        <v>42</v>
      </c>
      <c r="G691" s="320" t="s">
        <v>19</v>
      </c>
      <c r="H691" s="152" t="s">
        <v>157</v>
      </c>
      <c r="I691" s="333" t="s">
        <v>38</v>
      </c>
      <c r="J691" s="333" t="s">
        <v>38</v>
      </c>
      <c r="K691" s="333" t="s">
        <v>38</v>
      </c>
      <c r="L691" s="333" t="s">
        <v>38</v>
      </c>
      <c r="M691" s="115">
        <v>180000</v>
      </c>
      <c r="N691" s="115">
        <v>180000</v>
      </c>
      <c r="O691" s="115"/>
      <c r="P691" s="71"/>
    </row>
    <row r="692" ht="15.75" spans="1:16">
      <c r="A692" s="115">
        <v>16</v>
      </c>
      <c r="B692" s="321" t="s">
        <v>669</v>
      </c>
      <c r="C692" s="321">
        <v>1</v>
      </c>
      <c r="D692" s="115">
        <v>140000</v>
      </c>
      <c r="E692" s="310">
        <f>C692*D692</f>
        <v>140000</v>
      </c>
      <c r="F692" s="308" t="s">
        <v>42</v>
      </c>
      <c r="G692" s="320" t="s">
        <v>19</v>
      </c>
      <c r="H692" s="152" t="s">
        <v>157</v>
      </c>
      <c r="I692" s="333" t="s">
        <v>38</v>
      </c>
      <c r="J692" s="333" t="s">
        <v>38</v>
      </c>
      <c r="K692" s="333" t="s">
        <v>38</v>
      </c>
      <c r="L692" s="333" t="s">
        <v>38</v>
      </c>
      <c r="M692" s="115">
        <v>140000</v>
      </c>
      <c r="N692" s="115"/>
      <c r="O692" s="115"/>
      <c r="P692" s="71"/>
    </row>
    <row r="693" ht="15.75" spans="1:16">
      <c r="A693" s="115">
        <v>17</v>
      </c>
      <c r="B693" s="115" t="s">
        <v>670</v>
      </c>
      <c r="C693" s="115">
        <v>1</v>
      </c>
      <c r="D693" s="115">
        <v>90000</v>
      </c>
      <c r="E693" s="319">
        <v>90000</v>
      </c>
      <c r="F693" s="308" t="s">
        <v>37</v>
      </c>
      <c r="G693" s="320" t="s">
        <v>19</v>
      </c>
      <c r="H693" s="152" t="s">
        <v>157</v>
      </c>
      <c r="I693" s="333" t="s">
        <v>38</v>
      </c>
      <c r="J693" s="333" t="s">
        <v>38</v>
      </c>
      <c r="K693" s="333" t="s">
        <v>38</v>
      </c>
      <c r="L693" s="333" t="s">
        <v>38</v>
      </c>
      <c r="M693" s="115"/>
      <c r="N693" s="115">
        <v>90000</v>
      </c>
      <c r="O693" s="115"/>
      <c r="P693" s="115"/>
    </row>
    <row r="694" ht="15.75" spans="1:16">
      <c r="A694" s="115">
        <v>18</v>
      </c>
      <c r="B694" s="115" t="s">
        <v>671</v>
      </c>
      <c r="C694" s="115">
        <v>1</v>
      </c>
      <c r="D694" s="115">
        <v>160000</v>
      </c>
      <c r="E694" s="319">
        <v>160000</v>
      </c>
      <c r="F694" s="308" t="s">
        <v>37</v>
      </c>
      <c r="G694" s="320" t="s">
        <v>19</v>
      </c>
      <c r="H694" s="152" t="s">
        <v>157</v>
      </c>
      <c r="I694" s="333" t="s">
        <v>38</v>
      </c>
      <c r="J694" s="333" t="s">
        <v>38</v>
      </c>
      <c r="K694" s="333" t="s">
        <v>38</v>
      </c>
      <c r="L694" s="333" t="s">
        <v>38</v>
      </c>
      <c r="M694" s="115">
        <v>160000</v>
      </c>
      <c r="N694" s="115"/>
      <c r="O694" s="115"/>
      <c r="P694" s="115"/>
    </row>
    <row r="695" ht="15.75" spans="1:16">
      <c r="A695" s="115">
        <v>19</v>
      </c>
      <c r="B695" s="115" t="s">
        <v>672</v>
      </c>
      <c r="C695" s="115">
        <v>1</v>
      </c>
      <c r="D695" s="115">
        <v>35000</v>
      </c>
      <c r="E695" s="319">
        <v>35000</v>
      </c>
      <c r="F695" s="308" t="s">
        <v>37</v>
      </c>
      <c r="G695" s="320" t="s">
        <v>19</v>
      </c>
      <c r="H695" s="152" t="s">
        <v>157</v>
      </c>
      <c r="I695" s="333" t="s">
        <v>38</v>
      </c>
      <c r="J695" s="333" t="s">
        <v>38</v>
      </c>
      <c r="K695" s="333" t="s">
        <v>38</v>
      </c>
      <c r="L695" s="333" t="s">
        <v>38</v>
      </c>
      <c r="M695" s="115">
        <v>35000</v>
      </c>
      <c r="N695" s="115"/>
      <c r="O695" s="115"/>
      <c r="P695" s="115"/>
    </row>
    <row r="696" ht="15.75" spans="1:16">
      <c r="A696" s="115">
        <v>20</v>
      </c>
      <c r="B696" s="115" t="s">
        <v>673</v>
      </c>
      <c r="C696" s="115">
        <v>1</v>
      </c>
      <c r="D696" s="115">
        <v>120000</v>
      </c>
      <c r="E696" s="319">
        <v>120000</v>
      </c>
      <c r="F696" s="308" t="s">
        <v>37</v>
      </c>
      <c r="G696" s="320" t="s">
        <v>19</v>
      </c>
      <c r="H696" s="152" t="s">
        <v>157</v>
      </c>
      <c r="I696" s="333" t="s">
        <v>38</v>
      </c>
      <c r="J696" s="333" t="s">
        <v>38</v>
      </c>
      <c r="K696" s="333" t="s">
        <v>38</v>
      </c>
      <c r="L696" s="333" t="s">
        <v>38</v>
      </c>
      <c r="M696" s="115"/>
      <c r="N696" s="115">
        <v>120000</v>
      </c>
      <c r="O696" s="115"/>
      <c r="P696" s="115"/>
    </row>
    <row r="697" ht="15.75" spans="1:16">
      <c r="A697" s="115">
        <v>21</v>
      </c>
      <c r="B697" s="115" t="s">
        <v>674</v>
      </c>
      <c r="C697" s="115">
        <v>1</v>
      </c>
      <c r="D697" s="115">
        <v>5000</v>
      </c>
      <c r="E697" s="115">
        <v>5000</v>
      </c>
      <c r="F697" s="308" t="s">
        <v>37</v>
      </c>
      <c r="G697" s="320" t="s">
        <v>19</v>
      </c>
      <c r="H697" s="152" t="s">
        <v>157</v>
      </c>
      <c r="I697" s="333" t="s">
        <v>38</v>
      </c>
      <c r="J697" s="333" t="s">
        <v>38</v>
      </c>
      <c r="K697" s="333" t="s">
        <v>38</v>
      </c>
      <c r="L697" s="333" t="s">
        <v>38</v>
      </c>
      <c r="M697" s="115">
        <v>5000</v>
      </c>
      <c r="N697" s="115"/>
      <c r="O697" s="115"/>
      <c r="P697" s="115"/>
    </row>
    <row r="698" ht="15.75" spans="1:16">
      <c r="A698" s="115">
        <v>22</v>
      </c>
      <c r="B698" s="322" t="s">
        <v>675</v>
      </c>
      <c r="C698" s="322">
        <v>1</v>
      </c>
      <c r="D698" s="322">
        <v>80000</v>
      </c>
      <c r="E698" s="322">
        <v>80000</v>
      </c>
      <c r="F698" s="323" t="s">
        <v>43</v>
      </c>
      <c r="G698" s="308" t="s">
        <v>19</v>
      </c>
      <c r="H698" s="152" t="s">
        <v>157</v>
      </c>
      <c r="I698" s="333" t="s">
        <v>38</v>
      </c>
      <c r="J698" s="333" t="s">
        <v>38</v>
      </c>
      <c r="K698" s="333" t="s">
        <v>38</v>
      </c>
      <c r="L698" s="333" t="s">
        <v>38</v>
      </c>
      <c r="M698" s="328">
        <v>80000</v>
      </c>
      <c r="N698" s="328"/>
      <c r="O698" s="328"/>
      <c r="P698" s="328"/>
    </row>
    <row r="699" ht="15.75" spans="1:16">
      <c r="A699" s="306"/>
      <c r="B699" s="386" t="s">
        <v>22</v>
      </c>
      <c r="C699" s="402"/>
      <c r="D699" s="403"/>
      <c r="E699" s="403">
        <f>SUM(E677:E698)</f>
        <v>2945500</v>
      </c>
      <c r="F699" s="318"/>
      <c r="G699" s="308"/>
      <c r="H699" s="308"/>
      <c r="I699" s="152"/>
      <c r="J699" s="152"/>
      <c r="K699" s="152"/>
      <c r="L699" s="152"/>
      <c r="M699" s="331"/>
      <c r="N699" s="331"/>
      <c r="O699" s="331"/>
      <c r="P699" s="332"/>
    </row>
    <row r="700" ht="15.75" spans="1:16">
      <c r="A700" s="115"/>
      <c r="B700" s="339"/>
      <c r="C700" s="340"/>
      <c r="D700" s="341"/>
      <c r="E700" s="341"/>
      <c r="F700" s="318"/>
      <c r="G700" s="308"/>
      <c r="H700" s="308"/>
      <c r="I700" s="152"/>
      <c r="J700" s="152"/>
      <c r="K700" s="152"/>
      <c r="L700" s="152"/>
      <c r="M700" s="331"/>
      <c r="N700" s="331"/>
      <c r="O700" s="331"/>
      <c r="P700" s="332"/>
    </row>
    <row r="701" ht="15.75" spans="1:16">
      <c r="A701" s="407">
        <v>38</v>
      </c>
      <c r="B701" s="306" t="s">
        <v>676</v>
      </c>
      <c r="C701" s="115"/>
      <c r="D701" s="310"/>
      <c r="E701" s="310"/>
      <c r="F701" s="308"/>
      <c r="G701" s="308"/>
      <c r="H701" s="308"/>
      <c r="I701" s="152"/>
      <c r="J701" s="152"/>
      <c r="K701" s="152"/>
      <c r="L701" s="152"/>
      <c r="M701" s="334"/>
      <c r="N701" s="334"/>
      <c r="O701" s="115"/>
      <c r="P701" s="115"/>
    </row>
    <row r="702" ht="63" spans="1:16">
      <c r="A702" s="115">
        <v>1</v>
      </c>
      <c r="B702" s="377" t="s">
        <v>677</v>
      </c>
      <c r="C702" s="409" t="s">
        <v>138</v>
      </c>
      <c r="D702" s="410">
        <v>400000</v>
      </c>
      <c r="E702" s="410">
        <v>400000</v>
      </c>
      <c r="F702" s="378" t="s">
        <v>678</v>
      </c>
      <c r="G702" s="378" t="s">
        <v>19</v>
      </c>
      <c r="H702" s="320" t="s">
        <v>157</v>
      </c>
      <c r="I702" s="333" t="s">
        <v>38</v>
      </c>
      <c r="J702" s="333" t="s">
        <v>38</v>
      </c>
      <c r="K702" s="333" t="s">
        <v>38</v>
      </c>
      <c r="L702" s="333" t="s">
        <v>38</v>
      </c>
      <c r="M702" s="411">
        <v>400000</v>
      </c>
      <c r="N702" s="412"/>
      <c r="O702" s="412"/>
      <c r="P702" s="412"/>
    </row>
    <row r="703" ht="15.75" spans="1:16">
      <c r="A703" s="306"/>
      <c r="B703" s="306" t="s">
        <v>22</v>
      </c>
      <c r="C703" s="373"/>
      <c r="D703" s="306"/>
      <c r="E703" s="309">
        <f>SUM(E702)</f>
        <v>400000</v>
      </c>
      <c r="F703" s="308"/>
      <c r="G703" s="308"/>
      <c r="H703" s="308"/>
      <c r="I703" s="152"/>
      <c r="J703" s="152"/>
      <c r="K703" s="152"/>
      <c r="L703" s="152"/>
      <c r="M703" s="115"/>
      <c r="N703" s="115"/>
      <c r="O703" s="115"/>
      <c r="P703" s="71"/>
    </row>
    <row r="704" ht="15.75" spans="1:16">
      <c r="A704" s="115"/>
      <c r="B704" s="115"/>
      <c r="C704" s="115"/>
      <c r="D704" s="115"/>
      <c r="E704" s="115"/>
      <c r="F704" s="308"/>
      <c r="G704" s="349"/>
      <c r="H704" s="350"/>
      <c r="I704" s="152"/>
      <c r="J704" s="152"/>
      <c r="K704" s="152"/>
      <c r="L704" s="152"/>
      <c r="M704" s="115"/>
      <c r="N704" s="115"/>
      <c r="O704" s="115"/>
      <c r="P704" s="115"/>
    </row>
    <row r="705" ht="15.75" spans="1:16">
      <c r="A705" s="407">
        <v>39</v>
      </c>
      <c r="B705" s="306" t="s">
        <v>679</v>
      </c>
      <c r="C705" s="115"/>
      <c r="D705" s="115"/>
      <c r="E705" s="115"/>
      <c r="F705" s="308"/>
      <c r="G705" s="308"/>
      <c r="H705" s="308"/>
      <c r="I705" s="152"/>
      <c r="J705" s="152"/>
      <c r="K705" s="152"/>
      <c r="L705" s="152"/>
      <c r="M705" s="115"/>
      <c r="N705" s="115"/>
      <c r="O705" s="115"/>
      <c r="P705" s="115"/>
    </row>
    <row r="706" ht="15.75" spans="1:16">
      <c r="A706" s="115"/>
      <c r="B706" s="386" t="s">
        <v>680</v>
      </c>
      <c r="C706" s="402"/>
      <c r="D706" s="403"/>
      <c r="E706" s="341"/>
      <c r="F706" s="318" t="s">
        <v>104</v>
      </c>
      <c r="G706" s="308" t="s">
        <v>19</v>
      </c>
      <c r="H706" s="308" t="s">
        <v>157</v>
      </c>
      <c r="I706" s="152" t="s">
        <v>21</v>
      </c>
      <c r="J706" s="152" t="s">
        <v>21</v>
      </c>
      <c r="K706" s="152" t="s">
        <v>21</v>
      </c>
      <c r="L706" s="152" t="s">
        <v>21</v>
      </c>
      <c r="M706" s="331"/>
      <c r="N706" s="331"/>
      <c r="O706" s="331"/>
      <c r="P706" s="332"/>
    </row>
    <row r="707" ht="15.75" spans="1:16">
      <c r="A707" s="115">
        <v>1</v>
      </c>
      <c r="B707" s="348" t="s">
        <v>681</v>
      </c>
      <c r="C707" s="340">
        <v>240</v>
      </c>
      <c r="D707" s="341">
        <v>450</v>
      </c>
      <c r="E707" s="341">
        <f>C707*D707</f>
        <v>108000</v>
      </c>
      <c r="F707" s="318" t="s">
        <v>104</v>
      </c>
      <c r="G707" s="308" t="s">
        <v>19</v>
      </c>
      <c r="H707" s="308" t="s">
        <v>157</v>
      </c>
      <c r="I707" s="152" t="s">
        <v>21</v>
      </c>
      <c r="J707" s="152" t="s">
        <v>21</v>
      </c>
      <c r="K707" s="152" t="s">
        <v>21</v>
      </c>
      <c r="L707" s="152" t="s">
        <v>21</v>
      </c>
      <c r="M707" s="331">
        <v>36000</v>
      </c>
      <c r="N707" s="331"/>
      <c r="O707" s="331">
        <v>36000</v>
      </c>
      <c r="P707" s="332">
        <v>36000</v>
      </c>
    </row>
    <row r="708" ht="15.75" spans="1:16">
      <c r="A708" s="115">
        <v>2</v>
      </c>
      <c r="B708" s="348" t="s">
        <v>682</v>
      </c>
      <c r="C708" s="340">
        <v>60</v>
      </c>
      <c r="D708" s="341">
        <v>450</v>
      </c>
      <c r="E708" s="341">
        <f>C708*D708</f>
        <v>27000</v>
      </c>
      <c r="F708" s="318" t="s">
        <v>104</v>
      </c>
      <c r="G708" s="308" t="s">
        <v>19</v>
      </c>
      <c r="H708" s="308" t="s">
        <v>157</v>
      </c>
      <c r="I708" s="152" t="s">
        <v>21</v>
      </c>
      <c r="J708" s="152" t="s">
        <v>21</v>
      </c>
      <c r="K708" s="152" t="s">
        <v>21</v>
      </c>
      <c r="L708" s="152" t="s">
        <v>21</v>
      </c>
      <c r="M708" s="328">
        <v>6750</v>
      </c>
      <c r="N708" s="328">
        <v>6750</v>
      </c>
      <c r="O708" s="328">
        <v>6750</v>
      </c>
      <c r="P708" s="328">
        <v>6750</v>
      </c>
    </row>
    <row r="709" ht="15.75" spans="1:16">
      <c r="A709" s="115"/>
      <c r="B709" s="386" t="s">
        <v>683</v>
      </c>
      <c r="C709" s="339"/>
      <c r="D709" s="317"/>
      <c r="E709" s="317"/>
      <c r="F709" s="318"/>
      <c r="G709" s="308"/>
      <c r="H709" s="308"/>
      <c r="I709" s="152"/>
      <c r="J709" s="152"/>
      <c r="K709" s="152"/>
      <c r="L709" s="152"/>
      <c r="M709" s="328"/>
      <c r="N709" s="328"/>
      <c r="O709" s="328"/>
      <c r="P709" s="328"/>
    </row>
    <row r="710" ht="15.75" spans="1:16">
      <c r="A710" s="115">
        <v>3</v>
      </c>
      <c r="B710" s="348" t="s">
        <v>684</v>
      </c>
      <c r="C710" s="340">
        <v>40</v>
      </c>
      <c r="D710" s="341">
        <v>350</v>
      </c>
      <c r="E710" s="341">
        <f t="shared" ref="E710:E715" si="17">C710*D710</f>
        <v>14000</v>
      </c>
      <c r="F710" s="318" t="s">
        <v>104</v>
      </c>
      <c r="G710" s="308" t="s">
        <v>19</v>
      </c>
      <c r="H710" s="308" t="s">
        <v>157</v>
      </c>
      <c r="I710" s="152" t="s">
        <v>21</v>
      </c>
      <c r="J710" s="152" t="s">
        <v>21</v>
      </c>
      <c r="K710" s="152" t="s">
        <v>21</v>
      </c>
      <c r="L710" s="152" t="s">
        <v>21</v>
      </c>
      <c r="M710" s="331">
        <v>3500</v>
      </c>
      <c r="N710" s="331">
        <v>3500</v>
      </c>
      <c r="O710" s="331">
        <v>3500</v>
      </c>
      <c r="P710" s="332">
        <v>3500</v>
      </c>
    </row>
    <row r="711" ht="15.75" spans="1:16">
      <c r="A711" s="115">
        <v>4</v>
      </c>
      <c r="B711" s="348" t="s">
        <v>685</v>
      </c>
      <c r="C711" s="340">
        <v>5</v>
      </c>
      <c r="D711" s="341">
        <v>800</v>
      </c>
      <c r="E711" s="341">
        <f t="shared" si="17"/>
        <v>4000</v>
      </c>
      <c r="F711" s="318" t="s">
        <v>104</v>
      </c>
      <c r="G711" s="308" t="s">
        <v>19</v>
      </c>
      <c r="H711" s="308" t="s">
        <v>157</v>
      </c>
      <c r="I711" s="152" t="s">
        <v>21</v>
      </c>
      <c r="J711" s="152" t="s">
        <v>21</v>
      </c>
      <c r="K711" s="152" t="s">
        <v>21</v>
      </c>
      <c r="L711" s="152" t="s">
        <v>21</v>
      </c>
      <c r="M711" s="331"/>
      <c r="N711" s="331">
        <v>2000</v>
      </c>
      <c r="O711" s="331"/>
      <c r="P711" s="332">
        <v>2000</v>
      </c>
    </row>
    <row r="712" ht="15.75" spans="1:16">
      <c r="A712" s="115">
        <v>5</v>
      </c>
      <c r="B712" s="348" t="s">
        <v>686</v>
      </c>
      <c r="C712" s="340">
        <v>5</v>
      </c>
      <c r="D712" s="341">
        <v>850</v>
      </c>
      <c r="E712" s="341">
        <f t="shared" si="17"/>
        <v>4250</v>
      </c>
      <c r="F712" s="318" t="s">
        <v>104</v>
      </c>
      <c r="G712" s="308" t="s">
        <v>19</v>
      </c>
      <c r="H712" s="308" t="s">
        <v>157</v>
      </c>
      <c r="I712" s="152" t="s">
        <v>21</v>
      </c>
      <c r="J712" s="152" t="s">
        <v>21</v>
      </c>
      <c r="K712" s="152" t="s">
        <v>21</v>
      </c>
      <c r="L712" s="152" t="s">
        <v>21</v>
      </c>
      <c r="M712" s="328"/>
      <c r="N712" s="328">
        <v>2125</v>
      </c>
      <c r="O712" s="328"/>
      <c r="P712" s="328">
        <v>2125</v>
      </c>
    </row>
    <row r="713" ht="15.75" spans="1:16">
      <c r="A713" s="115">
        <v>6</v>
      </c>
      <c r="B713" s="348" t="s">
        <v>687</v>
      </c>
      <c r="C713" s="340">
        <v>200</v>
      </c>
      <c r="D713" s="341">
        <v>80</v>
      </c>
      <c r="E713" s="341">
        <f t="shared" si="17"/>
        <v>16000</v>
      </c>
      <c r="F713" s="318" t="s">
        <v>104</v>
      </c>
      <c r="G713" s="308" t="s">
        <v>19</v>
      </c>
      <c r="H713" s="308" t="s">
        <v>157</v>
      </c>
      <c r="I713" s="152" t="s">
        <v>21</v>
      </c>
      <c r="J713" s="152" t="s">
        <v>21</v>
      </c>
      <c r="K713" s="152" t="s">
        <v>21</v>
      </c>
      <c r="L713" s="152" t="s">
        <v>21</v>
      </c>
      <c r="M713" s="331">
        <v>4000</v>
      </c>
      <c r="N713" s="331">
        <v>4000</v>
      </c>
      <c r="O713" s="331">
        <v>4000</v>
      </c>
      <c r="P713" s="332">
        <v>4000</v>
      </c>
    </row>
    <row r="714" ht="15.75" spans="1:16">
      <c r="A714" s="115">
        <v>7</v>
      </c>
      <c r="B714" s="348" t="s">
        <v>688</v>
      </c>
      <c r="C714" s="340">
        <v>10</v>
      </c>
      <c r="D714" s="341">
        <v>900</v>
      </c>
      <c r="E714" s="341">
        <f t="shared" si="17"/>
        <v>9000</v>
      </c>
      <c r="F714" s="318" t="s">
        <v>104</v>
      </c>
      <c r="G714" s="308" t="s">
        <v>19</v>
      </c>
      <c r="H714" s="308" t="s">
        <v>157</v>
      </c>
      <c r="I714" s="152" t="s">
        <v>21</v>
      </c>
      <c r="J714" s="152" t="s">
        <v>21</v>
      </c>
      <c r="K714" s="152" t="s">
        <v>21</v>
      </c>
      <c r="L714" s="152" t="s">
        <v>21</v>
      </c>
      <c r="M714" s="328"/>
      <c r="N714" s="328"/>
      <c r="O714" s="328">
        <v>4500</v>
      </c>
      <c r="P714" s="328">
        <v>4500</v>
      </c>
    </row>
    <row r="715" ht="15.75" spans="1:16">
      <c r="A715" s="226">
        <v>8</v>
      </c>
      <c r="B715" s="321" t="s">
        <v>689</v>
      </c>
      <c r="C715" s="321">
        <v>5</v>
      </c>
      <c r="D715" s="342">
        <v>300</v>
      </c>
      <c r="E715" s="342">
        <f t="shared" si="17"/>
        <v>1500</v>
      </c>
      <c r="F715" s="308" t="s">
        <v>42</v>
      </c>
      <c r="G715" s="320" t="s">
        <v>19</v>
      </c>
      <c r="H715" s="308" t="s">
        <v>157</v>
      </c>
      <c r="I715" s="333" t="s">
        <v>38</v>
      </c>
      <c r="J715" s="333" t="s">
        <v>38</v>
      </c>
      <c r="K715" s="333" t="s">
        <v>38</v>
      </c>
      <c r="L715" s="333" t="s">
        <v>38</v>
      </c>
      <c r="M715" s="328">
        <v>1500</v>
      </c>
      <c r="N715" s="328"/>
      <c r="O715" s="328"/>
      <c r="P715" s="328"/>
    </row>
    <row r="716" ht="15.75" spans="1:16">
      <c r="A716" s="235"/>
      <c r="B716" s="306" t="s">
        <v>22</v>
      </c>
      <c r="C716" s="306"/>
      <c r="D716" s="306"/>
      <c r="E716" s="392">
        <f>SUM(E707:E715)</f>
        <v>183750</v>
      </c>
      <c r="F716" s="115"/>
      <c r="G716" s="308"/>
      <c r="H716" s="349"/>
      <c r="I716" s="350"/>
      <c r="J716" s="152"/>
      <c r="K716" s="152"/>
      <c r="L716" s="152"/>
      <c r="M716" s="152"/>
      <c r="N716" s="115"/>
      <c r="O716" s="115"/>
      <c r="P716" s="115"/>
    </row>
    <row r="717" ht="15.75" spans="2:16">
      <c r="B717" s="115"/>
      <c r="C717" s="115"/>
      <c r="D717" s="115"/>
      <c r="E717" s="115"/>
      <c r="F717" s="115"/>
      <c r="G717" s="308"/>
      <c r="H717" s="308"/>
      <c r="I717" s="308"/>
      <c r="J717" s="152"/>
      <c r="K717" s="152"/>
      <c r="L717" s="152"/>
      <c r="M717" s="152"/>
      <c r="N717" s="115"/>
      <c r="O717" s="115"/>
      <c r="P717" s="115"/>
    </row>
    <row r="718" ht="15.75" spans="1:16">
      <c r="A718" s="413">
        <v>40</v>
      </c>
      <c r="B718" s="306" t="s">
        <v>690</v>
      </c>
      <c r="C718" s="115"/>
      <c r="D718" s="115"/>
      <c r="E718" s="115"/>
      <c r="F718" s="308"/>
      <c r="G718" s="349"/>
      <c r="H718" s="350"/>
      <c r="I718" s="152"/>
      <c r="J718" s="152"/>
      <c r="K718" s="152"/>
      <c r="L718" s="152"/>
      <c r="M718" s="115"/>
      <c r="N718" s="115"/>
      <c r="O718" s="115"/>
      <c r="P718" s="115"/>
    </row>
    <row r="719" ht="15.75" spans="1:16">
      <c r="A719">
        <v>1</v>
      </c>
      <c r="B719" s="321" t="s">
        <v>691</v>
      </c>
      <c r="C719" s="321">
        <v>12</v>
      </c>
      <c r="D719" s="342">
        <v>10000</v>
      </c>
      <c r="E719" s="342">
        <f>C719*D719</f>
        <v>120000</v>
      </c>
      <c r="F719" s="308" t="s">
        <v>42</v>
      </c>
      <c r="G719" s="320" t="s">
        <v>19</v>
      </c>
      <c r="H719" s="308" t="s">
        <v>157</v>
      </c>
      <c r="I719" s="333" t="s">
        <v>38</v>
      </c>
      <c r="J719" s="333" t="s">
        <v>38</v>
      </c>
      <c r="K719" s="333" t="s">
        <v>38</v>
      </c>
      <c r="L719" s="333" t="s">
        <v>38</v>
      </c>
      <c r="M719" s="331">
        <v>30000</v>
      </c>
      <c r="N719" s="331">
        <v>30000</v>
      </c>
      <c r="O719" s="331">
        <v>30000</v>
      </c>
      <c r="P719" s="332">
        <v>30000</v>
      </c>
    </row>
    <row r="720" ht="15.75" spans="2:16">
      <c r="B720" s="115"/>
      <c r="C720" s="115"/>
      <c r="D720" s="115"/>
      <c r="E720" s="115"/>
      <c r="F720" s="115"/>
      <c r="G720" s="308"/>
      <c r="H720" s="308"/>
      <c r="I720" s="308"/>
      <c r="J720" s="152"/>
      <c r="K720" s="152"/>
      <c r="L720" s="152"/>
      <c r="M720" s="152"/>
      <c r="N720" s="115"/>
      <c r="O720" s="115"/>
      <c r="P720" s="115"/>
    </row>
    <row r="721" ht="15.75" spans="1:16">
      <c r="A721" s="235"/>
      <c r="B721" s="306" t="s">
        <v>22</v>
      </c>
      <c r="C721" s="306"/>
      <c r="D721" s="306"/>
      <c r="E721" s="392">
        <f>SUM(E719:E720)</f>
        <v>120000</v>
      </c>
      <c r="F721" s="308"/>
      <c r="G721" s="349"/>
      <c r="H721" s="350"/>
      <c r="I721" s="152"/>
      <c r="J721" s="152"/>
      <c r="K721" s="152"/>
      <c r="L721" s="152"/>
      <c r="M721" s="115"/>
      <c r="N721" s="115"/>
      <c r="O721" s="115"/>
      <c r="P721" s="115"/>
    </row>
    <row r="722" ht="15.75" spans="1:16">
      <c r="A722" s="235"/>
      <c r="B722" s="306"/>
      <c r="C722" s="306"/>
      <c r="D722" s="306"/>
      <c r="E722" s="392"/>
      <c r="F722" s="308"/>
      <c r="G722" s="349"/>
      <c r="H722" s="350"/>
      <c r="I722" s="152"/>
      <c r="J722" s="152"/>
      <c r="K722" s="152"/>
      <c r="L722" s="152"/>
      <c r="M722" s="115"/>
      <c r="N722" s="115"/>
      <c r="O722" s="115"/>
      <c r="P722" s="115"/>
    </row>
    <row r="723" ht="15.75" spans="1:16">
      <c r="A723" s="115">
        <v>1</v>
      </c>
      <c r="B723" s="327" t="s">
        <v>692</v>
      </c>
      <c r="C723" s="307" t="s">
        <v>693</v>
      </c>
      <c r="D723" s="115">
        <v>6500</v>
      </c>
      <c r="E723" s="115">
        <v>78000</v>
      </c>
      <c r="F723" s="115"/>
      <c r="G723" s="308" t="s">
        <v>694</v>
      </c>
      <c r="H723" s="308" t="s">
        <v>20</v>
      </c>
      <c r="I723" s="115"/>
      <c r="J723" s="115"/>
      <c r="K723" s="115"/>
      <c r="L723" s="333" t="s">
        <v>38</v>
      </c>
      <c r="M723" s="355">
        <v>19500</v>
      </c>
      <c r="N723" s="355">
        <v>19500</v>
      </c>
      <c r="O723" s="355">
        <v>19500</v>
      </c>
      <c r="P723" s="355">
        <v>19500</v>
      </c>
    </row>
    <row r="724" ht="15.75" spans="1:16">
      <c r="A724" s="115">
        <v>2</v>
      </c>
      <c r="B724" s="327" t="s">
        <v>695</v>
      </c>
      <c r="C724" s="115" t="s">
        <v>696</v>
      </c>
      <c r="D724" s="115">
        <v>137400</v>
      </c>
      <c r="E724" s="115">
        <v>549600</v>
      </c>
      <c r="F724" s="115"/>
      <c r="G724" s="308" t="s">
        <v>694</v>
      </c>
      <c r="H724" s="308" t="s">
        <v>20</v>
      </c>
      <c r="I724" s="115"/>
      <c r="J724" s="115"/>
      <c r="K724" s="115"/>
      <c r="L724" s="333" t="s">
        <v>38</v>
      </c>
      <c r="M724" s="355">
        <v>137400</v>
      </c>
      <c r="N724" s="355">
        <v>137400</v>
      </c>
      <c r="O724" s="355">
        <v>137400</v>
      </c>
      <c r="P724" s="355">
        <v>137400</v>
      </c>
    </row>
    <row r="725" ht="15.75" spans="1:16">
      <c r="A725" s="115">
        <v>3</v>
      </c>
      <c r="B725" s="327" t="s">
        <v>697</v>
      </c>
      <c r="C725" s="115" t="s">
        <v>696</v>
      </c>
      <c r="D725" s="319">
        <v>50000</v>
      </c>
      <c r="E725" s="115">
        <v>200000</v>
      </c>
      <c r="F725" s="115"/>
      <c r="G725" s="308" t="s">
        <v>694</v>
      </c>
      <c r="H725" s="308" t="s">
        <v>20</v>
      </c>
      <c r="I725" s="115"/>
      <c r="J725" s="115"/>
      <c r="K725" s="115"/>
      <c r="L725" s="333" t="s">
        <v>38</v>
      </c>
      <c r="M725" s="355">
        <v>50000</v>
      </c>
      <c r="N725" s="355">
        <v>50000</v>
      </c>
      <c r="O725" s="355">
        <v>50000</v>
      </c>
      <c r="P725" s="355">
        <v>50000</v>
      </c>
    </row>
    <row r="726" ht="15.75" spans="1:16">
      <c r="A726" s="115">
        <v>4</v>
      </c>
      <c r="B726" s="327" t="s">
        <v>698</v>
      </c>
      <c r="C726" s="307" t="s">
        <v>693</v>
      </c>
      <c r="D726" s="115">
        <v>14000</v>
      </c>
      <c r="E726" s="115">
        <v>168000</v>
      </c>
      <c r="F726" s="115"/>
      <c r="G726" s="308" t="s">
        <v>694</v>
      </c>
      <c r="H726" s="308" t="s">
        <v>20</v>
      </c>
      <c r="I726" s="115"/>
      <c r="J726" s="115"/>
      <c r="K726" s="115"/>
      <c r="L726" s="333" t="s">
        <v>38</v>
      </c>
      <c r="M726" s="355">
        <v>42000</v>
      </c>
      <c r="N726" s="355">
        <v>42000</v>
      </c>
      <c r="O726" s="355">
        <v>42000</v>
      </c>
      <c r="P726" s="355">
        <v>42000</v>
      </c>
    </row>
    <row r="727" ht="15.75" spans="1:16">
      <c r="A727" s="115">
        <v>5</v>
      </c>
      <c r="B727" s="327" t="s">
        <v>699</v>
      </c>
      <c r="C727" s="115" t="s">
        <v>700</v>
      </c>
      <c r="D727" s="115">
        <v>300000</v>
      </c>
      <c r="E727" s="115">
        <v>300000</v>
      </c>
      <c r="F727" s="115"/>
      <c r="G727" s="308" t="s">
        <v>694</v>
      </c>
      <c r="H727" s="308" t="s">
        <v>20</v>
      </c>
      <c r="I727" s="115"/>
      <c r="J727" s="115"/>
      <c r="K727" s="115"/>
      <c r="L727" s="333" t="s">
        <v>38</v>
      </c>
      <c r="M727" s="355">
        <v>150000</v>
      </c>
      <c r="N727" s="355">
        <v>50000</v>
      </c>
      <c r="O727" s="355">
        <v>50000</v>
      </c>
      <c r="P727" s="355">
        <v>50000</v>
      </c>
    </row>
    <row r="728" ht="15.75" spans="1:16">
      <c r="A728" s="115">
        <v>6</v>
      </c>
      <c r="B728" s="327" t="s">
        <v>701</v>
      </c>
      <c r="C728" s="115" t="s">
        <v>700</v>
      </c>
      <c r="D728" s="115">
        <v>480000</v>
      </c>
      <c r="E728" s="313">
        <v>480000</v>
      </c>
      <c r="F728" s="115"/>
      <c r="G728" s="308" t="s">
        <v>694</v>
      </c>
      <c r="H728" s="308" t="s">
        <v>20</v>
      </c>
      <c r="I728" s="115"/>
      <c r="J728" s="115"/>
      <c r="K728" s="115"/>
      <c r="L728" s="333" t="s">
        <v>38</v>
      </c>
      <c r="M728" s="355">
        <v>300000</v>
      </c>
      <c r="N728" s="355">
        <v>60000</v>
      </c>
      <c r="O728" s="355">
        <v>60000</v>
      </c>
      <c r="P728" s="355">
        <v>60000</v>
      </c>
    </row>
    <row r="729" ht="15.75" spans="1:16">
      <c r="A729" s="115">
        <v>7</v>
      </c>
      <c r="B729" s="327" t="s">
        <v>702</v>
      </c>
      <c r="C729" s="115" t="s">
        <v>700</v>
      </c>
      <c r="D729" s="115">
        <v>38000</v>
      </c>
      <c r="E729" s="313">
        <v>456000</v>
      </c>
      <c r="F729" s="115"/>
      <c r="G729" s="308" t="s">
        <v>694</v>
      </c>
      <c r="H729" s="308" t="s">
        <v>20</v>
      </c>
      <c r="I729" s="115"/>
      <c r="J729" s="115"/>
      <c r="K729" s="115"/>
      <c r="L729" s="333" t="s">
        <v>38</v>
      </c>
      <c r="M729" s="355">
        <v>114000</v>
      </c>
      <c r="N729" s="355">
        <v>114000</v>
      </c>
      <c r="O729" s="355">
        <v>114000</v>
      </c>
      <c r="P729" s="355">
        <v>114000</v>
      </c>
    </row>
    <row r="730" ht="15.75" spans="1:16">
      <c r="A730" s="306">
        <v>8</v>
      </c>
      <c r="B730" s="348" t="s">
        <v>703</v>
      </c>
      <c r="C730" s="340">
        <v>12</v>
      </c>
      <c r="D730" s="341">
        <v>120000</v>
      </c>
      <c r="E730" s="341">
        <f>C730*D730</f>
        <v>1440000</v>
      </c>
      <c r="F730" s="318" t="s">
        <v>104</v>
      </c>
      <c r="G730" s="308" t="s">
        <v>19</v>
      </c>
      <c r="H730" s="308" t="s">
        <v>157</v>
      </c>
      <c r="I730" s="152" t="s">
        <v>21</v>
      </c>
      <c r="J730" s="152" t="s">
        <v>21</v>
      </c>
      <c r="K730" s="152" t="s">
        <v>21</v>
      </c>
      <c r="L730" s="152" t="s">
        <v>21</v>
      </c>
      <c r="M730" s="331">
        <v>360000</v>
      </c>
      <c r="N730" s="331">
        <v>360000</v>
      </c>
      <c r="O730" s="332">
        <v>360000</v>
      </c>
      <c r="P730" s="115">
        <v>360000</v>
      </c>
    </row>
    <row r="731" ht="15.75" spans="1:16">
      <c r="A731" s="306"/>
      <c r="B731" s="306" t="s">
        <v>22</v>
      </c>
      <c r="C731" s="402"/>
      <c r="D731" s="403"/>
      <c r="E731" s="403">
        <f>SUM(E723:E730)</f>
        <v>3671600</v>
      </c>
      <c r="F731" s="318"/>
      <c r="G731" s="308"/>
      <c r="H731" s="308"/>
      <c r="I731" s="152"/>
      <c r="J731" s="152"/>
      <c r="K731" s="152"/>
      <c r="L731" s="152"/>
      <c r="M731" s="331"/>
      <c r="N731" s="331"/>
      <c r="O731" s="332"/>
      <c r="P731" s="115"/>
    </row>
    <row r="732" ht="15.75" spans="2:16">
      <c r="B732" s="115"/>
      <c r="C732" s="115"/>
      <c r="D732" s="115"/>
      <c r="E732" s="115"/>
      <c r="F732" s="115"/>
      <c r="G732" s="308"/>
      <c r="H732" s="308"/>
      <c r="I732" s="308"/>
      <c r="J732" s="152"/>
      <c r="K732" s="152"/>
      <c r="L732" s="152"/>
      <c r="M732" s="152"/>
      <c r="N732" s="115"/>
      <c r="O732" s="115"/>
      <c r="P732" s="115"/>
    </row>
    <row r="733" ht="15.75" spans="1:16">
      <c r="A733" s="413">
        <v>41</v>
      </c>
      <c r="B733" s="306" t="s">
        <v>704</v>
      </c>
      <c r="C733" s="115"/>
      <c r="D733" s="115"/>
      <c r="E733" s="115"/>
      <c r="F733" s="308"/>
      <c r="G733" s="349"/>
      <c r="H733" s="350"/>
      <c r="I733" s="152"/>
      <c r="J733" s="152"/>
      <c r="K733" s="152"/>
      <c r="L733" s="152"/>
      <c r="M733" s="115"/>
      <c r="N733" s="115"/>
      <c r="O733" s="115"/>
      <c r="P733" s="115"/>
    </row>
    <row r="734" ht="30" spans="2:16">
      <c r="B734" s="362" t="s">
        <v>705</v>
      </c>
      <c r="C734" s="350"/>
      <c r="D734" s="346"/>
      <c r="E734" s="311"/>
      <c r="F734" s="348"/>
      <c r="G734" s="349"/>
      <c r="H734" s="346"/>
      <c r="I734" s="331"/>
      <c r="J734" s="331"/>
      <c r="K734" s="331"/>
      <c r="L734" s="331"/>
      <c r="M734" s="328"/>
      <c r="N734" s="328"/>
      <c r="O734" s="328"/>
      <c r="P734" s="328"/>
    </row>
    <row r="735" ht="30" spans="2:16">
      <c r="B735" s="346" t="s">
        <v>706</v>
      </c>
      <c r="C735" s="350">
        <v>1</v>
      </c>
      <c r="D735" s="361">
        <v>60000</v>
      </c>
      <c r="E735" s="314">
        <f t="shared" ref="E735:E740" si="18">C735*D735</f>
        <v>60000</v>
      </c>
      <c r="F735" s="348" t="s">
        <v>126</v>
      </c>
      <c r="G735" s="349" t="s">
        <v>19</v>
      </c>
      <c r="H735" s="350" t="s">
        <v>707</v>
      </c>
      <c r="I735" s="331"/>
      <c r="J735" s="331"/>
      <c r="K735" s="331"/>
      <c r="L735" s="152" t="s">
        <v>21</v>
      </c>
      <c r="M735" s="328">
        <v>60000</v>
      </c>
      <c r="N735" s="328"/>
      <c r="O735" s="328"/>
      <c r="P735" s="328"/>
    </row>
    <row r="736" ht="30" spans="2:16">
      <c r="B736" s="346" t="s">
        <v>708</v>
      </c>
      <c r="C736" s="350">
        <v>1</v>
      </c>
      <c r="D736" s="361">
        <v>1600000</v>
      </c>
      <c r="E736" s="311">
        <f t="shared" si="18"/>
        <v>1600000</v>
      </c>
      <c r="F736" s="348" t="s">
        <v>126</v>
      </c>
      <c r="G736" s="349" t="s">
        <v>19</v>
      </c>
      <c r="H736" s="350" t="s">
        <v>707</v>
      </c>
      <c r="I736" s="331"/>
      <c r="J736" s="331"/>
      <c r="K736" s="331"/>
      <c r="L736" s="152" t="s">
        <v>21</v>
      </c>
      <c r="M736" s="328"/>
      <c r="N736" s="328">
        <v>1600000</v>
      </c>
      <c r="O736" s="328"/>
      <c r="P736" s="328"/>
    </row>
    <row r="737" ht="30" spans="2:16">
      <c r="B737" s="346" t="s">
        <v>709</v>
      </c>
      <c r="C737" s="350">
        <v>2</v>
      </c>
      <c r="D737" s="361">
        <v>7500000</v>
      </c>
      <c r="E737" s="310">
        <f t="shared" si="18"/>
        <v>15000000</v>
      </c>
      <c r="F737" s="348" t="s">
        <v>126</v>
      </c>
      <c r="G737" s="349" t="s">
        <v>19</v>
      </c>
      <c r="H737" s="350" t="s">
        <v>707</v>
      </c>
      <c r="I737" s="331"/>
      <c r="J737" s="331"/>
      <c r="K737" s="331"/>
      <c r="L737" s="152" t="s">
        <v>21</v>
      </c>
      <c r="M737" s="328">
        <v>7500000</v>
      </c>
      <c r="N737" s="328"/>
      <c r="O737" s="328">
        <v>7500000</v>
      </c>
      <c r="P737" s="328"/>
    </row>
    <row r="738" ht="30" spans="2:16">
      <c r="B738" s="346" t="s">
        <v>710</v>
      </c>
      <c r="C738" s="350">
        <v>1</v>
      </c>
      <c r="D738" s="361">
        <v>6500000</v>
      </c>
      <c r="E738" s="314">
        <f t="shared" si="18"/>
        <v>6500000</v>
      </c>
      <c r="F738" s="348" t="s">
        <v>126</v>
      </c>
      <c r="G738" s="349" t="s">
        <v>19</v>
      </c>
      <c r="H738" s="350" t="s">
        <v>707</v>
      </c>
      <c r="I738" s="331"/>
      <c r="J738" s="331"/>
      <c r="K738" s="331"/>
      <c r="L738" s="152" t="s">
        <v>21</v>
      </c>
      <c r="M738" s="328"/>
      <c r="N738" s="328"/>
      <c r="O738" s="328"/>
      <c r="P738" s="328"/>
    </row>
    <row r="739" ht="30" spans="2:16">
      <c r="B739" s="346" t="s">
        <v>711</v>
      </c>
      <c r="C739" s="350">
        <v>1</v>
      </c>
      <c r="D739" s="361">
        <v>6000000</v>
      </c>
      <c r="E739" s="311">
        <f t="shared" si="18"/>
        <v>6000000</v>
      </c>
      <c r="F739" s="348" t="s">
        <v>126</v>
      </c>
      <c r="G739" s="349" t="s">
        <v>19</v>
      </c>
      <c r="H739" s="350" t="s">
        <v>707</v>
      </c>
      <c r="I739" s="331"/>
      <c r="J739" s="331"/>
      <c r="K739" s="331"/>
      <c r="L739" s="152" t="s">
        <v>21</v>
      </c>
      <c r="M739" s="328"/>
      <c r="N739" s="328">
        <v>4500000</v>
      </c>
      <c r="O739" s="328"/>
      <c r="P739" s="328"/>
    </row>
    <row r="740" ht="30" spans="2:16">
      <c r="B740" s="346" t="s">
        <v>712</v>
      </c>
      <c r="C740" s="350">
        <v>1</v>
      </c>
      <c r="D740" s="361">
        <v>3000000</v>
      </c>
      <c r="E740" s="311">
        <f t="shared" si="18"/>
        <v>3000000</v>
      </c>
      <c r="F740" s="348" t="s">
        <v>126</v>
      </c>
      <c r="G740" s="349" t="s">
        <v>19</v>
      </c>
      <c r="H740" s="350" t="s">
        <v>707</v>
      </c>
      <c r="I740" s="331"/>
      <c r="J740" s="331"/>
      <c r="K740" s="331"/>
      <c r="L740" s="152" t="s">
        <v>21</v>
      </c>
      <c r="M740" s="328">
        <v>3000000</v>
      </c>
      <c r="N740" s="328"/>
      <c r="O740" s="328"/>
      <c r="P740" s="328"/>
    </row>
    <row r="741" ht="15.75" spans="2:16">
      <c r="B741" s="344" t="s">
        <v>22</v>
      </c>
      <c r="C741" s="414"/>
      <c r="D741" s="321"/>
      <c r="E741" s="415">
        <f>SUM(E735:E740)</f>
        <v>32160000</v>
      </c>
      <c r="F741" s="331"/>
      <c r="G741" s="318"/>
      <c r="H741" s="416"/>
      <c r="I741" s="331"/>
      <c r="J741" s="331"/>
      <c r="K741" s="331"/>
      <c r="L741" s="331"/>
      <c r="M741" s="328"/>
      <c r="N741" s="328"/>
      <c r="O741" s="328"/>
      <c r="P741" s="328"/>
    </row>
    <row r="742" ht="15.75" spans="2:16">
      <c r="B742" s="321"/>
      <c r="C742" s="414"/>
      <c r="D742" s="321"/>
      <c r="E742" s="115"/>
      <c r="F742" s="331"/>
      <c r="G742" s="318"/>
      <c r="H742" s="416"/>
      <c r="I742" s="331"/>
      <c r="J742" s="331"/>
      <c r="K742" s="331"/>
      <c r="L742" s="331"/>
      <c r="M742" s="331"/>
      <c r="N742" s="331"/>
      <c r="O742" s="331"/>
      <c r="P742" s="332"/>
    </row>
    <row r="743" spans="2:2">
      <c r="B743" s="235" t="s">
        <v>713</v>
      </c>
    </row>
    <row r="744" ht="30" spans="2:16">
      <c r="B744" s="307" t="s">
        <v>714</v>
      </c>
      <c r="C744" s="115"/>
      <c r="D744" s="115"/>
      <c r="E744" s="417">
        <v>400000</v>
      </c>
      <c r="F744" s="308" t="s">
        <v>18</v>
      </c>
      <c r="G744" s="308" t="s">
        <v>19</v>
      </c>
      <c r="H744" s="308" t="s">
        <v>707</v>
      </c>
      <c r="I744" s="152" t="s">
        <v>21</v>
      </c>
      <c r="J744" s="152" t="s">
        <v>21</v>
      </c>
      <c r="K744" s="152" t="s">
        <v>21</v>
      </c>
      <c r="L744" s="152" t="s">
        <v>21</v>
      </c>
      <c r="M744" s="115"/>
      <c r="N744" s="115"/>
      <c r="O744" s="115"/>
      <c r="P744" s="115"/>
    </row>
    <row r="745" ht="30" spans="2:16">
      <c r="B745" s="307" t="s">
        <v>715</v>
      </c>
      <c r="C745" s="115"/>
      <c r="D745" s="115"/>
      <c r="E745" s="417">
        <v>30000000</v>
      </c>
      <c r="F745" s="308" t="s">
        <v>18</v>
      </c>
      <c r="G745" s="308" t="s">
        <v>716</v>
      </c>
      <c r="H745" s="308" t="s">
        <v>707</v>
      </c>
      <c r="I745" s="152" t="s">
        <v>21</v>
      </c>
      <c r="J745" s="152" t="s">
        <v>21</v>
      </c>
      <c r="K745" s="152" t="s">
        <v>21</v>
      </c>
      <c r="L745" s="152" t="s">
        <v>21</v>
      </c>
      <c r="M745" s="115"/>
      <c r="N745" s="115"/>
      <c r="O745" s="115"/>
      <c r="P745" s="115"/>
    </row>
    <row r="746" spans="2:16">
      <c r="B746" s="307" t="s">
        <v>717</v>
      </c>
      <c r="C746" s="115"/>
      <c r="D746" s="115"/>
      <c r="E746" s="417">
        <v>3000000</v>
      </c>
      <c r="F746" s="308" t="s">
        <v>18</v>
      </c>
      <c r="G746" s="308" t="s">
        <v>716</v>
      </c>
      <c r="H746" s="308" t="s">
        <v>707</v>
      </c>
      <c r="I746" s="115"/>
      <c r="J746" s="115"/>
      <c r="K746" s="115"/>
      <c r="L746" s="115"/>
      <c r="M746" s="115"/>
      <c r="N746" s="115"/>
      <c r="O746" s="115"/>
      <c r="P746" s="115"/>
    </row>
    <row r="747" ht="15.75" spans="2:16">
      <c r="B747" s="418" t="s">
        <v>718</v>
      </c>
      <c r="C747" s="115">
        <v>1</v>
      </c>
      <c r="D747" s="115">
        <v>1000000</v>
      </c>
      <c r="E747" s="417">
        <f>C747*D747</f>
        <v>1000000</v>
      </c>
      <c r="F747" s="308" t="s">
        <v>18</v>
      </c>
      <c r="G747" s="308" t="s">
        <v>716</v>
      </c>
      <c r="H747" s="308" t="s">
        <v>707</v>
      </c>
      <c r="I747" s="152" t="s">
        <v>21</v>
      </c>
      <c r="J747" s="152" t="s">
        <v>21</v>
      </c>
      <c r="K747" s="152" t="s">
        <v>21</v>
      </c>
      <c r="L747" s="152" t="s">
        <v>21</v>
      </c>
      <c r="M747" s="115">
        <v>1000000</v>
      </c>
      <c r="N747" s="115"/>
      <c r="O747" s="115"/>
      <c r="P747" s="115"/>
    </row>
    <row r="748" spans="2:16">
      <c r="B748" s="307" t="s">
        <v>719</v>
      </c>
      <c r="C748" s="115"/>
      <c r="D748" s="115"/>
      <c r="E748" s="417">
        <v>1000000</v>
      </c>
      <c r="F748" s="308" t="s">
        <v>18</v>
      </c>
      <c r="G748" s="308" t="s">
        <v>716</v>
      </c>
      <c r="H748" s="308" t="s">
        <v>707</v>
      </c>
      <c r="I748" s="115"/>
      <c r="J748" s="115"/>
      <c r="K748" s="115"/>
      <c r="L748" s="115"/>
      <c r="M748" s="115"/>
      <c r="N748" s="115"/>
      <c r="O748" s="115"/>
      <c r="P748" s="115"/>
    </row>
    <row r="749" spans="2:16">
      <c r="B749" s="115" t="s">
        <v>720</v>
      </c>
      <c r="C749" s="115"/>
      <c r="D749" s="115"/>
      <c r="E749" s="417">
        <f>C749*D749</f>
        <v>0</v>
      </c>
      <c r="F749" s="308" t="s">
        <v>18</v>
      </c>
      <c r="G749" s="308" t="s">
        <v>716</v>
      </c>
      <c r="H749" s="308" t="s">
        <v>707</v>
      </c>
      <c r="I749" s="115"/>
      <c r="J749" s="115"/>
      <c r="K749" s="115"/>
      <c r="L749" s="115"/>
      <c r="M749" s="115"/>
      <c r="N749" s="115"/>
      <c r="O749" s="115"/>
      <c r="P749" s="115"/>
    </row>
    <row r="750" ht="15.75" spans="2:16">
      <c r="B750" s="418" t="s">
        <v>721</v>
      </c>
      <c r="C750" s="115">
        <v>20</v>
      </c>
      <c r="D750" s="115">
        <v>6000</v>
      </c>
      <c r="E750" s="417">
        <v>120000</v>
      </c>
      <c r="F750" s="308" t="s">
        <v>18</v>
      </c>
      <c r="G750" s="308" t="s">
        <v>19</v>
      </c>
      <c r="H750" s="308" t="s">
        <v>707</v>
      </c>
      <c r="I750" s="115"/>
      <c r="J750" s="115"/>
      <c r="K750" s="115"/>
      <c r="L750" s="152" t="s">
        <v>21</v>
      </c>
      <c r="M750" s="115">
        <v>200000</v>
      </c>
      <c r="N750" s="115"/>
      <c r="O750" s="115"/>
      <c r="P750" s="115"/>
    </row>
    <row r="751" ht="15.75" spans="2:16">
      <c r="B751" s="419" t="s">
        <v>22</v>
      </c>
      <c r="C751" s="115"/>
      <c r="D751" s="115"/>
      <c r="E751" s="420">
        <f>SUM(E744:E750)</f>
        <v>35520000</v>
      </c>
      <c r="F751" s="308"/>
      <c r="G751" s="308"/>
      <c r="H751" s="308"/>
      <c r="I751" s="152"/>
      <c r="J751" s="152"/>
      <c r="K751" s="152"/>
      <c r="L751" s="152"/>
      <c r="M751" s="115"/>
      <c r="N751" s="115"/>
      <c r="O751" s="115"/>
      <c r="P751" s="115"/>
    </row>
    <row r="752" ht="15.75" spans="2:16">
      <c r="B752" s="307"/>
      <c r="C752" s="115"/>
      <c r="D752" s="115"/>
      <c r="E752" s="417"/>
      <c r="F752" s="308"/>
      <c r="G752" s="308"/>
      <c r="H752" s="308"/>
      <c r="I752" s="152"/>
      <c r="J752" s="152"/>
      <c r="K752" s="152"/>
      <c r="L752" s="152"/>
      <c r="M752" s="115"/>
      <c r="N752" s="115"/>
      <c r="O752" s="115"/>
      <c r="P752" s="115"/>
    </row>
    <row r="753" spans="2:16">
      <c r="B753" s="419" t="s">
        <v>722</v>
      </c>
      <c r="C753" s="115"/>
      <c r="D753" s="115"/>
      <c r="E753" s="417"/>
      <c r="F753" s="308"/>
      <c r="G753" s="308"/>
      <c r="H753" s="308"/>
      <c r="I753" s="115"/>
      <c r="J753" s="115"/>
      <c r="K753" s="115"/>
      <c r="L753" s="115"/>
      <c r="M753" s="115"/>
      <c r="N753" s="115"/>
      <c r="O753" s="115"/>
      <c r="P753" s="115"/>
    </row>
    <row r="754" ht="15.75" spans="2:16">
      <c r="B754" s="418" t="s">
        <v>723</v>
      </c>
      <c r="C754" s="115"/>
      <c r="D754" s="115"/>
      <c r="E754" s="417">
        <v>136000000</v>
      </c>
      <c r="F754" s="308" t="s">
        <v>724</v>
      </c>
      <c r="G754" s="308" t="s">
        <v>716</v>
      </c>
      <c r="H754" s="308" t="s">
        <v>707</v>
      </c>
      <c r="I754" s="152"/>
      <c r="J754" s="152"/>
      <c r="K754" s="152"/>
      <c r="L754" s="152" t="s">
        <v>21</v>
      </c>
      <c r="M754" s="115">
        <v>121000000</v>
      </c>
      <c r="N754" s="115"/>
      <c r="O754" s="115"/>
      <c r="P754" s="115"/>
    </row>
    <row r="755" ht="15.75" spans="2:16">
      <c r="B755" s="307" t="s">
        <v>725</v>
      </c>
      <c r="C755" s="115"/>
      <c r="D755" s="115"/>
      <c r="E755" s="417">
        <v>650000000</v>
      </c>
      <c r="F755" s="308" t="s">
        <v>724</v>
      </c>
      <c r="G755" s="308" t="s">
        <v>716</v>
      </c>
      <c r="H755" s="308" t="s">
        <v>707</v>
      </c>
      <c r="I755" s="115"/>
      <c r="J755" s="115"/>
      <c r="K755" s="115"/>
      <c r="L755" s="152" t="s">
        <v>21</v>
      </c>
      <c r="M755" s="115">
        <v>650000000</v>
      </c>
      <c r="N755" s="115"/>
      <c r="O755" s="115"/>
      <c r="P755" s="115"/>
    </row>
    <row r="756" ht="15.75" spans="2:16">
      <c r="B756" s="115" t="s">
        <v>726</v>
      </c>
      <c r="C756" s="115"/>
      <c r="D756" s="115"/>
      <c r="E756" s="417"/>
      <c r="F756" s="308" t="s">
        <v>724</v>
      </c>
      <c r="G756" s="308" t="s">
        <v>716</v>
      </c>
      <c r="H756" s="308" t="s">
        <v>707</v>
      </c>
      <c r="I756" s="115"/>
      <c r="J756" s="115"/>
      <c r="K756" s="115"/>
      <c r="L756" s="152" t="s">
        <v>21</v>
      </c>
      <c r="M756" s="115"/>
      <c r="N756" s="115"/>
      <c r="O756" s="115"/>
      <c r="P756" s="115"/>
    </row>
    <row r="757" ht="15.75" spans="2:16">
      <c r="B757" s="418"/>
      <c r="C757" s="115"/>
      <c r="D757" s="115"/>
      <c r="E757" s="319"/>
      <c r="F757" s="308"/>
      <c r="G757" s="308"/>
      <c r="H757" s="308"/>
      <c r="I757" s="115"/>
      <c r="J757" s="115"/>
      <c r="K757" s="115"/>
      <c r="L757" s="152"/>
      <c r="M757" s="115"/>
      <c r="N757" s="115"/>
      <c r="O757" s="115"/>
      <c r="P757" s="115"/>
    </row>
    <row r="758" ht="15.75" spans="2:16">
      <c r="B758" s="419" t="s">
        <v>22</v>
      </c>
      <c r="C758" s="115"/>
      <c r="D758" s="115"/>
      <c r="E758" s="421">
        <f>SUM(E754:E757)</f>
        <v>786000000</v>
      </c>
      <c r="F758" s="308"/>
      <c r="G758" s="308"/>
      <c r="H758" s="308"/>
      <c r="I758" s="152"/>
      <c r="J758" s="152"/>
      <c r="K758" s="152"/>
      <c r="L758" s="152"/>
      <c r="M758" s="115"/>
      <c r="N758" s="115"/>
      <c r="O758" s="115"/>
      <c r="P758" s="115"/>
    </row>
    <row r="759" ht="15.75" spans="2:16">
      <c r="B759" s="307" t="s">
        <v>727</v>
      </c>
      <c r="C759" s="115"/>
      <c r="D759" s="115"/>
      <c r="E759" s="319"/>
      <c r="F759" s="308"/>
      <c r="G759" s="308"/>
      <c r="H759" s="308"/>
      <c r="I759" s="152"/>
      <c r="J759" s="152"/>
      <c r="K759" s="152"/>
      <c r="L759" s="152"/>
      <c r="M759" s="115"/>
      <c r="N759" s="115"/>
      <c r="O759" s="115"/>
      <c r="P759" s="115"/>
    </row>
    <row r="760" ht="30" spans="2:16">
      <c r="B760" s="315" t="s">
        <v>728</v>
      </c>
      <c r="C760" s="315"/>
      <c r="D760" s="317"/>
      <c r="E760" s="385">
        <v>6000000</v>
      </c>
      <c r="F760" s="318" t="s">
        <v>35</v>
      </c>
      <c r="G760" s="308" t="s">
        <v>19</v>
      </c>
      <c r="H760" s="308" t="s">
        <v>729</v>
      </c>
      <c r="I760" s="152" t="s">
        <v>21</v>
      </c>
      <c r="J760" s="152" t="s">
        <v>21</v>
      </c>
      <c r="K760" s="152" t="s">
        <v>21</v>
      </c>
      <c r="L760" s="152" t="s">
        <v>21</v>
      </c>
      <c r="M760" s="328">
        <v>6000000</v>
      </c>
      <c r="N760" s="328"/>
      <c r="O760" s="328"/>
      <c r="P760" s="328"/>
    </row>
    <row r="761" ht="15.75" spans="2:16">
      <c r="B761" s="422" t="s">
        <v>730</v>
      </c>
      <c r="C761" s="115"/>
      <c r="D761" s="115"/>
      <c r="E761" s="115"/>
      <c r="F761" s="308"/>
      <c r="G761" s="308"/>
      <c r="H761" s="308"/>
      <c r="I761" s="152"/>
      <c r="J761" s="152"/>
      <c r="K761" s="152"/>
      <c r="L761" s="152"/>
      <c r="M761" s="115"/>
      <c r="N761" s="115"/>
      <c r="O761" s="115"/>
      <c r="P761" s="115"/>
    </row>
    <row r="762" ht="15.75" spans="2:16">
      <c r="B762" s="115" t="s">
        <v>731</v>
      </c>
      <c r="C762" s="115">
        <v>1</v>
      </c>
      <c r="D762" s="115"/>
      <c r="E762" s="382">
        <v>500000</v>
      </c>
      <c r="F762" s="115"/>
      <c r="G762" s="320" t="s">
        <v>19</v>
      </c>
      <c r="H762" s="115"/>
      <c r="I762" s="333" t="s">
        <v>38</v>
      </c>
      <c r="J762" s="333" t="s">
        <v>38</v>
      </c>
      <c r="K762" s="333" t="s">
        <v>38</v>
      </c>
      <c r="L762" s="333" t="s">
        <v>38</v>
      </c>
      <c r="M762" s="115"/>
      <c r="N762" s="115">
        <v>500000</v>
      </c>
      <c r="O762" s="115"/>
      <c r="P762" s="115"/>
    </row>
    <row r="763" ht="15.75" spans="2:16">
      <c r="B763" s="115" t="s">
        <v>732</v>
      </c>
      <c r="C763" s="115"/>
      <c r="D763" s="115"/>
      <c r="E763" s="115"/>
      <c r="F763" s="115"/>
      <c r="G763" s="320" t="s">
        <v>19</v>
      </c>
      <c r="H763" s="115"/>
      <c r="I763" s="333" t="s">
        <v>38</v>
      </c>
      <c r="J763" s="333" t="s">
        <v>38</v>
      </c>
      <c r="K763" s="333" t="s">
        <v>38</v>
      </c>
      <c r="L763" s="333" t="s">
        <v>38</v>
      </c>
      <c r="M763" s="115"/>
      <c r="N763" s="115"/>
      <c r="O763" s="115"/>
      <c r="P763" s="115"/>
    </row>
    <row r="764" ht="15.75" spans="2:16">
      <c r="B764" s="115" t="s">
        <v>733</v>
      </c>
      <c r="C764" s="115"/>
      <c r="D764" s="115"/>
      <c r="E764" s="115"/>
      <c r="F764" s="115"/>
      <c r="G764" s="320" t="s">
        <v>19</v>
      </c>
      <c r="H764" s="115"/>
      <c r="I764" s="333" t="s">
        <v>38</v>
      </c>
      <c r="J764" s="333" t="s">
        <v>38</v>
      </c>
      <c r="K764" s="333" t="s">
        <v>38</v>
      </c>
      <c r="L764" s="333" t="s">
        <v>38</v>
      </c>
      <c r="M764" s="115"/>
      <c r="N764" s="115"/>
      <c r="O764" s="115"/>
      <c r="P764" s="115"/>
    </row>
    <row r="765" ht="15.75" spans="2:16">
      <c r="B765" s="307" t="s">
        <v>22</v>
      </c>
      <c r="C765" s="115"/>
      <c r="D765" s="115"/>
      <c r="E765" s="310">
        <v>860180000</v>
      </c>
      <c r="F765" s="308"/>
      <c r="G765" s="308"/>
      <c r="H765" s="308"/>
      <c r="I765" s="152"/>
      <c r="J765" s="152"/>
      <c r="K765" s="152"/>
      <c r="L765" s="152"/>
      <c r="M765" s="115"/>
      <c r="N765" s="115"/>
      <c r="O765" s="115"/>
      <c r="P765" s="115"/>
    </row>
    <row r="768" spans="2:4">
      <c r="B768" t="s">
        <v>734</v>
      </c>
      <c r="D768" t="s">
        <v>735</v>
      </c>
    </row>
    <row r="769" spans="1:4">
      <c r="A769">
        <v>1</v>
      </c>
      <c r="B769" t="s">
        <v>736</v>
      </c>
      <c r="D769">
        <v>200000</v>
      </c>
    </row>
    <row r="770" spans="1:4">
      <c r="A770">
        <v>2</v>
      </c>
      <c r="B770" t="s">
        <v>737</v>
      </c>
      <c r="D770">
        <v>639000</v>
      </c>
    </row>
    <row r="771" spans="1:4">
      <c r="A771">
        <v>3</v>
      </c>
      <c r="B771" t="s">
        <v>738</v>
      </c>
      <c r="D771">
        <v>486700</v>
      </c>
    </row>
    <row r="772" spans="1:4">
      <c r="A772">
        <v>4</v>
      </c>
      <c r="B772" t="s">
        <v>739</v>
      </c>
      <c r="D772">
        <v>3671600</v>
      </c>
    </row>
    <row r="773" spans="1:4">
      <c r="A773">
        <v>5</v>
      </c>
      <c r="B773" t="s">
        <v>740</v>
      </c>
      <c r="D773">
        <v>453950</v>
      </c>
    </row>
    <row r="774" spans="1:4">
      <c r="A774">
        <v>6</v>
      </c>
      <c r="B774" t="s">
        <v>95</v>
      </c>
      <c r="D774">
        <v>2498950</v>
      </c>
    </row>
    <row r="775" spans="1:4">
      <c r="A775">
        <v>7</v>
      </c>
      <c r="B775" t="s">
        <v>741</v>
      </c>
      <c r="D775">
        <v>5052500</v>
      </c>
    </row>
    <row r="776" spans="1:4">
      <c r="A776">
        <v>8</v>
      </c>
      <c r="B776" t="s">
        <v>742</v>
      </c>
      <c r="D776">
        <v>1417770</v>
      </c>
    </row>
    <row r="777" spans="1:4">
      <c r="A777">
        <v>9</v>
      </c>
      <c r="B777" t="s">
        <v>743</v>
      </c>
      <c r="D777">
        <v>598400</v>
      </c>
    </row>
    <row r="778" spans="1:4">
      <c r="A778">
        <v>10</v>
      </c>
      <c r="B778" t="s">
        <v>744</v>
      </c>
      <c r="D778">
        <v>400238</v>
      </c>
    </row>
    <row r="779" spans="1:4">
      <c r="A779">
        <v>11</v>
      </c>
      <c r="B779" t="s">
        <v>745</v>
      </c>
      <c r="D779">
        <v>350000</v>
      </c>
    </row>
    <row r="780" spans="1:4">
      <c r="A780">
        <v>12</v>
      </c>
      <c r="B780" t="s">
        <v>746</v>
      </c>
      <c r="D780">
        <v>465390</v>
      </c>
    </row>
    <row r="781" spans="1:4">
      <c r="A781">
        <v>13</v>
      </c>
      <c r="B781" t="s">
        <v>747</v>
      </c>
      <c r="D781">
        <v>300000</v>
      </c>
    </row>
    <row r="782" spans="1:4">
      <c r="A782">
        <v>14</v>
      </c>
      <c r="B782" t="s">
        <v>748</v>
      </c>
      <c r="D782">
        <v>822300</v>
      </c>
    </row>
    <row r="783" spans="1:4">
      <c r="A783">
        <v>15</v>
      </c>
      <c r="B783" t="s">
        <v>749</v>
      </c>
      <c r="D783">
        <v>664000</v>
      </c>
    </row>
    <row r="784" spans="1:4">
      <c r="A784">
        <v>16</v>
      </c>
      <c r="B784" t="s">
        <v>750</v>
      </c>
      <c r="D784">
        <v>27000</v>
      </c>
    </row>
    <row r="785" spans="1:4">
      <c r="A785">
        <v>17</v>
      </c>
      <c r="B785" t="s">
        <v>751</v>
      </c>
      <c r="D785">
        <v>771900</v>
      </c>
    </row>
    <row r="786" spans="1:4">
      <c r="A786">
        <v>18</v>
      </c>
      <c r="B786" t="s">
        <v>752</v>
      </c>
      <c r="D786">
        <v>2588000</v>
      </c>
    </row>
    <row r="787" spans="1:4">
      <c r="A787">
        <v>19</v>
      </c>
      <c r="B787" t="s">
        <v>753</v>
      </c>
      <c r="D787">
        <v>1219990</v>
      </c>
    </row>
    <row r="788" spans="1:4">
      <c r="A788">
        <v>20</v>
      </c>
      <c r="B788" t="s">
        <v>754</v>
      </c>
      <c r="D788">
        <v>6230000</v>
      </c>
    </row>
    <row r="789" spans="1:5">
      <c r="A789">
        <v>21</v>
      </c>
      <c r="B789" t="s">
        <v>755</v>
      </c>
      <c r="D789">
        <v>1711040</v>
      </c>
      <c r="E789" s="392"/>
    </row>
    <row r="790" spans="1:4">
      <c r="A790">
        <v>22</v>
      </c>
      <c r="B790" t="s">
        <v>756</v>
      </c>
      <c r="D790">
        <v>3340000</v>
      </c>
    </row>
    <row r="791" spans="1:4">
      <c r="A791">
        <v>23</v>
      </c>
      <c r="B791" t="s">
        <v>757</v>
      </c>
      <c r="D791">
        <v>121000</v>
      </c>
    </row>
    <row r="792" spans="1:4">
      <c r="A792">
        <v>24</v>
      </c>
      <c r="B792" t="s">
        <v>758</v>
      </c>
      <c r="D792">
        <v>24000</v>
      </c>
    </row>
    <row r="793" spans="1:4">
      <c r="A793">
        <v>25</v>
      </c>
      <c r="B793" t="s">
        <v>759</v>
      </c>
      <c r="D793">
        <v>4143510</v>
      </c>
    </row>
    <row r="794" spans="1:4">
      <c r="A794">
        <v>26</v>
      </c>
      <c r="B794" t="s">
        <v>760</v>
      </c>
      <c r="D794">
        <v>2945500</v>
      </c>
    </row>
    <row r="795" spans="1:4">
      <c r="A795">
        <v>27</v>
      </c>
      <c r="B795" t="s">
        <v>761</v>
      </c>
      <c r="D795">
        <v>400000</v>
      </c>
    </row>
    <row r="796" spans="1:4">
      <c r="A796">
        <v>28</v>
      </c>
      <c r="B796" t="s">
        <v>679</v>
      </c>
      <c r="D796">
        <v>183750</v>
      </c>
    </row>
    <row r="797" spans="1:4">
      <c r="A797">
        <v>29</v>
      </c>
      <c r="B797" t="s">
        <v>762</v>
      </c>
      <c r="D797">
        <v>120000</v>
      </c>
    </row>
    <row r="798" spans="1:4">
      <c r="A798">
        <v>30</v>
      </c>
      <c r="B798" t="s">
        <v>704</v>
      </c>
      <c r="D798">
        <v>860180000</v>
      </c>
    </row>
    <row r="799" spans="2:4">
      <c r="B799" s="235" t="s">
        <v>22</v>
      </c>
      <c r="D799" s="423">
        <f>SUM(D769:D798)</f>
        <v>902026488</v>
      </c>
    </row>
    <row r="800" spans="2:4">
      <c r="B800" t="s">
        <v>763</v>
      </c>
      <c r="D800" s="424">
        <v>41846488</v>
      </c>
    </row>
    <row r="801" spans="2:4">
      <c r="B801" t="s">
        <v>764</v>
      </c>
      <c r="D801" s="424">
        <v>38174888</v>
      </c>
    </row>
  </sheetData>
  <mergeCells count="2">
    <mergeCell ref="M1:P1"/>
    <mergeCell ref="B264:P265"/>
  </mergeCell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4:IW1210"/>
  <sheetViews>
    <sheetView tabSelected="1" zoomScale="90" zoomScaleNormal="90" topLeftCell="A1117" workbookViewId="0">
      <selection activeCell="F203" sqref="F203"/>
    </sheetView>
  </sheetViews>
  <sheetFormatPr defaultColWidth="9" defaultRowHeight="15"/>
  <cols>
    <col min="1" max="1" width="5.28571428571429" customWidth="1"/>
    <col min="2" max="2" width="51.8571428571429" customWidth="1"/>
    <col min="3" max="3" width="10" customWidth="1"/>
    <col min="4" max="4" width="16.5714285714286" customWidth="1"/>
    <col min="5" max="5" width="18" customWidth="1"/>
    <col min="6" max="6" width="15.8571428571429" customWidth="1"/>
    <col min="7" max="7" width="13.8571428571429" customWidth="1"/>
    <col min="8" max="8" width="15" customWidth="1"/>
    <col min="9" max="9" width="14.7142857142857" customWidth="1"/>
    <col min="10" max="10" width="8.14285714285714" customWidth="1"/>
    <col min="11" max="11" width="15.7142857142857" customWidth="1"/>
    <col min="12" max="12" width="7.42857142857143" customWidth="1"/>
    <col min="13" max="13" width="16.5714285714286" customWidth="1"/>
    <col min="14" max="14" width="7.57142857142857" customWidth="1"/>
    <col min="15" max="15" width="15.7142857142857" customWidth="1"/>
    <col min="16" max="16" width="8.14285714285714" customWidth="1"/>
    <col min="17" max="17" width="14.7142857142857" customWidth="1"/>
    <col min="18" max="18" width="10.7142857142857" customWidth="1"/>
  </cols>
  <sheetData>
    <row r="4" ht="30" spans="1:18">
      <c r="A4" s="1"/>
      <c r="B4" s="2" t="s">
        <v>0</v>
      </c>
      <c r="C4" s="3" t="s">
        <v>765</v>
      </c>
      <c r="D4" s="2" t="s">
        <v>766</v>
      </c>
      <c r="E4" s="2" t="s">
        <v>767</v>
      </c>
      <c r="F4" s="2" t="s">
        <v>768</v>
      </c>
      <c r="G4" s="2" t="s">
        <v>4</v>
      </c>
      <c r="H4" s="4" t="s">
        <v>769</v>
      </c>
      <c r="I4" s="2" t="s">
        <v>5</v>
      </c>
      <c r="J4" s="64" t="s">
        <v>770</v>
      </c>
      <c r="K4" s="65"/>
      <c r="L4" s="65"/>
      <c r="M4" s="65"/>
      <c r="N4" s="65"/>
      <c r="O4" s="65"/>
      <c r="P4" s="65"/>
      <c r="Q4" s="65"/>
      <c r="R4" s="88"/>
    </row>
    <row r="5" spans="1:18">
      <c r="A5" s="1"/>
      <c r="B5" s="2"/>
      <c r="C5" s="3"/>
      <c r="D5" s="5"/>
      <c r="E5" s="2"/>
      <c r="F5" s="2"/>
      <c r="G5" s="2"/>
      <c r="H5" s="4"/>
      <c r="I5" s="2"/>
      <c r="J5" s="64" t="s">
        <v>12</v>
      </c>
      <c r="K5" s="65"/>
      <c r="L5" s="65" t="s">
        <v>13</v>
      </c>
      <c r="M5" s="65"/>
      <c r="N5" s="65" t="s">
        <v>14</v>
      </c>
      <c r="O5" s="65"/>
      <c r="P5" s="65" t="s">
        <v>15</v>
      </c>
      <c r="Q5" s="65"/>
      <c r="R5" s="88" t="s">
        <v>771</v>
      </c>
    </row>
    <row r="6" ht="15.75" spans="1:18">
      <c r="A6" s="6"/>
      <c r="B6" s="7"/>
      <c r="C6" s="8"/>
      <c r="D6" s="9"/>
      <c r="E6" s="7"/>
      <c r="F6" s="7"/>
      <c r="G6" s="10"/>
      <c r="H6" s="7"/>
      <c r="I6" s="7"/>
      <c r="J6" s="66" t="s">
        <v>1</v>
      </c>
      <c r="K6" s="67" t="s">
        <v>772</v>
      </c>
      <c r="L6" s="67" t="s">
        <v>1</v>
      </c>
      <c r="M6" s="67" t="s">
        <v>772</v>
      </c>
      <c r="N6" s="67" t="s">
        <v>1</v>
      </c>
      <c r="O6" s="67" t="s">
        <v>773</v>
      </c>
      <c r="P6" s="67" t="s">
        <v>1</v>
      </c>
      <c r="Q6" s="89" t="s">
        <v>774</v>
      </c>
      <c r="R6" s="90"/>
    </row>
    <row r="7" ht="15.75" spans="1:18">
      <c r="A7" s="11">
        <v>1</v>
      </c>
      <c r="B7" s="12" t="s">
        <v>775</v>
      </c>
      <c r="C7" s="13"/>
      <c r="D7" s="14"/>
      <c r="E7" s="15"/>
      <c r="F7" s="15"/>
      <c r="G7" s="13"/>
      <c r="H7" s="13"/>
      <c r="I7" s="13"/>
      <c r="J7" s="11"/>
      <c r="K7" s="11"/>
      <c r="L7" s="11"/>
      <c r="M7" s="11"/>
      <c r="N7" s="11"/>
      <c r="O7" s="11"/>
      <c r="P7" s="11"/>
      <c r="Q7" s="11"/>
      <c r="R7" s="11"/>
    </row>
    <row r="8" ht="18.75" customHeight="1" spans="1:18">
      <c r="A8" s="11">
        <v>1</v>
      </c>
      <c r="B8" s="16" t="s">
        <v>776</v>
      </c>
      <c r="C8" s="16"/>
      <c r="D8" s="17">
        <v>1</v>
      </c>
      <c r="E8" s="18">
        <v>500000</v>
      </c>
      <c r="F8" s="18">
        <v>500000</v>
      </c>
      <c r="G8" s="16" t="s">
        <v>46</v>
      </c>
      <c r="H8" s="16"/>
      <c r="I8" s="16"/>
      <c r="J8" s="68"/>
      <c r="K8" s="69">
        <v>500000</v>
      </c>
      <c r="L8" s="68"/>
      <c r="M8" s="69"/>
      <c r="N8" s="70"/>
      <c r="O8" s="69"/>
      <c r="P8" s="70"/>
      <c r="Q8" s="69"/>
      <c r="R8" s="14"/>
    </row>
    <row r="9" ht="18.75" customHeight="1" spans="1:18">
      <c r="A9" s="11">
        <v>2</v>
      </c>
      <c r="B9" s="19" t="s">
        <v>777</v>
      </c>
      <c r="C9" s="16"/>
      <c r="D9" s="20">
        <v>12</v>
      </c>
      <c r="E9" s="21">
        <v>2500</v>
      </c>
      <c r="F9" s="21">
        <v>30000</v>
      </c>
      <c r="G9" s="22" t="s">
        <v>40</v>
      </c>
      <c r="H9" s="16" t="s">
        <v>729</v>
      </c>
      <c r="I9" s="16" t="s">
        <v>778</v>
      </c>
      <c r="J9" s="20">
        <v>3</v>
      </c>
      <c r="K9" s="69">
        <v>7500</v>
      </c>
      <c r="L9" s="20">
        <v>3</v>
      </c>
      <c r="M9" s="69">
        <v>7500</v>
      </c>
      <c r="N9" s="20">
        <v>3</v>
      </c>
      <c r="O9" s="69">
        <v>7500</v>
      </c>
      <c r="P9" s="20">
        <v>3</v>
      </c>
      <c r="Q9" s="69">
        <v>7500</v>
      </c>
      <c r="R9" s="14"/>
    </row>
    <row r="10" ht="18.75" customHeight="1" spans="1:18">
      <c r="A10" s="11">
        <v>3</v>
      </c>
      <c r="B10" s="19" t="s">
        <v>779</v>
      </c>
      <c r="C10" s="16"/>
      <c r="D10" s="20">
        <v>12</v>
      </c>
      <c r="E10" s="21">
        <v>3000</v>
      </c>
      <c r="F10" s="21">
        <v>36000</v>
      </c>
      <c r="G10" s="22" t="s">
        <v>40</v>
      </c>
      <c r="H10" s="16" t="s">
        <v>729</v>
      </c>
      <c r="I10" s="16" t="s">
        <v>778</v>
      </c>
      <c r="J10" s="20">
        <v>3</v>
      </c>
      <c r="K10" s="69">
        <v>9000</v>
      </c>
      <c r="L10" s="20">
        <v>3</v>
      </c>
      <c r="M10" s="69">
        <v>9000</v>
      </c>
      <c r="N10" s="20">
        <v>3</v>
      </c>
      <c r="O10" s="69">
        <v>9000</v>
      </c>
      <c r="P10" s="20">
        <v>3</v>
      </c>
      <c r="Q10" s="69">
        <v>9000</v>
      </c>
      <c r="R10" s="14"/>
    </row>
    <row r="11" ht="18.75" customHeight="1" spans="1:18">
      <c r="A11" s="11">
        <v>4</v>
      </c>
      <c r="B11" s="19" t="s">
        <v>780</v>
      </c>
      <c r="C11" s="16"/>
      <c r="D11" s="20">
        <v>8</v>
      </c>
      <c r="E11" s="21">
        <v>6500</v>
      </c>
      <c r="F11" s="21">
        <v>52000</v>
      </c>
      <c r="G11" s="22" t="s">
        <v>40</v>
      </c>
      <c r="H11" s="16" t="s">
        <v>729</v>
      </c>
      <c r="I11" s="16" t="s">
        <v>778</v>
      </c>
      <c r="J11" s="20">
        <v>2</v>
      </c>
      <c r="K11" s="69">
        <v>13000</v>
      </c>
      <c r="L11" s="20">
        <v>2</v>
      </c>
      <c r="M11" s="69">
        <v>13000</v>
      </c>
      <c r="N11" s="20">
        <v>2</v>
      </c>
      <c r="O11" s="69">
        <v>13000</v>
      </c>
      <c r="P11" s="20">
        <v>2</v>
      </c>
      <c r="Q11" s="69">
        <v>13000</v>
      </c>
      <c r="R11" s="14"/>
    </row>
    <row r="12" customHeight="1" spans="1:18">
      <c r="A12" s="11">
        <v>5</v>
      </c>
      <c r="B12" s="19" t="s">
        <v>781</v>
      </c>
      <c r="C12" s="16"/>
      <c r="D12" s="20">
        <v>12</v>
      </c>
      <c r="E12" s="21">
        <v>7000</v>
      </c>
      <c r="F12" s="21">
        <v>84000</v>
      </c>
      <c r="G12" s="22" t="s">
        <v>40</v>
      </c>
      <c r="H12" s="16" t="s">
        <v>729</v>
      </c>
      <c r="I12" s="16" t="s">
        <v>778</v>
      </c>
      <c r="J12" s="20">
        <v>3</v>
      </c>
      <c r="K12" s="69">
        <v>21000</v>
      </c>
      <c r="L12" s="20">
        <v>3</v>
      </c>
      <c r="M12" s="69">
        <v>21000</v>
      </c>
      <c r="N12" s="20">
        <v>3</v>
      </c>
      <c r="O12" s="69">
        <v>21000</v>
      </c>
      <c r="P12" s="20">
        <v>3</v>
      </c>
      <c r="Q12" s="69">
        <v>21000</v>
      </c>
      <c r="R12" s="14"/>
    </row>
    <row r="13" customHeight="1" spans="1:18">
      <c r="A13" s="11">
        <v>6</v>
      </c>
      <c r="B13" s="16" t="s">
        <v>782</v>
      </c>
      <c r="C13" s="16" t="s">
        <v>783</v>
      </c>
      <c r="D13" s="17">
        <v>750</v>
      </c>
      <c r="E13" s="23">
        <v>30</v>
      </c>
      <c r="F13" s="24">
        <v>22500</v>
      </c>
      <c r="G13" s="16" t="s">
        <v>784</v>
      </c>
      <c r="H13" s="16" t="s">
        <v>729</v>
      </c>
      <c r="I13" s="16" t="s">
        <v>778</v>
      </c>
      <c r="J13" s="20">
        <v>750</v>
      </c>
      <c r="K13" s="69">
        <v>22500</v>
      </c>
      <c r="L13" s="68"/>
      <c r="M13" s="69"/>
      <c r="N13" s="70"/>
      <c r="O13" s="69"/>
      <c r="P13" s="70"/>
      <c r="Q13" s="69"/>
      <c r="R13" s="14"/>
    </row>
    <row r="14" customHeight="1" spans="1:18">
      <c r="A14" s="11">
        <v>7</v>
      </c>
      <c r="B14" s="16" t="s">
        <v>785</v>
      </c>
      <c r="C14" s="16" t="s">
        <v>786</v>
      </c>
      <c r="D14" s="17">
        <v>12</v>
      </c>
      <c r="E14" s="23">
        <v>1000</v>
      </c>
      <c r="F14" s="18">
        <v>12000</v>
      </c>
      <c r="G14" s="16" t="s">
        <v>784</v>
      </c>
      <c r="H14" s="16" t="s">
        <v>729</v>
      </c>
      <c r="I14" s="16" t="s">
        <v>778</v>
      </c>
      <c r="J14" s="68"/>
      <c r="K14" s="69"/>
      <c r="L14" s="68"/>
      <c r="M14" s="69">
        <v>4000</v>
      </c>
      <c r="N14" s="70"/>
      <c r="O14" s="69">
        <v>4000</v>
      </c>
      <c r="P14" s="70"/>
      <c r="Q14" s="69">
        <v>4000</v>
      </c>
      <c r="R14" s="14"/>
    </row>
    <row r="15" ht="16.5" customHeight="1" spans="1:18">
      <c r="A15" s="11">
        <v>8</v>
      </c>
      <c r="B15" s="16" t="s">
        <v>787</v>
      </c>
      <c r="C15" s="16"/>
      <c r="D15" s="17"/>
      <c r="E15" s="23"/>
      <c r="F15" s="18">
        <v>2000000</v>
      </c>
      <c r="G15" s="16" t="s">
        <v>784</v>
      </c>
      <c r="H15" s="16" t="s">
        <v>729</v>
      </c>
      <c r="I15" s="16" t="s">
        <v>778</v>
      </c>
      <c r="J15" s="68"/>
      <c r="K15" s="69">
        <v>500000</v>
      </c>
      <c r="L15" s="68"/>
      <c r="M15" s="69">
        <v>500000</v>
      </c>
      <c r="N15" s="70"/>
      <c r="O15" s="69">
        <v>500000</v>
      </c>
      <c r="P15" s="70"/>
      <c r="Q15" s="69">
        <v>500000</v>
      </c>
      <c r="R15" s="14"/>
    </row>
    <row r="16" ht="16.5" customHeight="1" spans="1:18">
      <c r="A16" s="11">
        <v>9</v>
      </c>
      <c r="B16" s="16" t="s">
        <v>788</v>
      </c>
      <c r="C16" s="16"/>
      <c r="D16" s="17"/>
      <c r="E16" s="23"/>
      <c r="F16" s="18">
        <v>4000000</v>
      </c>
      <c r="G16" s="16" t="s">
        <v>784</v>
      </c>
      <c r="H16" s="16" t="s">
        <v>729</v>
      </c>
      <c r="I16" s="16" t="s">
        <v>778</v>
      </c>
      <c r="J16" s="68"/>
      <c r="K16" s="69">
        <v>1000000</v>
      </c>
      <c r="L16" s="68"/>
      <c r="M16" s="69">
        <v>1000000</v>
      </c>
      <c r="N16" s="70"/>
      <c r="O16" s="69">
        <v>1000000</v>
      </c>
      <c r="P16" s="70"/>
      <c r="Q16" s="69">
        <v>1000000</v>
      </c>
      <c r="R16" s="14"/>
    </row>
    <row r="17" ht="16.5" customHeight="1" spans="1:18">
      <c r="A17" s="11">
        <v>10</v>
      </c>
      <c r="B17" s="16" t="s">
        <v>789</v>
      </c>
      <c r="C17" s="16"/>
      <c r="D17" s="17"/>
      <c r="E17" s="23"/>
      <c r="F17" s="18">
        <v>400000</v>
      </c>
      <c r="G17" s="16" t="s">
        <v>784</v>
      </c>
      <c r="H17" s="16" t="s">
        <v>729</v>
      </c>
      <c r="I17" s="16" t="s">
        <v>778</v>
      </c>
      <c r="J17" s="68"/>
      <c r="K17" s="69">
        <v>100000</v>
      </c>
      <c r="L17" s="68"/>
      <c r="M17" s="69">
        <v>100000</v>
      </c>
      <c r="N17" s="70"/>
      <c r="O17" s="69">
        <v>100000</v>
      </c>
      <c r="P17" s="70"/>
      <c r="Q17" s="69">
        <v>100000</v>
      </c>
      <c r="R17" s="14"/>
    </row>
    <row r="18" ht="15.75" spans="1:18">
      <c r="A18" s="11"/>
      <c r="B18" s="11"/>
      <c r="C18" s="13"/>
      <c r="D18" s="14"/>
      <c r="E18" s="15"/>
      <c r="F18" s="15"/>
      <c r="G18" s="13"/>
      <c r="H18" s="13"/>
      <c r="I18" s="13"/>
      <c r="J18" s="14"/>
      <c r="K18" s="14"/>
      <c r="L18" s="14"/>
      <c r="M18" s="14"/>
      <c r="N18" s="14"/>
      <c r="O18" s="14"/>
      <c r="P18" s="14"/>
      <c r="Q18" s="14"/>
      <c r="R18" s="14"/>
    </row>
    <row r="19" ht="15.75" spans="1:18">
      <c r="A19" s="11"/>
      <c r="B19" s="12" t="s">
        <v>22</v>
      </c>
      <c r="C19" s="13"/>
      <c r="D19" s="14"/>
      <c r="E19" s="25"/>
      <c r="F19" s="26">
        <f>SUM(F8:F18)</f>
        <v>7136500</v>
      </c>
      <c r="G19" s="13"/>
      <c r="H19" s="13"/>
      <c r="I19" s="13"/>
      <c r="J19" s="14"/>
      <c r="K19" s="14"/>
      <c r="L19" s="14"/>
      <c r="M19" s="14"/>
      <c r="N19" s="14"/>
      <c r="O19" s="14"/>
      <c r="P19" s="14"/>
      <c r="Q19" s="14"/>
      <c r="R19" s="14"/>
    </row>
    <row r="20" ht="15.75" spans="1:18">
      <c r="A20" s="11"/>
      <c r="B20" s="11"/>
      <c r="C20" s="13"/>
      <c r="D20" s="14"/>
      <c r="E20" s="15"/>
      <c r="F20" s="15"/>
      <c r="G20" s="13"/>
      <c r="H20" s="13"/>
      <c r="I20" s="13"/>
      <c r="J20" s="14"/>
      <c r="K20" s="14"/>
      <c r="L20" s="14"/>
      <c r="M20" s="14"/>
      <c r="N20" s="14"/>
      <c r="O20" s="14"/>
      <c r="P20" s="14"/>
      <c r="Q20" s="14"/>
      <c r="R20" s="14"/>
    </row>
    <row r="21" ht="15.75" spans="1:18">
      <c r="A21" s="27">
        <v>2</v>
      </c>
      <c r="B21" s="12" t="s">
        <v>790</v>
      </c>
      <c r="C21" s="13"/>
      <c r="D21" s="14"/>
      <c r="E21" s="15"/>
      <c r="F21" s="15"/>
      <c r="G21" s="13"/>
      <c r="H21" s="13"/>
      <c r="I21" s="13"/>
      <c r="J21" s="14"/>
      <c r="K21" s="14"/>
      <c r="L21" s="14"/>
      <c r="M21" s="14"/>
      <c r="N21" s="14"/>
      <c r="O21" s="14"/>
      <c r="P21" s="14"/>
      <c r="Q21" s="14"/>
      <c r="R21" s="14"/>
    </row>
    <row r="22" ht="15.75" spans="1:18">
      <c r="A22" s="11">
        <v>1</v>
      </c>
      <c r="B22" s="28" t="s">
        <v>791</v>
      </c>
      <c r="C22" s="13" t="s">
        <v>792</v>
      </c>
      <c r="D22" s="14">
        <v>4</v>
      </c>
      <c r="E22" s="15">
        <v>12000</v>
      </c>
      <c r="F22" s="29">
        <v>48000</v>
      </c>
      <c r="G22" s="28" t="s">
        <v>793</v>
      </c>
      <c r="H22" s="30"/>
      <c r="I22" s="13"/>
      <c r="J22" s="71">
        <v>1</v>
      </c>
      <c r="K22" s="71">
        <v>12000</v>
      </c>
      <c r="L22" s="71">
        <v>1</v>
      </c>
      <c r="M22" s="71">
        <v>12000</v>
      </c>
      <c r="N22" s="71">
        <v>1</v>
      </c>
      <c r="O22" s="71">
        <v>12000</v>
      </c>
      <c r="P22" s="71">
        <v>1</v>
      </c>
      <c r="Q22" s="71">
        <v>12000</v>
      </c>
      <c r="R22" s="71"/>
    </row>
    <row r="23" ht="15.75" spans="1:18">
      <c r="A23" s="11">
        <v>2</v>
      </c>
      <c r="B23" s="19" t="s">
        <v>794</v>
      </c>
      <c r="C23" s="31" t="s">
        <v>783</v>
      </c>
      <c r="D23" s="20">
        <v>4</v>
      </c>
      <c r="E23" s="21">
        <v>9000</v>
      </c>
      <c r="F23" s="21">
        <v>36000</v>
      </c>
      <c r="G23" s="22" t="s">
        <v>40</v>
      </c>
      <c r="H23" s="31" t="s">
        <v>729</v>
      </c>
      <c r="I23" s="31" t="s">
        <v>778</v>
      </c>
      <c r="J23" s="20">
        <v>1</v>
      </c>
      <c r="K23" s="72">
        <v>9000</v>
      </c>
      <c r="L23" s="20">
        <v>1</v>
      </c>
      <c r="M23" s="72">
        <v>9000</v>
      </c>
      <c r="N23" s="20">
        <v>1</v>
      </c>
      <c r="O23" s="72">
        <v>9000</v>
      </c>
      <c r="P23" s="20">
        <v>1</v>
      </c>
      <c r="Q23" s="71">
        <v>9000</v>
      </c>
      <c r="R23" s="71"/>
    </row>
    <row r="24" ht="15.75" spans="1:18">
      <c r="A24" s="11">
        <v>3</v>
      </c>
      <c r="B24" s="11" t="s">
        <v>29</v>
      </c>
      <c r="C24" s="13" t="s">
        <v>795</v>
      </c>
      <c r="D24" s="14">
        <v>4</v>
      </c>
      <c r="E24" s="15">
        <v>80000</v>
      </c>
      <c r="F24" s="29">
        <v>320000</v>
      </c>
      <c r="G24" s="13" t="s">
        <v>796</v>
      </c>
      <c r="H24" s="30" t="s">
        <v>729</v>
      </c>
      <c r="I24" s="13" t="s">
        <v>778</v>
      </c>
      <c r="J24" s="14">
        <v>1</v>
      </c>
      <c r="K24" s="56">
        <v>80000</v>
      </c>
      <c r="L24" s="14">
        <v>1</v>
      </c>
      <c r="M24" s="56">
        <v>80000</v>
      </c>
      <c r="N24" s="14">
        <v>1</v>
      </c>
      <c r="O24" s="56">
        <v>80000</v>
      </c>
      <c r="P24" s="14">
        <v>1</v>
      </c>
      <c r="Q24" s="56">
        <v>80000</v>
      </c>
      <c r="R24" s="71"/>
    </row>
    <row r="25" ht="15.75" spans="1:18">
      <c r="A25" s="11">
        <v>4</v>
      </c>
      <c r="B25" s="32" t="s">
        <v>34</v>
      </c>
      <c r="C25" s="16" t="s">
        <v>792</v>
      </c>
      <c r="D25" s="33">
        <v>2</v>
      </c>
      <c r="E25" s="34">
        <v>12500</v>
      </c>
      <c r="F25" s="34">
        <v>25000</v>
      </c>
      <c r="G25" s="35" t="s">
        <v>35</v>
      </c>
      <c r="H25" s="30" t="s">
        <v>729</v>
      </c>
      <c r="I25" s="13" t="s">
        <v>778</v>
      </c>
      <c r="J25" s="37"/>
      <c r="K25" s="37"/>
      <c r="L25" s="37"/>
      <c r="M25" s="37">
        <v>12500</v>
      </c>
      <c r="N25" s="37"/>
      <c r="O25" s="37"/>
      <c r="P25" s="37"/>
      <c r="Q25" s="37">
        <v>12500</v>
      </c>
      <c r="R25" s="37"/>
    </row>
    <row r="26" ht="15.75" spans="1:18">
      <c r="A26" s="11">
        <v>5</v>
      </c>
      <c r="B26" s="32" t="s">
        <v>41</v>
      </c>
      <c r="C26" s="36"/>
      <c r="D26" s="37">
        <v>5</v>
      </c>
      <c r="E26" s="34">
        <v>12000</v>
      </c>
      <c r="F26" s="34">
        <f>D26*E26</f>
        <v>60000</v>
      </c>
      <c r="G26" s="13" t="s">
        <v>42</v>
      </c>
      <c r="H26" s="13" t="s">
        <v>729</v>
      </c>
      <c r="I26" s="13" t="s">
        <v>778</v>
      </c>
      <c r="J26" s="73">
        <v>2</v>
      </c>
      <c r="K26" s="73">
        <v>24000</v>
      </c>
      <c r="L26" s="73">
        <v>2</v>
      </c>
      <c r="M26" s="73">
        <v>24000</v>
      </c>
      <c r="N26" s="73">
        <v>1</v>
      </c>
      <c r="O26" s="73">
        <v>12000</v>
      </c>
      <c r="P26" s="73"/>
      <c r="Q26" s="73"/>
      <c r="R26" s="73"/>
    </row>
    <row r="27" ht="15.75" spans="1:18">
      <c r="A27" s="11">
        <v>6</v>
      </c>
      <c r="B27" s="38" t="s">
        <v>797</v>
      </c>
      <c r="C27" s="39"/>
      <c r="D27" s="14">
        <v>10</v>
      </c>
      <c r="E27" s="29">
        <v>20000</v>
      </c>
      <c r="F27" s="40">
        <v>200000</v>
      </c>
      <c r="G27" s="39" t="s">
        <v>25</v>
      </c>
      <c r="H27" s="39" t="s">
        <v>729</v>
      </c>
      <c r="I27" s="13" t="s">
        <v>778</v>
      </c>
      <c r="J27" s="74">
        <v>3</v>
      </c>
      <c r="K27" s="75">
        <v>60000</v>
      </c>
      <c r="L27" s="14">
        <v>3</v>
      </c>
      <c r="M27" s="75">
        <v>60000</v>
      </c>
      <c r="N27" s="14">
        <v>2</v>
      </c>
      <c r="O27" s="75">
        <v>40000</v>
      </c>
      <c r="P27" s="14">
        <v>2</v>
      </c>
      <c r="Q27" s="75">
        <v>40000</v>
      </c>
      <c r="R27" s="14"/>
    </row>
    <row r="28" ht="15.75" spans="1:18">
      <c r="A28" s="11">
        <v>7</v>
      </c>
      <c r="B28" s="41" t="s">
        <v>798</v>
      </c>
      <c r="C28" s="31" t="s">
        <v>799</v>
      </c>
      <c r="D28" s="42">
        <v>3</v>
      </c>
      <c r="E28" s="43">
        <v>12000</v>
      </c>
      <c r="F28" s="44">
        <v>36000</v>
      </c>
      <c r="G28" s="31" t="s">
        <v>37</v>
      </c>
      <c r="H28" s="31" t="s">
        <v>729</v>
      </c>
      <c r="I28" s="31" t="s">
        <v>778</v>
      </c>
      <c r="J28" s="76">
        <v>1</v>
      </c>
      <c r="K28" s="72">
        <v>12000</v>
      </c>
      <c r="L28" s="42"/>
      <c r="M28" s="72"/>
      <c r="N28" s="42">
        <v>1</v>
      </c>
      <c r="O28" s="72">
        <v>12000</v>
      </c>
      <c r="P28" s="42">
        <v>1</v>
      </c>
      <c r="Q28" s="72">
        <v>12000</v>
      </c>
      <c r="R28" s="73"/>
    </row>
    <row r="29" ht="15.75" spans="1:18">
      <c r="A29" s="11">
        <v>8</v>
      </c>
      <c r="B29" s="11" t="s">
        <v>800</v>
      </c>
      <c r="C29" s="13" t="s">
        <v>783</v>
      </c>
      <c r="D29" s="14">
        <v>10</v>
      </c>
      <c r="E29" s="15">
        <v>8000</v>
      </c>
      <c r="F29" s="45">
        <v>80000</v>
      </c>
      <c r="G29" s="13" t="s">
        <v>43</v>
      </c>
      <c r="H29" s="13" t="s">
        <v>729</v>
      </c>
      <c r="I29" s="13" t="s">
        <v>778</v>
      </c>
      <c r="J29" s="77">
        <v>3</v>
      </c>
      <c r="K29" s="78">
        <v>24000</v>
      </c>
      <c r="L29" s="77">
        <v>3</v>
      </c>
      <c r="M29" s="78">
        <v>24000</v>
      </c>
      <c r="N29" s="77">
        <v>2</v>
      </c>
      <c r="O29" s="78">
        <v>16000</v>
      </c>
      <c r="P29" s="77">
        <v>2</v>
      </c>
      <c r="Q29" s="78">
        <v>16000</v>
      </c>
      <c r="R29" s="91"/>
    </row>
    <row r="30" ht="15.75" spans="1:18">
      <c r="A30" s="11"/>
      <c r="B30" s="12" t="s">
        <v>22</v>
      </c>
      <c r="C30" s="46"/>
      <c r="D30" s="47"/>
      <c r="E30" s="26"/>
      <c r="F30" s="26">
        <f>SUM(F22:F29)</f>
        <v>805000</v>
      </c>
      <c r="G30" s="13"/>
      <c r="H30" s="13"/>
      <c r="I30" s="13"/>
      <c r="J30" s="14"/>
      <c r="K30" s="14"/>
      <c r="L30" s="14"/>
      <c r="M30" s="14"/>
      <c r="N30" s="14"/>
      <c r="O30" s="14"/>
      <c r="P30" s="14"/>
      <c r="Q30" s="14"/>
      <c r="R30" s="14"/>
    </row>
    <row r="31" ht="15.75" spans="1:18">
      <c r="A31" s="11"/>
      <c r="B31" s="11"/>
      <c r="C31" s="13"/>
      <c r="D31" s="14"/>
      <c r="E31" s="15"/>
      <c r="F31" s="15"/>
      <c r="G31" s="13"/>
      <c r="H31" s="13"/>
      <c r="I31" s="13"/>
      <c r="J31" s="14"/>
      <c r="K31" s="14"/>
      <c r="L31" s="14"/>
      <c r="M31" s="14"/>
      <c r="N31" s="14"/>
      <c r="O31" s="14"/>
      <c r="P31" s="14"/>
      <c r="Q31" s="14"/>
      <c r="R31" s="14"/>
    </row>
    <row r="32" ht="15.75" spans="1:18">
      <c r="A32" s="11"/>
      <c r="B32" s="11"/>
      <c r="C32" s="13"/>
      <c r="D32" s="14"/>
      <c r="E32" s="15"/>
      <c r="F32" s="15"/>
      <c r="G32" s="13"/>
      <c r="H32" s="13"/>
      <c r="I32" s="13"/>
      <c r="J32" s="14"/>
      <c r="K32" s="14"/>
      <c r="L32" s="14"/>
      <c r="M32" s="14"/>
      <c r="N32" s="14"/>
      <c r="O32" s="14"/>
      <c r="P32" s="14"/>
      <c r="Q32" s="14"/>
      <c r="R32" s="14"/>
    </row>
    <row r="33" ht="15.75" spans="1:18">
      <c r="A33" s="12">
        <v>3</v>
      </c>
      <c r="B33" s="12" t="s">
        <v>738</v>
      </c>
      <c r="C33" s="13"/>
      <c r="D33" s="14"/>
      <c r="E33" s="15"/>
      <c r="F33" s="15"/>
      <c r="G33" s="13"/>
      <c r="H33" s="13"/>
      <c r="I33" s="13"/>
      <c r="J33" s="14"/>
      <c r="K33" s="14"/>
      <c r="L33" s="14"/>
      <c r="M33" s="14"/>
      <c r="N33" s="14"/>
      <c r="O33" s="14"/>
      <c r="P33" s="14"/>
      <c r="Q33" s="14"/>
      <c r="R33" s="14"/>
    </row>
    <row r="34" ht="20.25" customHeight="1" spans="1:18">
      <c r="A34" s="11">
        <v>1</v>
      </c>
      <c r="B34" s="48" t="s">
        <v>801</v>
      </c>
      <c r="C34" s="49" t="s">
        <v>795</v>
      </c>
      <c r="D34" s="17">
        <v>1</v>
      </c>
      <c r="E34" s="23"/>
      <c r="F34" s="50">
        <v>80000</v>
      </c>
      <c r="G34" s="49" t="s">
        <v>46</v>
      </c>
      <c r="H34" s="49" t="s">
        <v>729</v>
      </c>
      <c r="I34" s="49" t="s">
        <v>778</v>
      </c>
      <c r="J34" s="68">
        <v>1</v>
      </c>
      <c r="K34" s="17">
        <v>80000</v>
      </c>
      <c r="L34" s="17"/>
      <c r="M34" s="17"/>
      <c r="N34" s="17"/>
      <c r="O34" s="17"/>
      <c r="P34" s="17"/>
      <c r="Q34" s="17"/>
      <c r="R34" s="14"/>
    </row>
    <row r="35" ht="15.75" spans="1:18">
      <c r="A35" s="11">
        <v>2</v>
      </c>
      <c r="B35" s="32" t="s">
        <v>60</v>
      </c>
      <c r="C35" s="36"/>
      <c r="D35" s="37">
        <v>3</v>
      </c>
      <c r="E35" s="15">
        <v>2400</v>
      </c>
      <c r="F35" s="51">
        <f>D35*E35</f>
        <v>7200</v>
      </c>
      <c r="G35" s="13" t="s">
        <v>42</v>
      </c>
      <c r="H35" s="13" t="s">
        <v>729</v>
      </c>
      <c r="I35" s="59" t="s">
        <v>778</v>
      </c>
      <c r="J35" s="60"/>
      <c r="K35" s="60"/>
      <c r="L35" s="60">
        <v>3</v>
      </c>
      <c r="M35" s="14">
        <v>7200</v>
      </c>
      <c r="N35" s="14"/>
      <c r="O35" s="14"/>
      <c r="P35" s="14"/>
      <c r="Q35" s="14"/>
      <c r="R35" s="14"/>
    </row>
    <row r="36" ht="15.75" spans="1:18">
      <c r="A36" s="11">
        <v>4</v>
      </c>
      <c r="B36" s="38" t="s">
        <v>802</v>
      </c>
      <c r="C36" s="39" t="s">
        <v>783</v>
      </c>
      <c r="D36" s="14">
        <v>3</v>
      </c>
      <c r="E36" s="29">
        <v>50000</v>
      </c>
      <c r="F36" s="40">
        <v>150000</v>
      </c>
      <c r="G36" s="39" t="s">
        <v>25</v>
      </c>
      <c r="H36" s="13" t="s">
        <v>729</v>
      </c>
      <c r="I36" s="39" t="s">
        <v>778</v>
      </c>
      <c r="J36" s="74">
        <v>3</v>
      </c>
      <c r="K36" s="75">
        <v>150000</v>
      </c>
      <c r="L36" s="14"/>
      <c r="M36" s="75"/>
      <c r="N36" s="14"/>
      <c r="O36" s="75"/>
      <c r="P36" s="14"/>
      <c r="Q36" s="75"/>
      <c r="R36" s="14"/>
    </row>
    <row r="37" ht="15.75" spans="1:18">
      <c r="A37" s="11">
        <v>5</v>
      </c>
      <c r="B37" s="41" t="s">
        <v>803</v>
      </c>
      <c r="C37" s="31" t="s">
        <v>799</v>
      </c>
      <c r="D37" s="42">
        <v>2</v>
      </c>
      <c r="E37" s="52">
        <v>20000</v>
      </c>
      <c r="F37" s="44">
        <v>40000</v>
      </c>
      <c r="G37" s="31" t="s">
        <v>37</v>
      </c>
      <c r="H37" s="31" t="s">
        <v>729</v>
      </c>
      <c r="I37" s="31" t="s">
        <v>778</v>
      </c>
      <c r="J37" s="79">
        <v>1</v>
      </c>
      <c r="K37" s="72">
        <v>20000</v>
      </c>
      <c r="L37" s="80" t="s">
        <v>804</v>
      </c>
      <c r="M37" s="72"/>
      <c r="N37" s="80">
        <v>1</v>
      </c>
      <c r="O37" s="72">
        <v>20000</v>
      </c>
      <c r="P37" s="80"/>
      <c r="Q37" s="72"/>
      <c r="R37" s="14"/>
    </row>
    <row r="38" ht="31.5" spans="1:18">
      <c r="A38" s="11">
        <v>6</v>
      </c>
      <c r="B38" s="41" t="s">
        <v>805</v>
      </c>
      <c r="C38" s="31" t="s">
        <v>806</v>
      </c>
      <c r="D38" s="42" t="s">
        <v>807</v>
      </c>
      <c r="E38" s="52">
        <v>18000</v>
      </c>
      <c r="F38" s="44">
        <v>18000</v>
      </c>
      <c r="G38" s="31" t="s">
        <v>808</v>
      </c>
      <c r="H38" s="31" t="s">
        <v>729</v>
      </c>
      <c r="I38" s="31" t="s">
        <v>778</v>
      </c>
      <c r="J38" s="79">
        <v>1</v>
      </c>
      <c r="K38" s="72">
        <v>18000</v>
      </c>
      <c r="L38" s="80"/>
      <c r="M38" s="72"/>
      <c r="N38" s="80"/>
      <c r="O38" s="72"/>
      <c r="P38" s="80"/>
      <c r="Q38" s="72"/>
      <c r="R38" s="14"/>
    </row>
    <row r="39" ht="15.75" spans="1:18">
      <c r="A39" s="11">
        <v>7</v>
      </c>
      <c r="B39" s="41" t="s">
        <v>805</v>
      </c>
      <c r="C39" s="31" t="s">
        <v>806</v>
      </c>
      <c r="D39" s="42">
        <v>1</v>
      </c>
      <c r="E39" s="52">
        <v>18000</v>
      </c>
      <c r="F39" s="44">
        <v>18000</v>
      </c>
      <c r="G39" s="31" t="s">
        <v>809</v>
      </c>
      <c r="H39" s="31" t="s">
        <v>729</v>
      </c>
      <c r="I39" s="31" t="s">
        <v>778</v>
      </c>
      <c r="J39" s="79">
        <v>1</v>
      </c>
      <c r="K39" s="72">
        <v>18000</v>
      </c>
      <c r="L39" s="80"/>
      <c r="M39" s="72"/>
      <c r="N39" s="80"/>
      <c r="O39" s="72"/>
      <c r="P39" s="80"/>
      <c r="Q39" s="72"/>
      <c r="R39" s="14"/>
    </row>
    <row r="40" ht="15.75" spans="1:18">
      <c r="A40" s="11">
        <v>8</v>
      </c>
      <c r="B40" s="41" t="s">
        <v>805</v>
      </c>
      <c r="C40" s="31" t="s">
        <v>806</v>
      </c>
      <c r="D40" s="42">
        <v>1</v>
      </c>
      <c r="E40" s="52">
        <v>18000</v>
      </c>
      <c r="F40" s="44">
        <v>18000</v>
      </c>
      <c r="G40" s="31" t="s">
        <v>810</v>
      </c>
      <c r="H40" s="31" t="s">
        <v>729</v>
      </c>
      <c r="I40" s="31" t="s">
        <v>778</v>
      </c>
      <c r="J40" s="79">
        <v>1</v>
      </c>
      <c r="K40" s="72">
        <v>18000</v>
      </c>
      <c r="L40" s="80"/>
      <c r="M40" s="72"/>
      <c r="N40" s="80"/>
      <c r="O40" s="72"/>
      <c r="P40" s="80"/>
      <c r="Q40" s="72"/>
      <c r="R40" s="14"/>
    </row>
    <row r="41" ht="15.75" spans="1:18">
      <c r="A41" s="11"/>
      <c r="B41" s="41"/>
      <c r="C41" s="31"/>
      <c r="D41" s="42"/>
      <c r="E41" s="52"/>
      <c r="F41" s="44"/>
      <c r="G41" s="31"/>
      <c r="H41" s="31"/>
      <c r="I41" s="31"/>
      <c r="J41" s="79"/>
      <c r="K41" s="72"/>
      <c r="L41" s="80"/>
      <c r="M41" s="72"/>
      <c r="N41" s="80"/>
      <c r="O41" s="72"/>
      <c r="P41" s="80"/>
      <c r="Q41" s="72"/>
      <c r="R41" s="14"/>
    </row>
    <row r="42" ht="15.75" spans="1:18">
      <c r="A42" s="11"/>
      <c r="B42" s="11"/>
      <c r="C42" s="13"/>
      <c r="D42" s="14"/>
      <c r="E42" s="15"/>
      <c r="F42" s="15"/>
      <c r="G42" s="13"/>
      <c r="H42" s="13"/>
      <c r="I42" s="13"/>
      <c r="J42" s="14"/>
      <c r="K42" s="14"/>
      <c r="L42" s="14"/>
      <c r="M42" s="14"/>
      <c r="N42" s="14"/>
      <c r="O42" s="14"/>
      <c r="P42" s="14"/>
      <c r="Q42" s="14"/>
      <c r="R42" s="14"/>
    </row>
    <row r="43" ht="15.75" spans="1:18">
      <c r="A43" s="11"/>
      <c r="B43" s="12" t="s">
        <v>22</v>
      </c>
      <c r="C43" s="13"/>
      <c r="D43" s="14"/>
      <c r="E43" s="15"/>
      <c r="F43" s="53">
        <f>SUM(F34:F42)</f>
        <v>331200</v>
      </c>
      <c r="G43" s="13"/>
      <c r="H43" s="13"/>
      <c r="I43" s="13"/>
      <c r="J43" s="14"/>
      <c r="K43" s="14"/>
      <c r="L43" s="14"/>
      <c r="M43" s="14"/>
      <c r="N43" s="14"/>
      <c r="O43" s="14"/>
      <c r="P43" s="14"/>
      <c r="Q43" s="14"/>
      <c r="R43" s="14"/>
    </row>
    <row r="44" ht="15.75" spans="1:18">
      <c r="A44" s="11"/>
      <c r="B44" s="11"/>
      <c r="C44" s="13"/>
      <c r="D44" s="14"/>
      <c r="E44" s="15"/>
      <c r="F44" s="15"/>
      <c r="G44" s="13"/>
      <c r="H44" s="13"/>
      <c r="I44" s="13"/>
      <c r="J44" s="14"/>
      <c r="K44" s="14"/>
      <c r="L44" s="14"/>
      <c r="M44" s="14"/>
      <c r="N44" s="14"/>
      <c r="O44" s="14"/>
      <c r="P44" s="14"/>
      <c r="Q44" s="14"/>
      <c r="R44" s="14"/>
    </row>
    <row r="45" ht="15.75" spans="1:18">
      <c r="A45" s="12">
        <v>4</v>
      </c>
      <c r="B45" s="12" t="s">
        <v>811</v>
      </c>
      <c r="C45" s="13"/>
      <c r="D45" s="14"/>
      <c r="E45" s="15"/>
      <c r="F45" s="15"/>
      <c r="G45" s="13"/>
      <c r="H45" s="13"/>
      <c r="I45" s="13"/>
      <c r="J45" s="14"/>
      <c r="K45" s="14"/>
      <c r="L45" s="14"/>
      <c r="M45" s="14"/>
      <c r="N45" s="14"/>
      <c r="O45" s="14"/>
      <c r="P45" s="14"/>
      <c r="Q45" s="14"/>
      <c r="R45" s="14"/>
    </row>
    <row r="46" ht="15.75" spans="1:18">
      <c r="A46" s="11">
        <v>1</v>
      </c>
      <c r="B46" s="38" t="s">
        <v>812</v>
      </c>
      <c r="C46" s="39" t="s">
        <v>799</v>
      </c>
      <c r="D46" s="14">
        <v>1</v>
      </c>
      <c r="E46" s="54">
        <v>2000000</v>
      </c>
      <c r="F46" s="55">
        <f>E46*D46</f>
        <v>2000000</v>
      </c>
      <c r="G46" s="39" t="s">
        <v>813</v>
      </c>
      <c r="H46" s="39" t="s">
        <v>814</v>
      </c>
      <c r="I46" s="39" t="s">
        <v>778</v>
      </c>
      <c r="J46" s="81">
        <v>1</v>
      </c>
      <c r="K46" s="75">
        <f>E46*J46</f>
        <v>2000000</v>
      </c>
      <c r="L46" s="14"/>
      <c r="M46" s="75">
        <f>E46*L46</f>
        <v>0</v>
      </c>
      <c r="N46" s="82"/>
      <c r="O46" s="75">
        <f>E46*N46</f>
        <v>0</v>
      </c>
      <c r="P46" s="14"/>
      <c r="Q46" s="75">
        <f>E46*P46</f>
        <v>0</v>
      </c>
      <c r="R46" s="14"/>
    </row>
    <row r="47" ht="15.75" spans="1:18">
      <c r="A47" s="11">
        <v>2</v>
      </c>
      <c r="B47" s="38" t="s">
        <v>815</v>
      </c>
      <c r="C47" s="39"/>
      <c r="D47" s="14">
        <v>1</v>
      </c>
      <c r="E47" s="54">
        <v>20000</v>
      </c>
      <c r="F47" s="40">
        <v>20000</v>
      </c>
      <c r="G47" s="39" t="s">
        <v>25</v>
      </c>
      <c r="H47" s="39" t="s">
        <v>814</v>
      </c>
      <c r="I47" s="39" t="s">
        <v>778</v>
      </c>
      <c r="J47" s="81">
        <v>1</v>
      </c>
      <c r="K47" s="75">
        <v>20000</v>
      </c>
      <c r="L47" s="83"/>
      <c r="M47" s="75"/>
      <c r="N47" s="84"/>
      <c r="O47" s="75"/>
      <c r="P47" s="84"/>
      <c r="Q47" s="75"/>
      <c r="R47" s="14"/>
    </row>
    <row r="48" ht="15.75" spans="1:18">
      <c r="A48" s="11">
        <v>3</v>
      </c>
      <c r="B48" s="38" t="s">
        <v>816</v>
      </c>
      <c r="C48" s="39"/>
      <c r="D48" s="14">
        <v>1</v>
      </c>
      <c r="E48" s="29">
        <v>4000000</v>
      </c>
      <c r="F48" s="40">
        <v>4000000</v>
      </c>
      <c r="G48" s="39" t="s">
        <v>25</v>
      </c>
      <c r="H48" s="39" t="s">
        <v>814</v>
      </c>
      <c r="I48" s="39" t="s">
        <v>716</v>
      </c>
      <c r="J48" s="74"/>
      <c r="K48" s="75"/>
      <c r="L48" s="14"/>
      <c r="M48" s="75"/>
      <c r="N48" s="14"/>
      <c r="O48" s="75"/>
      <c r="P48" s="14">
        <v>1</v>
      </c>
      <c r="Q48" s="75">
        <v>4000000</v>
      </c>
      <c r="R48" s="14"/>
    </row>
    <row r="49" ht="15.75" spans="1:18">
      <c r="A49" s="11"/>
      <c r="B49" s="38" t="s">
        <v>817</v>
      </c>
      <c r="C49" s="39" t="s">
        <v>799</v>
      </c>
      <c r="D49" s="14">
        <v>40</v>
      </c>
      <c r="E49" s="29">
        <v>4000</v>
      </c>
      <c r="F49" s="55">
        <f>E49*D49</f>
        <v>160000</v>
      </c>
      <c r="G49" s="39" t="s">
        <v>813</v>
      </c>
      <c r="H49" s="13" t="s">
        <v>729</v>
      </c>
      <c r="I49" s="39" t="s">
        <v>778</v>
      </c>
      <c r="J49" s="74"/>
      <c r="K49" s="75"/>
      <c r="L49" s="14">
        <v>40</v>
      </c>
      <c r="M49" s="75">
        <v>160000</v>
      </c>
      <c r="N49" s="14"/>
      <c r="O49" s="75">
        <f>E49*N49</f>
        <v>0</v>
      </c>
      <c r="P49" s="14"/>
      <c r="Q49" s="75">
        <f>E49*P49</f>
        <v>0</v>
      </c>
      <c r="R49" s="14"/>
    </row>
    <row r="50" ht="15.75" spans="1:18">
      <c r="A50" s="11"/>
      <c r="B50" s="12" t="s">
        <v>22</v>
      </c>
      <c r="C50" s="13"/>
      <c r="D50" s="14"/>
      <c r="E50" s="25"/>
      <c r="F50" s="26">
        <f>SUM(F46:F49)</f>
        <v>6180000</v>
      </c>
      <c r="G50" s="46"/>
      <c r="H50" s="13"/>
      <c r="I50" s="13"/>
      <c r="J50" s="14"/>
      <c r="K50" s="14"/>
      <c r="L50" s="14"/>
      <c r="M50" s="14"/>
      <c r="N50" s="14"/>
      <c r="O50" s="14"/>
      <c r="P50" s="14"/>
      <c r="Q50" s="14"/>
      <c r="R50" s="14"/>
    </row>
    <row r="51" ht="15.75" spans="1:18">
      <c r="A51" s="11"/>
      <c r="B51" s="11"/>
      <c r="C51" s="13"/>
      <c r="D51" s="14"/>
      <c r="E51" s="15"/>
      <c r="F51" s="15"/>
      <c r="G51" s="13"/>
      <c r="H51" s="13"/>
      <c r="I51" s="13"/>
      <c r="J51" s="14"/>
      <c r="K51" s="14"/>
      <c r="L51" s="14"/>
      <c r="M51" s="14"/>
      <c r="N51" s="14"/>
      <c r="O51" s="14"/>
      <c r="P51" s="14"/>
      <c r="Q51" s="14"/>
      <c r="R51" s="14"/>
    </row>
    <row r="52" ht="15.75" spans="1:18">
      <c r="A52" s="11"/>
      <c r="B52" s="11"/>
      <c r="C52" s="13"/>
      <c r="D52" s="14"/>
      <c r="E52" s="15"/>
      <c r="F52" s="15"/>
      <c r="G52" s="13"/>
      <c r="H52" s="13"/>
      <c r="I52" s="13"/>
      <c r="J52" s="14"/>
      <c r="K52" s="14"/>
      <c r="L52" s="14"/>
      <c r="M52" s="14"/>
      <c r="N52" s="14"/>
      <c r="O52" s="14"/>
      <c r="P52" s="14"/>
      <c r="Q52" s="14"/>
      <c r="R52" s="14"/>
    </row>
    <row r="53" ht="15.75" spans="1:18">
      <c r="A53" s="12">
        <v>5</v>
      </c>
      <c r="B53" s="12" t="s">
        <v>818</v>
      </c>
      <c r="C53" s="13"/>
      <c r="D53" s="14"/>
      <c r="E53" s="15"/>
      <c r="F53" s="15"/>
      <c r="G53" s="13"/>
      <c r="H53" s="13"/>
      <c r="I53" s="13"/>
      <c r="J53" s="14"/>
      <c r="K53" s="14"/>
      <c r="L53" s="14"/>
      <c r="M53" s="14"/>
      <c r="N53" s="14"/>
      <c r="O53" s="14"/>
      <c r="P53" s="14"/>
      <c r="Q53" s="14"/>
      <c r="R53" s="14"/>
    </row>
    <row r="54" ht="15.75" spans="1:18">
      <c r="A54" s="11"/>
      <c r="B54" s="11"/>
      <c r="C54" s="13"/>
      <c r="D54" s="56"/>
      <c r="E54" s="45"/>
      <c r="F54" s="15"/>
      <c r="G54" s="13"/>
      <c r="H54" s="13"/>
      <c r="I54" s="13"/>
      <c r="J54" s="14"/>
      <c r="K54" s="14"/>
      <c r="L54" s="14"/>
      <c r="M54" s="14"/>
      <c r="N54" s="14"/>
      <c r="O54" s="14"/>
      <c r="P54" s="14"/>
      <c r="Q54" s="14"/>
      <c r="R54" s="14"/>
    </row>
    <row r="55" ht="15.75" spans="1:18">
      <c r="A55" s="11"/>
      <c r="B55" s="11"/>
      <c r="C55" s="13"/>
      <c r="D55" s="14"/>
      <c r="E55" s="15"/>
      <c r="F55" s="15"/>
      <c r="G55" s="13"/>
      <c r="H55" s="13"/>
      <c r="I55" s="13"/>
      <c r="J55" s="14"/>
      <c r="K55" s="14"/>
      <c r="L55" s="14"/>
      <c r="M55" s="14"/>
      <c r="N55" s="14"/>
      <c r="O55" s="14"/>
      <c r="P55" s="14"/>
      <c r="Q55" s="14"/>
      <c r="R55" s="14"/>
    </row>
    <row r="56" ht="15.75" spans="1:18">
      <c r="A56" s="11"/>
      <c r="B56" s="11"/>
      <c r="C56" s="13"/>
      <c r="D56" s="14"/>
      <c r="E56" s="15"/>
      <c r="F56" s="15"/>
      <c r="G56" s="13"/>
      <c r="H56" s="13"/>
      <c r="I56" s="13"/>
      <c r="J56" s="14"/>
      <c r="K56" s="14"/>
      <c r="L56" s="14"/>
      <c r="M56" s="14"/>
      <c r="N56" s="14"/>
      <c r="O56" s="14"/>
      <c r="P56" s="14"/>
      <c r="Q56" s="14"/>
      <c r="R56" s="14"/>
    </row>
    <row r="57" ht="15.75" spans="1:18">
      <c r="A57" s="12">
        <v>6</v>
      </c>
      <c r="B57" s="12" t="s">
        <v>819</v>
      </c>
      <c r="C57" s="13"/>
      <c r="D57" s="14"/>
      <c r="E57" s="15"/>
      <c r="F57" s="15"/>
      <c r="G57" s="13"/>
      <c r="H57" s="13"/>
      <c r="I57" s="13"/>
      <c r="J57" s="14"/>
      <c r="K57" s="14"/>
      <c r="L57" s="14"/>
      <c r="M57" s="14"/>
      <c r="N57" s="14"/>
      <c r="O57" s="14"/>
      <c r="P57" s="14"/>
      <c r="Q57" s="14"/>
      <c r="R57" s="14"/>
    </row>
    <row r="58" ht="15.75" spans="1:18">
      <c r="A58" s="11"/>
      <c r="B58" s="11"/>
      <c r="C58" s="13"/>
      <c r="D58" s="14"/>
      <c r="E58" s="15"/>
      <c r="F58" s="15"/>
      <c r="G58" s="13"/>
      <c r="H58" s="13"/>
      <c r="I58" s="13"/>
      <c r="J58" s="14"/>
      <c r="K58" s="14"/>
      <c r="L58" s="14"/>
      <c r="M58" s="14"/>
      <c r="N58" s="14"/>
      <c r="O58" s="14"/>
      <c r="P58" s="14"/>
      <c r="Q58" s="14"/>
      <c r="R58" s="14"/>
    </row>
    <row r="59" ht="15.75" spans="1:18">
      <c r="A59" s="11"/>
      <c r="B59" s="11"/>
      <c r="C59" s="13"/>
      <c r="D59" s="14"/>
      <c r="E59" s="15"/>
      <c r="F59" s="15"/>
      <c r="G59" s="13"/>
      <c r="H59" s="13"/>
      <c r="I59" s="13"/>
      <c r="J59" s="14"/>
      <c r="K59" s="14"/>
      <c r="L59" s="14"/>
      <c r="M59" s="14"/>
      <c r="N59" s="14"/>
      <c r="O59" s="14"/>
      <c r="P59" s="14"/>
      <c r="Q59" s="14"/>
      <c r="R59" s="14"/>
    </row>
    <row r="60" ht="15.75" spans="1:18">
      <c r="A60" s="11"/>
      <c r="B60" s="11"/>
      <c r="C60" s="13"/>
      <c r="D60" s="14"/>
      <c r="E60" s="15"/>
      <c r="F60" s="15"/>
      <c r="G60" s="13"/>
      <c r="H60" s="13"/>
      <c r="I60" s="13"/>
      <c r="J60" s="14"/>
      <c r="K60" s="14"/>
      <c r="L60" s="14"/>
      <c r="M60" s="14"/>
      <c r="N60" s="14"/>
      <c r="O60" s="14"/>
      <c r="P60" s="14"/>
      <c r="Q60" s="14"/>
      <c r="R60" s="14"/>
    </row>
    <row r="61" ht="15.75" spans="1:18">
      <c r="A61" s="12">
        <v>7</v>
      </c>
      <c r="B61" s="12" t="s">
        <v>740</v>
      </c>
      <c r="C61" s="13"/>
      <c r="D61" s="14"/>
      <c r="E61" s="15"/>
      <c r="F61" s="15"/>
      <c r="G61" s="13"/>
      <c r="H61" s="13"/>
      <c r="I61" s="13"/>
      <c r="J61" s="14"/>
      <c r="K61" s="14"/>
      <c r="L61" s="14"/>
      <c r="M61" s="14"/>
      <c r="N61" s="14"/>
      <c r="O61" s="14"/>
      <c r="P61" s="14"/>
      <c r="Q61" s="14"/>
      <c r="R61" s="14"/>
    </row>
    <row r="62" ht="15.75" spans="1:18">
      <c r="A62" s="57">
        <v>1</v>
      </c>
      <c r="B62" s="58" t="s">
        <v>820</v>
      </c>
      <c r="C62" s="59" t="s">
        <v>821</v>
      </c>
      <c r="D62" s="60">
        <v>6</v>
      </c>
      <c r="E62" s="61">
        <v>15000</v>
      </c>
      <c r="F62" s="62">
        <f t="shared" ref="F62:F90" si="0">D62*E62</f>
        <v>90000</v>
      </c>
      <c r="G62" s="39" t="s">
        <v>822</v>
      </c>
      <c r="H62" s="39" t="s">
        <v>729</v>
      </c>
      <c r="I62" s="39" t="s">
        <v>778</v>
      </c>
      <c r="J62" s="85">
        <v>3</v>
      </c>
      <c r="K62" s="85">
        <v>45000</v>
      </c>
      <c r="L62" s="14"/>
      <c r="M62" s="14"/>
      <c r="N62" s="85">
        <v>3</v>
      </c>
      <c r="O62" s="85">
        <v>45000</v>
      </c>
      <c r="P62" s="85"/>
      <c r="Q62" s="85"/>
      <c r="R62" s="77"/>
    </row>
    <row r="63" ht="15.75" spans="1:18">
      <c r="A63" s="57">
        <v>2</v>
      </c>
      <c r="B63" s="38" t="s">
        <v>823</v>
      </c>
      <c r="C63" s="59" t="s">
        <v>821</v>
      </c>
      <c r="D63" s="60">
        <v>6</v>
      </c>
      <c r="E63" s="61">
        <v>12000</v>
      </c>
      <c r="F63" s="63">
        <f t="shared" si="0"/>
        <v>72000</v>
      </c>
      <c r="G63" s="39" t="s">
        <v>822</v>
      </c>
      <c r="H63" s="39" t="s">
        <v>729</v>
      </c>
      <c r="I63" s="39" t="s">
        <v>778</v>
      </c>
      <c r="J63" s="86">
        <v>3</v>
      </c>
      <c r="K63" s="86">
        <v>36000</v>
      </c>
      <c r="L63" s="14"/>
      <c r="M63" s="14"/>
      <c r="N63" s="86">
        <v>3</v>
      </c>
      <c r="O63" s="86">
        <v>36000</v>
      </c>
      <c r="P63" s="77"/>
      <c r="Q63" s="77"/>
      <c r="R63" s="77"/>
    </row>
    <row r="64" ht="15.75" spans="1:18">
      <c r="A64" s="57">
        <v>3</v>
      </c>
      <c r="B64" s="38" t="s">
        <v>824</v>
      </c>
      <c r="C64" s="59" t="s">
        <v>825</v>
      </c>
      <c r="D64" s="60">
        <v>75</v>
      </c>
      <c r="E64" s="61">
        <v>300</v>
      </c>
      <c r="F64" s="63">
        <f t="shared" si="0"/>
        <v>22500</v>
      </c>
      <c r="G64" s="39" t="s">
        <v>822</v>
      </c>
      <c r="H64" s="39" t="s">
        <v>729</v>
      </c>
      <c r="I64" s="39" t="s">
        <v>778</v>
      </c>
      <c r="J64" s="87">
        <v>75</v>
      </c>
      <c r="K64" s="87">
        <v>22500</v>
      </c>
      <c r="L64" s="87"/>
      <c r="M64" s="87"/>
      <c r="N64" s="87"/>
      <c r="O64" s="87"/>
      <c r="P64" s="87"/>
      <c r="Q64" s="87"/>
      <c r="R64" s="77"/>
    </row>
    <row r="65" ht="15.75" spans="1:18">
      <c r="A65" s="57">
        <v>4</v>
      </c>
      <c r="B65" s="38" t="s">
        <v>826</v>
      </c>
      <c r="C65" s="59" t="s">
        <v>825</v>
      </c>
      <c r="D65" s="60">
        <v>75</v>
      </c>
      <c r="E65" s="61">
        <v>280</v>
      </c>
      <c r="F65" s="63">
        <f t="shared" si="0"/>
        <v>21000</v>
      </c>
      <c r="G65" s="39" t="s">
        <v>822</v>
      </c>
      <c r="H65" s="39" t="s">
        <v>729</v>
      </c>
      <c r="I65" s="39" t="s">
        <v>778</v>
      </c>
      <c r="J65" s="77">
        <v>75</v>
      </c>
      <c r="K65" s="77">
        <v>21000</v>
      </c>
      <c r="L65" s="77"/>
      <c r="M65" s="77"/>
      <c r="N65" s="106"/>
      <c r="O65" s="106"/>
      <c r="P65" s="106"/>
      <c r="Q65" s="106"/>
      <c r="R65" s="77"/>
    </row>
    <row r="66" ht="15.75" spans="1:18">
      <c r="A66" s="57">
        <v>5</v>
      </c>
      <c r="B66" s="38" t="s">
        <v>827</v>
      </c>
      <c r="C66" s="59" t="s">
        <v>825</v>
      </c>
      <c r="D66" s="60">
        <v>25</v>
      </c>
      <c r="E66" s="61">
        <v>150</v>
      </c>
      <c r="F66" s="63">
        <f t="shared" si="0"/>
        <v>3750</v>
      </c>
      <c r="G66" s="39" t="s">
        <v>822</v>
      </c>
      <c r="H66" s="39" t="s">
        <v>729</v>
      </c>
      <c r="I66" s="39" t="s">
        <v>778</v>
      </c>
      <c r="J66" s="85">
        <v>25</v>
      </c>
      <c r="K66" s="85">
        <v>3750</v>
      </c>
      <c r="L66" s="106"/>
      <c r="M66" s="106"/>
      <c r="N66" s="106"/>
      <c r="O66" s="106"/>
      <c r="P66" s="106"/>
      <c r="Q66" s="106"/>
      <c r="R66" s="77"/>
    </row>
    <row r="67" ht="15.75" spans="1:18">
      <c r="A67" s="57">
        <v>6</v>
      </c>
      <c r="B67" s="38" t="s">
        <v>828</v>
      </c>
      <c r="C67" s="59" t="s">
        <v>825</v>
      </c>
      <c r="D67" s="60">
        <v>20</v>
      </c>
      <c r="E67" s="61">
        <v>1000</v>
      </c>
      <c r="F67" s="63">
        <f t="shared" si="0"/>
        <v>20000</v>
      </c>
      <c r="G67" s="39" t="s">
        <v>822</v>
      </c>
      <c r="H67" s="39" t="s">
        <v>729</v>
      </c>
      <c r="I67" s="39" t="s">
        <v>778</v>
      </c>
      <c r="J67" s="85">
        <v>10</v>
      </c>
      <c r="K67" s="85">
        <v>10000</v>
      </c>
      <c r="L67" s="85"/>
      <c r="M67" s="85"/>
      <c r="N67" s="85">
        <v>10</v>
      </c>
      <c r="O67" s="85">
        <v>10000</v>
      </c>
      <c r="P67" s="85"/>
      <c r="Q67" s="77"/>
      <c r="R67" s="77"/>
    </row>
    <row r="68" ht="15.75" spans="1:18">
      <c r="A68" s="57">
        <v>7</v>
      </c>
      <c r="B68" s="38" t="s">
        <v>829</v>
      </c>
      <c r="C68" s="59" t="s">
        <v>825</v>
      </c>
      <c r="D68" s="60">
        <v>20</v>
      </c>
      <c r="E68" s="61">
        <v>1000</v>
      </c>
      <c r="F68" s="63">
        <f t="shared" si="0"/>
        <v>20000</v>
      </c>
      <c r="G68" s="39" t="s">
        <v>822</v>
      </c>
      <c r="H68" s="39" t="s">
        <v>729</v>
      </c>
      <c r="I68" s="39" t="s">
        <v>778</v>
      </c>
      <c r="J68" s="85">
        <v>10</v>
      </c>
      <c r="K68" s="85">
        <v>10000</v>
      </c>
      <c r="L68" s="106"/>
      <c r="M68" s="106"/>
      <c r="N68" s="85">
        <v>10</v>
      </c>
      <c r="O68" s="85">
        <v>10000</v>
      </c>
      <c r="P68" s="85"/>
      <c r="Q68" s="106"/>
      <c r="R68" s="77"/>
    </row>
    <row r="69" ht="15.75" spans="1:18">
      <c r="A69" s="57">
        <v>8</v>
      </c>
      <c r="B69" s="38" t="s">
        <v>830</v>
      </c>
      <c r="C69" s="59" t="s">
        <v>825</v>
      </c>
      <c r="D69" s="60">
        <v>15</v>
      </c>
      <c r="E69" s="61">
        <v>1000</v>
      </c>
      <c r="F69" s="63">
        <f t="shared" si="0"/>
        <v>15000</v>
      </c>
      <c r="G69" s="39" t="s">
        <v>822</v>
      </c>
      <c r="H69" s="39" t="s">
        <v>729</v>
      </c>
      <c r="I69" s="39" t="s">
        <v>778</v>
      </c>
      <c r="J69" s="85">
        <v>15</v>
      </c>
      <c r="K69" s="85">
        <v>15000</v>
      </c>
      <c r="L69" s="106"/>
      <c r="M69" s="106"/>
      <c r="N69" s="106"/>
      <c r="O69" s="106"/>
      <c r="P69" s="106"/>
      <c r="Q69" s="106"/>
      <c r="R69" s="77"/>
    </row>
    <row r="70" ht="15.75" spans="1:18">
      <c r="A70" s="57">
        <v>9</v>
      </c>
      <c r="B70" s="38" t="s">
        <v>831</v>
      </c>
      <c r="C70" s="59" t="s">
        <v>825</v>
      </c>
      <c r="D70" s="60">
        <v>20</v>
      </c>
      <c r="E70" s="61">
        <v>450</v>
      </c>
      <c r="F70" s="63">
        <f t="shared" si="0"/>
        <v>9000</v>
      </c>
      <c r="G70" s="39" t="s">
        <v>822</v>
      </c>
      <c r="H70" s="39" t="s">
        <v>729</v>
      </c>
      <c r="I70" s="39" t="s">
        <v>778</v>
      </c>
      <c r="J70" s="85">
        <v>20</v>
      </c>
      <c r="K70" s="85">
        <v>9000</v>
      </c>
      <c r="L70" s="106"/>
      <c r="M70" s="106"/>
      <c r="N70" s="106"/>
      <c r="O70" s="106"/>
      <c r="P70" s="106"/>
      <c r="Q70" s="106"/>
      <c r="R70" s="77"/>
    </row>
    <row r="71" ht="15.75" spans="1:18">
      <c r="A71" s="57">
        <v>10</v>
      </c>
      <c r="B71" s="38" t="s">
        <v>832</v>
      </c>
      <c r="C71" s="59" t="s">
        <v>825</v>
      </c>
      <c r="D71" s="60">
        <v>20</v>
      </c>
      <c r="E71" s="61">
        <v>300</v>
      </c>
      <c r="F71" s="63">
        <f t="shared" si="0"/>
        <v>6000</v>
      </c>
      <c r="G71" s="39" t="s">
        <v>822</v>
      </c>
      <c r="H71" s="39" t="s">
        <v>729</v>
      </c>
      <c r="I71" s="39" t="s">
        <v>778</v>
      </c>
      <c r="J71" s="77">
        <v>20</v>
      </c>
      <c r="K71" s="77">
        <v>6000</v>
      </c>
      <c r="L71" s="106"/>
      <c r="M71" s="106"/>
      <c r="N71" s="106"/>
      <c r="O71" s="106"/>
      <c r="P71" s="106"/>
      <c r="Q71" s="106"/>
      <c r="R71" s="77"/>
    </row>
    <row r="72" ht="15.75" spans="1:18">
      <c r="A72" s="57">
        <v>11</v>
      </c>
      <c r="B72" s="38" t="s">
        <v>833</v>
      </c>
      <c r="C72" s="59" t="s">
        <v>825</v>
      </c>
      <c r="D72" s="60">
        <v>50</v>
      </c>
      <c r="E72" s="61">
        <v>200</v>
      </c>
      <c r="F72" s="40">
        <f t="shared" si="0"/>
        <v>10000</v>
      </c>
      <c r="G72" s="39" t="s">
        <v>822</v>
      </c>
      <c r="H72" s="39" t="s">
        <v>729</v>
      </c>
      <c r="I72" s="39" t="s">
        <v>778</v>
      </c>
      <c r="J72" s="77">
        <v>25</v>
      </c>
      <c r="K72" s="77">
        <v>5000</v>
      </c>
      <c r="L72" s="77"/>
      <c r="M72" s="77"/>
      <c r="N72" s="77">
        <v>25</v>
      </c>
      <c r="O72" s="77">
        <v>5000</v>
      </c>
      <c r="P72" s="106"/>
      <c r="Q72" s="106"/>
      <c r="R72" s="77"/>
    </row>
    <row r="73" ht="15.75" spans="1:18">
      <c r="A73" s="57">
        <v>12</v>
      </c>
      <c r="B73" s="38" t="s">
        <v>834</v>
      </c>
      <c r="C73" s="59" t="s">
        <v>825</v>
      </c>
      <c r="D73" s="60">
        <v>50</v>
      </c>
      <c r="E73" s="61">
        <v>20</v>
      </c>
      <c r="F73" s="40">
        <f t="shared" si="0"/>
        <v>1000</v>
      </c>
      <c r="G73" s="39" t="s">
        <v>822</v>
      </c>
      <c r="H73" s="39" t="s">
        <v>729</v>
      </c>
      <c r="I73" s="39" t="s">
        <v>778</v>
      </c>
      <c r="J73" s="77">
        <v>50</v>
      </c>
      <c r="K73" s="77">
        <v>1000</v>
      </c>
      <c r="L73" s="77"/>
      <c r="M73" s="77"/>
      <c r="N73" s="77"/>
      <c r="O73" s="77"/>
      <c r="P73" s="77"/>
      <c r="Q73" s="77"/>
      <c r="R73" s="77"/>
    </row>
    <row r="74" ht="15.75" spans="1:18">
      <c r="A74" s="57">
        <v>13</v>
      </c>
      <c r="B74" s="38" t="s">
        <v>835</v>
      </c>
      <c r="C74" s="59" t="s">
        <v>825</v>
      </c>
      <c r="D74" s="60">
        <v>50</v>
      </c>
      <c r="E74" s="61">
        <v>100</v>
      </c>
      <c r="F74" s="40">
        <f t="shared" si="0"/>
        <v>5000</v>
      </c>
      <c r="G74" s="39" t="s">
        <v>822</v>
      </c>
      <c r="H74" s="39" t="s">
        <v>729</v>
      </c>
      <c r="I74" s="39" t="s">
        <v>778</v>
      </c>
      <c r="J74" s="77">
        <v>50</v>
      </c>
      <c r="K74" s="77">
        <v>5000</v>
      </c>
      <c r="L74" s="77"/>
      <c r="M74" s="77"/>
      <c r="N74" s="77"/>
      <c r="O74" s="77"/>
      <c r="P74" s="77"/>
      <c r="Q74" s="77"/>
      <c r="R74" s="77"/>
    </row>
    <row r="75" ht="15.75" spans="1:18">
      <c r="A75" s="57">
        <v>14</v>
      </c>
      <c r="B75" s="38" t="s">
        <v>836</v>
      </c>
      <c r="C75" s="59" t="s">
        <v>825</v>
      </c>
      <c r="D75" s="60">
        <v>50</v>
      </c>
      <c r="E75" s="61">
        <v>100</v>
      </c>
      <c r="F75" s="40">
        <f t="shared" si="0"/>
        <v>5000</v>
      </c>
      <c r="G75" s="39" t="s">
        <v>822</v>
      </c>
      <c r="H75" s="39" t="s">
        <v>729</v>
      </c>
      <c r="I75" s="39" t="s">
        <v>778</v>
      </c>
      <c r="J75" s="77">
        <v>50</v>
      </c>
      <c r="K75" s="77">
        <v>5000</v>
      </c>
      <c r="L75" s="77"/>
      <c r="M75" s="77"/>
      <c r="N75" s="77"/>
      <c r="O75" s="77"/>
      <c r="P75" s="77"/>
      <c r="Q75" s="77"/>
      <c r="R75" s="77"/>
    </row>
    <row r="76" ht="15.75" spans="1:18">
      <c r="A76" s="57">
        <v>15</v>
      </c>
      <c r="B76" s="38" t="s">
        <v>837</v>
      </c>
      <c r="C76" s="59" t="s">
        <v>825</v>
      </c>
      <c r="D76" s="60">
        <v>150</v>
      </c>
      <c r="E76" s="61">
        <v>40</v>
      </c>
      <c r="F76" s="40">
        <f t="shared" si="0"/>
        <v>6000</v>
      </c>
      <c r="G76" s="39" t="s">
        <v>822</v>
      </c>
      <c r="H76" s="39" t="s">
        <v>729</v>
      </c>
      <c r="I76" s="39" t="s">
        <v>778</v>
      </c>
      <c r="J76" s="77">
        <v>150</v>
      </c>
      <c r="K76" s="77">
        <v>6000</v>
      </c>
      <c r="L76" s="77"/>
      <c r="M76" s="77"/>
      <c r="N76" s="77"/>
      <c r="O76" s="77"/>
      <c r="P76" s="77"/>
      <c r="Q76" s="77"/>
      <c r="R76" s="77"/>
    </row>
    <row r="77" ht="15.75" spans="1:18">
      <c r="A77" s="57">
        <v>16</v>
      </c>
      <c r="B77" s="38" t="s">
        <v>838</v>
      </c>
      <c r="C77" s="59" t="s">
        <v>825</v>
      </c>
      <c r="D77" s="60">
        <v>25</v>
      </c>
      <c r="E77" s="61">
        <v>300</v>
      </c>
      <c r="F77" s="63">
        <f t="shared" si="0"/>
        <v>7500</v>
      </c>
      <c r="G77" s="39" t="s">
        <v>822</v>
      </c>
      <c r="H77" s="39" t="s">
        <v>729</v>
      </c>
      <c r="I77" s="39" t="s">
        <v>778</v>
      </c>
      <c r="J77" s="85">
        <v>25</v>
      </c>
      <c r="K77" s="85">
        <v>7500</v>
      </c>
      <c r="L77" s="107"/>
      <c r="M77" s="107"/>
      <c r="N77" s="106"/>
      <c r="O77" s="106"/>
      <c r="P77" s="106"/>
      <c r="Q77" s="106"/>
      <c r="R77" s="77"/>
    </row>
    <row r="78" ht="15.75" spans="1:18">
      <c r="A78" s="57">
        <v>17</v>
      </c>
      <c r="B78" s="38" t="s">
        <v>839</v>
      </c>
      <c r="C78" s="59" t="s">
        <v>825</v>
      </c>
      <c r="D78" s="60">
        <v>25</v>
      </c>
      <c r="E78" s="61">
        <v>300</v>
      </c>
      <c r="F78" s="63">
        <f t="shared" si="0"/>
        <v>7500</v>
      </c>
      <c r="G78" s="39" t="s">
        <v>822</v>
      </c>
      <c r="H78" s="39" t="s">
        <v>729</v>
      </c>
      <c r="I78" s="39" t="s">
        <v>778</v>
      </c>
      <c r="J78" s="85">
        <v>25</v>
      </c>
      <c r="K78" s="85">
        <v>7500</v>
      </c>
      <c r="L78" s="106"/>
      <c r="M78" s="106"/>
      <c r="N78" s="85"/>
      <c r="O78" s="85"/>
      <c r="P78" s="85"/>
      <c r="Q78" s="85"/>
      <c r="R78" s="77"/>
    </row>
    <row r="79" ht="15.75" spans="1:18">
      <c r="A79" s="57">
        <v>18</v>
      </c>
      <c r="B79" s="38" t="s">
        <v>840</v>
      </c>
      <c r="C79" s="59" t="s">
        <v>825</v>
      </c>
      <c r="D79" s="60">
        <v>20</v>
      </c>
      <c r="E79" s="61">
        <v>250</v>
      </c>
      <c r="F79" s="63">
        <f t="shared" si="0"/>
        <v>5000</v>
      </c>
      <c r="G79" s="39" t="s">
        <v>822</v>
      </c>
      <c r="H79" s="39" t="s">
        <v>729</v>
      </c>
      <c r="I79" s="39" t="s">
        <v>778</v>
      </c>
      <c r="J79" s="77">
        <v>20</v>
      </c>
      <c r="K79" s="77">
        <v>5000</v>
      </c>
      <c r="L79" s="77"/>
      <c r="M79" s="77"/>
      <c r="N79" s="77"/>
      <c r="O79" s="77"/>
      <c r="P79" s="77"/>
      <c r="Q79" s="77"/>
      <c r="R79" s="77"/>
    </row>
    <row r="80" ht="15.75" spans="1:18">
      <c r="A80" s="57">
        <v>19</v>
      </c>
      <c r="B80" s="38" t="s">
        <v>841</v>
      </c>
      <c r="C80" s="59" t="s">
        <v>825</v>
      </c>
      <c r="D80" s="60">
        <v>60</v>
      </c>
      <c r="E80" s="61">
        <v>300</v>
      </c>
      <c r="F80" s="63">
        <f t="shared" si="0"/>
        <v>18000</v>
      </c>
      <c r="G80" s="59" t="s">
        <v>822</v>
      </c>
      <c r="H80" s="39" t="s">
        <v>729</v>
      </c>
      <c r="I80" s="39" t="s">
        <v>778</v>
      </c>
      <c r="J80" s="77">
        <v>30</v>
      </c>
      <c r="K80" s="77">
        <v>9000</v>
      </c>
      <c r="L80" s="77"/>
      <c r="M80" s="77"/>
      <c r="N80" s="77">
        <v>30</v>
      </c>
      <c r="O80" s="77">
        <v>9000</v>
      </c>
      <c r="P80" s="77"/>
      <c r="Q80" s="77"/>
      <c r="R80" s="77"/>
    </row>
    <row r="81" ht="15.75" spans="1:18">
      <c r="A81" s="57">
        <v>20</v>
      </c>
      <c r="B81" s="38" t="s">
        <v>842</v>
      </c>
      <c r="C81" s="59" t="s">
        <v>825</v>
      </c>
      <c r="D81" s="60">
        <v>60</v>
      </c>
      <c r="E81" s="61">
        <v>300</v>
      </c>
      <c r="F81" s="63">
        <f t="shared" si="0"/>
        <v>18000</v>
      </c>
      <c r="G81" s="59" t="s">
        <v>822</v>
      </c>
      <c r="H81" s="39" t="s">
        <v>729</v>
      </c>
      <c r="I81" s="39" t="s">
        <v>778</v>
      </c>
      <c r="J81" s="77">
        <v>30</v>
      </c>
      <c r="K81" s="77">
        <v>9000</v>
      </c>
      <c r="L81" s="77"/>
      <c r="M81" s="77"/>
      <c r="N81" s="77">
        <v>30</v>
      </c>
      <c r="O81" s="77">
        <v>9000</v>
      </c>
      <c r="P81" s="77"/>
      <c r="Q81" s="77"/>
      <c r="R81" s="77"/>
    </row>
    <row r="82" ht="15.75" spans="1:18">
      <c r="A82" s="57">
        <v>21</v>
      </c>
      <c r="B82" s="38" t="s">
        <v>86</v>
      </c>
      <c r="C82" s="59" t="s">
        <v>821</v>
      </c>
      <c r="D82" s="60">
        <v>20</v>
      </c>
      <c r="E82" s="61">
        <v>150</v>
      </c>
      <c r="F82" s="63">
        <f t="shared" si="0"/>
        <v>3000</v>
      </c>
      <c r="G82" s="39" t="s">
        <v>822</v>
      </c>
      <c r="H82" s="39" t="s">
        <v>729</v>
      </c>
      <c r="I82" s="39" t="s">
        <v>778</v>
      </c>
      <c r="J82" s="77">
        <v>10</v>
      </c>
      <c r="K82" s="77">
        <v>1500</v>
      </c>
      <c r="L82" s="77"/>
      <c r="M82" s="77"/>
      <c r="N82" s="77">
        <v>10</v>
      </c>
      <c r="O82" s="77">
        <v>1500</v>
      </c>
      <c r="P82" s="77"/>
      <c r="Q82" s="77"/>
      <c r="R82" s="77"/>
    </row>
    <row r="83" ht="15.75" spans="1:18">
      <c r="A83" s="57">
        <v>22</v>
      </c>
      <c r="B83" s="38" t="s">
        <v>843</v>
      </c>
      <c r="C83" s="59" t="s">
        <v>821</v>
      </c>
      <c r="D83" s="60">
        <v>20</v>
      </c>
      <c r="E83" s="61">
        <v>150</v>
      </c>
      <c r="F83" s="63">
        <f t="shared" si="0"/>
        <v>3000</v>
      </c>
      <c r="G83" s="39" t="s">
        <v>822</v>
      </c>
      <c r="H83" s="39" t="s">
        <v>729</v>
      </c>
      <c r="I83" s="39" t="s">
        <v>778</v>
      </c>
      <c r="J83" s="77">
        <v>10</v>
      </c>
      <c r="K83" s="77">
        <v>1500</v>
      </c>
      <c r="L83" s="77"/>
      <c r="M83" s="77"/>
      <c r="N83" s="77">
        <v>10</v>
      </c>
      <c r="O83" s="77">
        <v>1500</v>
      </c>
      <c r="P83" s="77"/>
      <c r="Q83" s="77"/>
      <c r="R83" s="77"/>
    </row>
    <row r="84" ht="15.75" spans="1:18">
      <c r="A84" s="57">
        <v>23</v>
      </c>
      <c r="B84" s="38" t="s">
        <v>844</v>
      </c>
      <c r="C84" s="59" t="s">
        <v>825</v>
      </c>
      <c r="D84" s="60">
        <v>40</v>
      </c>
      <c r="E84" s="61">
        <v>350</v>
      </c>
      <c r="F84" s="63">
        <f t="shared" si="0"/>
        <v>14000</v>
      </c>
      <c r="G84" s="39" t="s">
        <v>822</v>
      </c>
      <c r="H84" s="39" t="s">
        <v>729</v>
      </c>
      <c r="I84" s="39" t="s">
        <v>778</v>
      </c>
      <c r="J84" s="77">
        <v>20</v>
      </c>
      <c r="K84" s="77">
        <v>7000</v>
      </c>
      <c r="L84" s="77"/>
      <c r="M84" s="77"/>
      <c r="N84" s="77">
        <v>20</v>
      </c>
      <c r="O84" s="77">
        <v>7000</v>
      </c>
      <c r="P84" s="77"/>
      <c r="Q84" s="77"/>
      <c r="R84" s="77"/>
    </row>
    <row r="85" ht="15.75" spans="1:18">
      <c r="A85" s="57">
        <v>24</v>
      </c>
      <c r="B85" s="38" t="s">
        <v>845</v>
      </c>
      <c r="C85" s="59" t="s">
        <v>825</v>
      </c>
      <c r="D85" s="60">
        <v>100</v>
      </c>
      <c r="E85" s="61">
        <v>60</v>
      </c>
      <c r="F85" s="63">
        <f t="shared" si="0"/>
        <v>6000</v>
      </c>
      <c r="G85" s="59" t="s">
        <v>822</v>
      </c>
      <c r="H85" s="59" t="s">
        <v>729</v>
      </c>
      <c r="I85" s="39" t="s">
        <v>778</v>
      </c>
      <c r="J85" s="77">
        <v>50</v>
      </c>
      <c r="K85" s="77">
        <v>3000</v>
      </c>
      <c r="L85" s="77"/>
      <c r="M85" s="77"/>
      <c r="N85" s="77">
        <v>50</v>
      </c>
      <c r="O85" s="77">
        <v>3000</v>
      </c>
      <c r="P85" s="77"/>
      <c r="Q85" s="77"/>
      <c r="R85" s="77"/>
    </row>
    <row r="86" ht="15.75" spans="1:18">
      <c r="A86" s="57">
        <v>25</v>
      </c>
      <c r="B86" s="38" t="s">
        <v>846</v>
      </c>
      <c r="C86" s="59" t="s">
        <v>825</v>
      </c>
      <c r="D86" s="60">
        <v>25</v>
      </c>
      <c r="E86" s="61">
        <v>1800</v>
      </c>
      <c r="F86" s="63">
        <f t="shared" si="0"/>
        <v>45000</v>
      </c>
      <c r="G86" s="39" t="s">
        <v>822</v>
      </c>
      <c r="H86" s="59" t="s">
        <v>729</v>
      </c>
      <c r="I86" s="39" t="s">
        <v>778</v>
      </c>
      <c r="J86" s="77">
        <v>10</v>
      </c>
      <c r="K86" s="77">
        <v>18000</v>
      </c>
      <c r="L86" s="77"/>
      <c r="M86" s="77"/>
      <c r="N86" s="77">
        <v>15</v>
      </c>
      <c r="O86" s="77">
        <v>27000</v>
      </c>
      <c r="P86" s="77"/>
      <c r="Q86" s="77"/>
      <c r="R86" s="77"/>
    </row>
    <row r="87" ht="15.75" spans="1:18">
      <c r="A87" s="57">
        <v>26</v>
      </c>
      <c r="B87" s="38" t="s">
        <v>847</v>
      </c>
      <c r="C87" s="59" t="s">
        <v>825</v>
      </c>
      <c r="D87" s="60">
        <v>25</v>
      </c>
      <c r="E87" s="61">
        <v>1500</v>
      </c>
      <c r="F87" s="63">
        <f t="shared" si="0"/>
        <v>37500</v>
      </c>
      <c r="G87" s="39" t="s">
        <v>822</v>
      </c>
      <c r="H87" s="59" t="s">
        <v>729</v>
      </c>
      <c r="I87" s="39" t="s">
        <v>778</v>
      </c>
      <c r="J87" s="77">
        <v>10</v>
      </c>
      <c r="K87" s="77">
        <v>15000</v>
      </c>
      <c r="L87" s="77"/>
      <c r="M87" s="77"/>
      <c r="N87" s="77">
        <v>15</v>
      </c>
      <c r="O87" s="77">
        <v>22500</v>
      </c>
      <c r="P87" s="77"/>
      <c r="Q87" s="77"/>
      <c r="R87" s="77"/>
    </row>
    <row r="88" ht="15.75" spans="1:18">
      <c r="A88" s="57">
        <v>27</v>
      </c>
      <c r="B88" s="38" t="s">
        <v>848</v>
      </c>
      <c r="C88" s="59" t="s">
        <v>825</v>
      </c>
      <c r="D88" s="60">
        <v>20</v>
      </c>
      <c r="E88" s="61">
        <v>1200</v>
      </c>
      <c r="F88" s="63">
        <f t="shared" si="0"/>
        <v>24000</v>
      </c>
      <c r="G88" s="39" t="s">
        <v>822</v>
      </c>
      <c r="H88" s="59" t="s">
        <v>729</v>
      </c>
      <c r="I88" s="39" t="s">
        <v>778</v>
      </c>
      <c r="J88" s="77">
        <v>10</v>
      </c>
      <c r="K88" s="77">
        <v>12000</v>
      </c>
      <c r="L88" s="77"/>
      <c r="M88" s="77"/>
      <c r="N88" s="77">
        <v>10</v>
      </c>
      <c r="O88" s="77">
        <v>12000</v>
      </c>
      <c r="P88" s="77"/>
      <c r="Q88" s="77"/>
      <c r="R88" s="77"/>
    </row>
    <row r="89" ht="15.75" spans="1:18">
      <c r="A89" s="57">
        <v>28</v>
      </c>
      <c r="B89" s="92" t="s">
        <v>849</v>
      </c>
      <c r="C89" s="59" t="s">
        <v>825</v>
      </c>
      <c r="D89" s="60">
        <v>20</v>
      </c>
      <c r="E89" s="61">
        <v>40</v>
      </c>
      <c r="F89" s="40">
        <f t="shared" si="0"/>
        <v>800</v>
      </c>
      <c r="G89" s="39" t="s">
        <v>822</v>
      </c>
      <c r="H89" s="59" t="s">
        <v>729</v>
      </c>
      <c r="I89" s="39" t="s">
        <v>778</v>
      </c>
      <c r="J89" s="77">
        <v>20</v>
      </c>
      <c r="K89" s="77">
        <v>800</v>
      </c>
      <c r="L89" s="77"/>
      <c r="M89" s="77"/>
      <c r="N89" s="77"/>
      <c r="O89" s="77"/>
      <c r="P89" s="77"/>
      <c r="Q89" s="77"/>
      <c r="R89" s="77"/>
    </row>
    <row r="90" ht="15.75" spans="1:18">
      <c r="A90" s="57">
        <v>29</v>
      </c>
      <c r="B90" s="38" t="s">
        <v>850</v>
      </c>
      <c r="C90" s="59" t="s">
        <v>825</v>
      </c>
      <c r="D90" s="60">
        <v>20</v>
      </c>
      <c r="E90" s="61">
        <v>250</v>
      </c>
      <c r="F90" s="63">
        <f t="shared" si="0"/>
        <v>5000</v>
      </c>
      <c r="G90" s="39" t="s">
        <v>822</v>
      </c>
      <c r="H90" s="59" t="s">
        <v>729</v>
      </c>
      <c r="I90" s="39" t="s">
        <v>778</v>
      </c>
      <c r="J90" s="14">
        <v>10</v>
      </c>
      <c r="K90" s="14">
        <v>2500</v>
      </c>
      <c r="L90" s="14"/>
      <c r="M90" s="14"/>
      <c r="N90" s="14">
        <v>10</v>
      </c>
      <c r="O90" s="14">
        <v>2500</v>
      </c>
      <c r="P90" s="14"/>
      <c r="Q90" s="14"/>
      <c r="R90" s="71"/>
    </row>
    <row r="91" ht="15.75" customHeight="1" spans="1:18">
      <c r="A91" s="57">
        <v>30</v>
      </c>
      <c r="B91" s="32" t="s">
        <v>94</v>
      </c>
      <c r="C91" s="93" t="s">
        <v>792</v>
      </c>
      <c r="D91" s="37">
        <v>3</v>
      </c>
      <c r="E91" s="15">
        <v>2500</v>
      </c>
      <c r="F91" s="29">
        <v>7500</v>
      </c>
      <c r="G91" s="13" t="s">
        <v>42</v>
      </c>
      <c r="H91" s="59" t="s">
        <v>729</v>
      </c>
      <c r="I91" s="39" t="s">
        <v>778</v>
      </c>
      <c r="J91" s="60"/>
      <c r="K91" s="60"/>
      <c r="L91" s="60">
        <v>3</v>
      </c>
      <c r="M91" s="14">
        <v>7500</v>
      </c>
      <c r="N91" s="14"/>
      <c r="O91" s="14"/>
      <c r="P91" s="14"/>
      <c r="Q91" s="14"/>
      <c r="R91" s="14"/>
    </row>
    <row r="92" ht="15.75" spans="1:18">
      <c r="A92" s="11">
        <v>31</v>
      </c>
      <c r="B92" s="41" t="s">
        <v>851</v>
      </c>
      <c r="C92" s="31" t="s">
        <v>799</v>
      </c>
      <c r="D92" s="94">
        <v>3</v>
      </c>
      <c r="E92" s="43">
        <v>3000</v>
      </c>
      <c r="F92" s="44">
        <v>9000</v>
      </c>
      <c r="G92" s="31" t="s">
        <v>37</v>
      </c>
      <c r="H92" s="31" t="s">
        <v>729</v>
      </c>
      <c r="I92" s="31" t="s">
        <v>778</v>
      </c>
      <c r="J92" s="76">
        <v>2</v>
      </c>
      <c r="K92" s="72">
        <v>6000</v>
      </c>
      <c r="L92" s="42"/>
      <c r="M92" s="72"/>
      <c r="N92" s="42"/>
      <c r="O92" s="72"/>
      <c r="P92" s="42">
        <v>1</v>
      </c>
      <c r="Q92" s="72">
        <v>3000</v>
      </c>
      <c r="R92" s="14"/>
    </row>
    <row r="93" ht="15.75" spans="1:18">
      <c r="A93" s="11">
        <v>32</v>
      </c>
      <c r="B93" s="19" t="s">
        <v>851</v>
      </c>
      <c r="C93" s="13" t="s">
        <v>783</v>
      </c>
      <c r="D93" s="20">
        <v>4</v>
      </c>
      <c r="E93" s="21">
        <v>3000</v>
      </c>
      <c r="F93" s="21">
        <v>12000</v>
      </c>
      <c r="G93" s="22" t="s">
        <v>40</v>
      </c>
      <c r="H93" s="59" t="s">
        <v>729</v>
      </c>
      <c r="I93" s="39" t="s">
        <v>778</v>
      </c>
      <c r="J93" s="20">
        <v>1</v>
      </c>
      <c r="K93" s="14">
        <v>3000</v>
      </c>
      <c r="L93" s="20">
        <v>1</v>
      </c>
      <c r="M93" s="14">
        <v>3000</v>
      </c>
      <c r="N93" s="20">
        <v>1</v>
      </c>
      <c r="O93" s="14">
        <v>3000</v>
      </c>
      <c r="P93" s="20">
        <v>1</v>
      </c>
      <c r="Q93" s="14">
        <v>3000</v>
      </c>
      <c r="R93" s="14"/>
    </row>
    <row r="94" ht="15.75" spans="1:18">
      <c r="A94" s="11">
        <v>33</v>
      </c>
      <c r="B94" s="19" t="s">
        <v>852</v>
      </c>
      <c r="C94" s="13" t="s">
        <v>783</v>
      </c>
      <c r="D94" s="20">
        <v>1</v>
      </c>
      <c r="E94" s="21">
        <v>3500</v>
      </c>
      <c r="F94" s="21">
        <v>3500</v>
      </c>
      <c r="G94" s="22" t="s">
        <v>40</v>
      </c>
      <c r="H94" s="59" t="s">
        <v>729</v>
      </c>
      <c r="I94" s="39" t="s">
        <v>778</v>
      </c>
      <c r="J94" s="20">
        <v>1</v>
      </c>
      <c r="K94" s="14">
        <v>3500</v>
      </c>
      <c r="L94" s="20"/>
      <c r="M94" s="14"/>
      <c r="N94" s="20"/>
      <c r="O94" s="14"/>
      <c r="P94" s="20"/>
      <c r="Q94" s="14"/>
      <c r="R94" s="14"/>
    </row>
    <row r="95" ht="15.75" spans="1:18">
      <c r="A95" s="11"/>
      <c r="B95" s="41"/>
      <c r="C95" s="31"/>
      <c r="D95" s="94"/>
      <c r="E95" s="43"/>
      <c r="F95" s="44"/>
      <c r="G95" s="31"/>
      <c r="H95" s="31"/>
      <c r="I95" s="31"/>
      <c r="J95" s="76"/>
      <c r="K95" s="72"/>
      <c r="L95" s="42"/>
      <c r="M95" s="72"/>
      <c r="N95" s="42"/>
      <c r="O95" s="72"/>
      <c r="P95" s="42"/>
      <c r="Q95" s="72"/>
      <c r="R95" s="14"/>
    </row>
    <row r="96" ht="15.75" spans="1:18">
      <c r="A96" s="11"/>
      <c r="B96" s="41"/>
      <c r="C96" s="31"/>
      <c r="D96" s="94"/>
      <c r="E96" s="43"/>
      <c r="F96" s="44"/>
      <c r="G96" s="31"/>
      <c r="H96" s="31"/>
      <c r="I96" s="31"/>
      <c r="J96" s="76"/>
      <c r="K96" s="72"/>
      <c r="L96" s="42"/>
      <c r="M96" s="72"/>
      <c r="N96" s="42"/>
      <c r="O96" s="72"/>
      <c r="P96" s="42"/>
      <c r="Q96" s="72"/>
      <c r="R96" s="14"/>
    </row>
    <row r="97" ht="15.75" spans="1:18">
      <c r="A97" s="11"/>
      <c r="B97" s="12" t="s">
        <v>22</v>
      </c>
      <c r="C97" s="13"/>
      <c r="D97" s="14"/>
      <c r="E97" s="15"/>
      <c r="F97" s="53">
        <f>SUM(F62:F96)</f>
        <v>532550</v>
      </c>
      <c r="G97" s="13"/>
      <c r="H97" s="13"/>
      <c r="I97" s="13"/>
      <c r="J97" s="14"/>
      <c r="K97" s="14"/>
      <c r="L97" s="14"/>
      <c r="M97" s="14"/>
      <c r="N97" s="14"/>
      <c r="O97" s="14"/>
      <c r="P97" s="14"/>
      <c r="Q97" s="14"/>
      <c r="R97" s="14"/>
    </row>
    <row r="98" ht="15.75" spans="1:18">
      <c r="A98" s="12">
        <v>8</v>
      </c>
      <c r="B98" s="12" t="s">
        <v>95</v>
      </c>
      <c r="C98" s="13"/>
      <c r="D98" s="14"/>
      <c r="E98" s="15"/>
      <c r="F98" s="15"/>
      <c r="G98" s="13"/>
      <c r="H98" s="13"/>
      <c r="I98" s="13"/>
      <c r="J98" s="14"/>
      <c r="K98" s="14"/>
      <c r="L98" s="14"/>
      <c r="M98" s="14"/>
      <c r="N98" s="14"/>
      <c r="O98" s="14"/>
      <c r="P98" s="14"/>
      <c r="Q98" s="14"/>
      <c r="R98" s="14"/>
    </row>
    <row r="99" ht="12.75" customHeight="1" spans="1:18">
      <c r="A99" s="11">
        <v>1</v>
      </c>
      <c r="B99" s="16" t="s">
        <v>853</v>
      </c>
      <c r="C99" s="16" t="s">
        <v>783</v>
      </c>
      <c r="D99" s="17">
        <v>6</v>
      </c>
      <c r="E99" s="18">
        <v>30000</v>
      </c>
      <c r="F99" s="63">
        <v>180000</v>
      </c>
      <c r="G99" s="49" t="s">
        <v>46</v>
      </c>
      <c r="H99" s="16" t="s">
        <v>814</v>
      </c>
      <c r="I99" s="16" t="s">
        <v>778</v>
      </c>
      <c r="J99" s="68">
        <v>6</v>
      </c>
      <c r="K99" s="108">
        <v>180000</v>
      </c>
      <c r="L99" s="109"/>
      <c r="M99" s="110"/>
      <c r="N99" s="70"/>
      <c r="O99" s="110"/>
      <c r="P99" s="70"/>
      <c r="Q99" s="110"/>
      <c r="R99" s="71"/>
    </row>
    <row r="100" ht="12.75" customHeight="1" spans="1:18">
      <c r="A100" s="11">
        <v>2</v>
      </c>
      <c r="B100" s="95" t="s">
        <v>854</v>
      </c>
      <c r="C100" s="16" t="s">
        <v>783</v>
      </c>
      <c r="D100" s="17">
        <v>6</v>
      </c>
      <c r="E100" s="96">
        <v>40000</v>
      </c>
      <c r="F100" s="97">
        <v>240000</v>
      </c>
      <c r="G100" s="49" t="s">
        <v>46</v>
      </c>
      <c r="H100" s="16" t="s">
        <v>814</v>
      </c>
      <c r="I100" s="16" t="s">
        <v>778</v>
      </c>
      <c r="J100" s="17"/>
      <c r="K100" s="68"/>
      <c r="L100" s="17">
        <v>6</v>
      </c>
      <c r="M100" s="111">
        <v>240000</v>
      </c>
      <c r="N100" s="17"/>
      <c r="O100" s="17"/>
      <c r="P100" s="17"/>
      <c r="Q100" s="17"/>
      <c r="R100" s="71"/>
    </row>
    <row r="101" ht="15.75" spans="1:18">
      <c r="A101" s="11">
        <v>3</v>
      </c>
      <c r="B101" s="32" t="s">
        <v>117</v>
      </c>
      <c r="C101" s="16" t="s">
        <v>783</v>
      </c>
      <c r="D101" s="37">
        <v>4</v>
      </c>
      <c r="E101" s="15">
        <v>13500</v>
      </c>
      <c r="F101" s="98">
        <f t="shared" ref="F101:F107" si="1">D101*E101</f>
        <v>54000</v>
      </c>
      <c r="G101" s="13" t="s">
        <v>42</v>
      </c>
      <c r="H101" s="16" t="s">
        <v>814</v>
      </c>
      <c r="I101" s="16" t="s">
        <v>778</v>
      </c>
      <c r="J101" s="60"/>
      <c r="K101" s="112"/>
      <c r="L101" s="60">
        <v>4</v>
      </c>
      <c r="M101" s="14">
        <v>54000</v>
      </c>
      <c r="N101" s="14"/>
      <c r="O101" s="14"/>
      <c r="P101" s="14"/>
      <c r="Q101" s="14"/>
      <c r="R101" s="14"/>
    </row>
    <row r="102" ht="15.75" spans="1:18">
      <c r="A102" s="11">
        <v>4</v>
      </c>
      <c r="B102" s="32" t="s">
        <v>118</v>
      </c>
      <c r="C102" s="16" t="s">
        <v>783</v>
      </c>
      <c r="D102" s="37">
        <v>4</v>
      </c>
      <c r="E102" s="99">
        <v>10000</v>
      </c>
      <c r="F102" s="100">
        <f t="shared" si="1"/>
        <v>40000</v>
      </c>
      <c r="G102" s="13" t="s">
        <v>42</v>
      </c>
      <c r="H102" s="16" t="s">
        <v>814</v>
      </c>
      <c r="I102" s="16" t="s">
        <v>778</v>
      </c>
      <c r="J102" s="60"/>
      <c r="K102" s="60"/>
      <c r="L102" s="60">
        <v>4</v>
      </c>
      <c r="M102" s="77">
        <v>40000</v>
      </c>
      <c r="N102" s="77"/>
      <c r="O102" s="77"/>
      <c r="P102" s="91"/>
      <c r="Q102" s="14"/>
      <c r="R102" s="14"/>
    </row>
    <row r="103" ht="15.75" spans="1:18">
      <c r="A103" s="11">
        <v>5</v>
      </c>
      <c r="B103" s="32" t="s">
        <v>119</v>
      </c>
      <c r="C103" s="16" t="s">
        <v>783</v>
      </c>
      <c r="D103" s="37">
        <v>1</v>
      </c>
      <c r="E103" s="34">
        <v>10500</v>
      </c>
      <c r="F103" s="101">
        <f t="shared" si="1"/>
        <v>10500</v>
      </c>
      <c r="G103" s="13" t="s">
        <v>42</v>
      </c>
      <c r="H103" s="16" t="s">
        <v>814</v>
      </c>
      <c r="I103" s="16" t="s">
        <v>778</v>
      </c>
      <c r="J103" s="60"/>
      <c r="K103" s="60"/>
      <c r="L103" s="60">
        <v>1</v>
      </c>
      <c r="M103" s="73">
        <v>10500</v>
      </c>
      <c r="N103" s="73"/>
      <c r="O103" s="73"/>
      <c r="P103" s="73"/>
      <c r="Q103" s="77"/>
      <c r="R103" s="91"/>
    </row>
    <row r="104" ht="15.75" spans="1:18">
      <c r="A104" s="11">
        <v>6</v>
      </c>
      <c r="B104" s="32" t="s">
        <v>120</v>
      </c>
      <c r="C104" s="16" t="s">
        <v>783</v>
      </c>
      <c r="D104" s="37">
        <v>4</v>
      </c>
      <c r="E104" s="15">
        <v>240000</v>
      </c>
      <c r="F104" s="98">
        <f t="shared" si="1"/>
        <v>960000</v>
      </c>
      <c r="G104" s="13" t="s">
        <v>42</v>
      </c>
      <c r="H104" s="16" t="s">
        <v>814</v>
      </c>
      <c r="I104" s="16" t="s">
        <v>778</v>
      </c>
      <c r="J104" s="60"/>
      <c r="K104" s="60"/>
      <c r="L104" s="60">
        <v>4</v>
      </c>
      <c r="M104" s="14">
        <v>960000</v>
      </c>
      <c r="N104" s="14"/>
      <c r="O104" s="14"/>
      <c r="P104" s="71"/>
      <c r="Q104" s="14"/>
      <c r="R104" s="14"/>
    </row>
    <row r="105" ht="15.75" spans="1:18">
      <c r="A105" s="11">
        <v>7</v>
      </c>
      <c r="B105" s="32" t="s">
        <v>117</v>
      </c>
      <c r="C105" s="16" t="s">
        <v>783</v>
      </c>
      <c r="D105" s="37">
        <v>4</v>
      </c>
      <c r="E105" s="15">
        <v>13500</v>
      </c>
      <c r="F105" s="98">
        <f t="shared" si="1"/>
        <v>54000</v>
      </c>
      <c r="G105" s="13" t="s">
        <v>42</v>
      </c>
      <c r="H105" s="16" t="s">
        <v>814</v>
      </c>
      <c r="I105" s="16" t="s">
        <v>778</v>
      </c>
      <c r="J105" s="60"/>
      <c r="K105" s="60"/>
      <c r="L105" s="60">
        <v>4</v>
      </c>
      <c r="M105" s="14">
        <v>54000</v>
      </c>
      <c r="N105" s="14"/>
      <c r="O105" s="14"/>
      <c r="P105" s="14"/>
      <c r="Q105" s="14"/>
      <c r="R105" s="14"/>
    </row>
    <row r="106" ht="15.75" spans="1:18">
      <c r="A106" s="11">
        <v>8</v>
      </c>
      <c r="B106" s="32" t="s">
        <v>855</v>
      </c>
      <c r="C106" s="16" t="s">
        <v>783</v>
      </c>
      <c r="D106" s="37">
        <v>1</v>
      </c>
      <c r="E106" s="15">
        <v>140000</v>
      </c>
      <c r="F106" s="98">
        <f t="shared" si="1"/>
        <v>140000</v>
      </c>
      <c r="G106" s="13" t="s">
        <v>42</v>
      </c>
      <c r="H106" s="16" t="s">
        <v>814</v>
      </c>
      <c r="I106" s="16" t="s">
        <v>778</v>
      </c>
      <c r="J106" s="60"/>
      <c r="K106" s="60"/>
      <c r="L106" s="60">
        <v>1</v>
      </c>
      <c r="M106" s="14">
        <v>140000</v>
      </c>
      <c r="N106" s="14"/>
      <c r="O106" s="14"/>
      <c r="P106" s="14"/>
      <c r="Q106" s="14"/>
      <c r="R106" s="14"/>
    </row>
    <row r="107" ht="15.75" spans="1:18">
      <c r="A107" s="11">
        <v>9</v>
      </c>
      <c r="B107" s="32" t="s">
        <v>122</v>
      </c>
      <c r="C107" s="16" t="s">
        <v>783</v>
      </c>
      <c r="D107" s="37">
        <v>1</v>
      </c>
      <c r="E107" s="15">
        <v>20000</v>
      </c>
      <c r="F107" s="98">
        <f t="shared" si="1"/>
        <v>20000</v>
      </c>
      <c r="G107" s="13" t="s">
        <v>42</v>
      </c>
      <c r="H107" s="16" t="s">
        <v>814</v>
      </c>
      <c r="I107" s="16" t="s">
        <v>778</v>
      </c>
      <c r="J107" s="60"/>
      <c r="K107" s="60"/>
      <c r="L107" s="60">
        <v>1</v>
      </c>
      <c r="M107" s="14">
        <v>20000</v>
      </c>
      <c r="N107" s="14"/>
      <c r="O107" s="14"/>
      <c r="P107" s="14"/>
      <c r="Q107" s="14"/>
      <c r="R107" s="14"/>
    </row>
    <row r="108" ht="15.75" spans="1:18">
      <c r="A108" s="11">
        <v>10</v>
      </c>
      <c r="B108" s="38" t="s">
        <v>856</v>
      </c>
      <c r="C108" s="39" t="s">
        <v>799</v>
      </c>
      <c r="D108" s="14">
        <v>4</v>
      </c>
      <c r="E108" s="54">
        <v>21000</v>
      </c>
      <c r="F108" s="62">
        <f>E108*D108</f>
        <v>84000</v>
      </c>
      <c r="G108" s="39" t="s">
        <v>813</v>
      </c>
      <c r="H108" s="16" t="s">
        <v>814</v>
      </c>
      <c r="I108" s="16" t="s">
        <v>778</v>
      </c>
      <c r="J108" s="81">
        <v>1</v>
      </c>
      <c r="K108" s="75">
        <f>E108*J108</f>
        <v>21000</v>
      </c>
      <c r="L108" s="14">
        <v>1</v>
      </c>
      <c r="M108" s="75">
        <f>E108*L108</f>
        <v>21000</v>
      </c>
      <c r="N108" s="82">
        <v>1</v>
      </c>
      <c r="O108" s="75">
        <f>E108*N108</f>
        <v>21000</v>
      </c>
      <c r="P108" s="82">
        <v>1</v>
      </c>
      <c r="Q108" s="75">
        <f>E108*P108</f>
        <v>21000</v>
      </c>
      <c r="R108" s="14"/>
    </row>
    <row r="109" ht="15.75" spans="1:18">
      <c r="A109" s="11">
        <v>11</v>
      </c>
      <c r="B109" s="38" t="s">
        <v>857</v>
      </c>
      <c r="C109" s="39" t="s">
        <v>799</v>
      </c>
      <c r="D109" s="14">
        <v>1</v>
      </c>
      <c r="E109" s="54">
        <v>15000</v>
      </c>
      <c r="F109" s="62">
        <f>E109*D109</f>
        <v>15000</v>
      </c>
      <c r="G109" s="39" t="s">
        <v>813</v>
      </c>
      <c r="H109" s="16" t="s">
        <v>814</v>
      </c>
      <c r="I109" s="16" t="s">
        <v>778</v>
      </c>
      <c r="J109" s="81"/>
      <c r="K109" s="75">
        <f>E109*J109</f>
        <v>0</v>
      </c>
      <c r="L109" s="14">
        <v>1</v>
      </c>
      <c r="M109" s="75">
        <f>E109*L109</f>
        <v>15000</v>
      </c>
      <c r="N109" s="14"/>
      <c r="O109" s="75">
        <f>E109*N109</f>
        <v>0</v>
      </c>
      <c r="P109" s="14"/>
      <c r="Q109" s="75">
        <f>E109*P109</f>
        <v>0</v>
      </c>
      <c r="R109" s="14"/>
    </row>
    <row r="110" ht="15.75" spans="1:18">
      <c r="A110" s="11">
        <v>12</v>
      </c>
      <c r="B110" s="38" t="s">
        <v>858</v>
      </c>
      <c r="C110" s="39"/>
      <c r="D110" s="14">
        <v>6</v>
      </c>
      <c r="E110" s="54">
        <v>50000</v>
      </c>
      <c r="F110" s="63">
        <v>300000</v>
      </c>
      <c r="G110" s="39" t="s">
        <v>25</v>
      </c>
      <c r="H110" s="16" t="s">
        <v>814</v>
      </c>
      <c r="I110" s="16" t="s">
        <v>778</v>
      </c>
      <c r="J110" s="81"/>
      <c r="K110" s="75"/>
      <c r="L110" s="83">
        <v>6</v>
      </c>
      <c r="M110" s="75">
        <v>300000</v>
      </c>
      <c r="N110" s="84"/>
      <c r="O110" s="75"/>
      <c r="P110" s="83"/>
      <c r="Q110" s="75"/>
      <c r="R110" s="14"/>
    </row>
    <row r="111" ht="15.75" spans="1:18">
      <c r="A111" s="11">
        <v>13</v>
      </c>
      <c r="B111" s="38" t="s">
        <v>111</v>
      </c>
      <c r="C111" s="39"/>
      <c r="D111" s="14">
        <v>5</v>
      </c>
      <c r="E111" s="54">
        <v>40000</v>
      </c>
      <c r="F111" s="63">
        <v>200000</v>
      </c>
      <c r="G111" s="39" t="s">
        <v>25</v>
      </c>
      <c r="H111" s="16" t="s">
        <v>814</v>
      </c>
      <c r="I111" s="16" t="s">
        <v>778</v>
      </c>
      <c r="J111" s="81"/>
      <c r="K111" s="75"/>
      <c r="L111" s="83">
        <v>5</v>
      </c>
      <c r="M111" s="75">
        <v>200000</v>
      </c>
      <c r="N111" s="83"/>
      <c r="O111" s="75"/>
      <c r="P111" s="83"/>
      <c r="Q111" s="75"/>
      <c r="R111" s="14"/>
    </row>
    <row r="112" ht="15.75" spans="1:18">
      <c r="A112" s="11">
        <v>14</v>
      </c>
      <c r="B112" s="38" t="s">
        <v>97</v>
      </c>
      <c r="C112" s="39"/>
      <c r="D112" s="14">
        <v>5</v>
      </c>
      <c r="E112" s="54">
        <v>30000</v>
      </c>
      <c r="F112" s="63">
        <v>150000</v>
      </c>
      <c r="G112" s="39" t="s">
        <v>25</v>
      </c>
      <c r="H112" s="16" t="s">
        <v>814</v>
      </c>
      <c r="I112" s="16" t="s">
        <v>778</v>
      </c>
      <c r="J112" s="81"/>
      <c r="K112" s="75"/>
      <c r="L112" s="83"/>
      <c r="M112" s="75"/>
      <c r="N112" s="84">
        <v>5</v>
      </c>
      <c r="O112" s="75">
        <v>150000</v>
      </c>
      <c r="P112" s="84"/>
      <c r="Q112" s="75"/>
      <c r="R112" s="14"/>
    </row>
    <row r="113" ht="15.75" spans="1:18">
      <c r="A113" s="11">
        <v>15</v>
      </c>
      <c r="B113" s="38" t="s">
        <v>859</v>
      </c>
      <c r="C113" s="39"/>
      <c r="D113" s="14">
        <v>1</v>
      </c>
      <c r="E113" s="54">
        <v>25000</v>
      </c>
      <c r="F113" s="63">
        <v>25000</v>
      </c>
      <c r="G113" s="39" t="s">
        <v>25</v>
      </c>
      <c r="H113" s="16" t="s">
        <v>814</v>
      </c>
      <c r="I113" s="16" t="s">
        <v>778</v>
      </c>
      <c r="J113" s="81"/>
      <c r="K113" s="75"/>
      <c r="L113" s="83"/>
      <c r="M113" s="75"/>
      <c r="N113" s="84">
        <v>1</v>
      </c>
      <c r="O113" s="75">
        <v>25000</v>
      </c>
      <c r="P113" s="84"/>
      <c r="Q113" s="75"/>
      <c r="R113" s="14"/>
    </row>
    <row r="114" ht="15.75" spans="1:18">
      <c r="A114" s="11">
        <v>16</v>
      </c>
      <c r="B114" s="38" t="s">
        <v>860</v>
      </c>
      <c r="C114" s="39"/>
      <c r="D114" s="14">
        <v>1</v>
      </c>
      <c r="E114" s="29">
        <v>2000000</v>
      </c>
      <c r="F114" s="63">
        <v>2000000</v>
      </c>
      <c r="G114" s="39" t="s">
        <v>25</v>
      </c>
      <c r="H114" s="16" t="s">
        <v>814</v>
      </c>
      <c r="I114" s="16" t="s">
        <v>778</v>
      </c>
      <c r="J114" s="74"/>
      <c r="K114" s="75"/>
      <c r="L114" s="14"/>
      <c r="M114" s="75"/>
      <c r="N114" s="14">
        <v>1</v>
      </c>
      <c r="O114" s="75">
        <v>2000000</v>
      </c>
      <c r="P114" s="14"/>
      <c r="Q114" s="75"/>
      <c r="R114" s="14"/>
    </row>
    <row r="115" ht="15.75" spans="1:18">
      <c r="A115" s="11">
        <v>17</v>
      </c>
      <c r="B115" s="41" t="s">
        <v>105</v>
      </c>
      <c r="C115" s="31" t="s">
        <v>799</v>
      </c>
      <c r="D115" s="42">
        <v>1</v>
      </c>
      <c r="E115" s="52">
        <v>40000</v>
      </c>
      <c r="F115" s="44">
        <v>40000</v>
      </c>
      <c r="G115" s="31" t="s">
        <v>37</v>
      </c>
      <c r="H115" s="31" t="s">
        <v>729</v>
      </c>
      <c r="I115" s="31" t="s">
        <v>778</v>
      </c>
      <c r="J115" s="79">
        <v>1</v>
      </c>
      <c r="K115" s="72">
        <v>40000</v>
      </c>
      <c r="L115" s="80">
        <v>1</v>
      </c>
      <c r="M115" s="72"/>
      <c r="N115" s="80"/>
      <c r="O115" s="72"/>
      <c r="P115" s="80"/>
      <c r="Q115" s="72"/>
      <c r="R115" s="14"/>
    </row>
    <row r="116" ht="15.75" spans="1:18">
      <c r="A116" s="11">
        <v>18</v>
      </c>
      <c r="B116" s="41" t="s">
        <v>111</v>
      </c>
      <c r="C116" s="31" t="s">
        <v>799</v>
      </c>
      <c r="D116" s="42">
        <v>3</v>
      </c>
      <c r="E116" s="52">
        <v>30000</v>
      </c>
      <c r="F116" s="44">
        <v>90000</v>
      </c>
      <c r="G116" s="31" t="s">
        <v>37</v>
      </c>
      <c r="H116" s="31" t="s">
        <v>729</v>
      </c>
      <c r="I116" s="31" t="s">
        <v>778</v>
      </c>
      <c r="J116" s="79">
        <v>2</v>
      </c>
      <c r="K116" s="72">
        <v>60000</v>
      </c>
      <c r="L116" s="80"/>
      <c r="M116" s="72"/>
      <c r="N116" s="113">
        <v>1</v>
      </c>
      <c r="O116" s="72">
        <v>30000</v>
      </c>
      <c r="P116" s="113"/>
      <c r="Q116" s="72"/>
      <c r="R116" s="14"/>
    </row>
    <row r="117" ht="15.75" spans="1:18">
      <c r="A117" s="11">
        <v>19</v>
      </c>
      <c r="B117" s="41" t="s">
        <v>861</v>
      </c>
      <c r="C117" s="31" t="s">
        <v>799</v>
      </c>
      <c r="D117" s="42">
        <v>1</v>
      </c>
      <c r="E117" s="52">
        <v>45000</v>
      </c>
      <c r="F117" s="44">
        <v>45000</v>
      </c>
      <c r="G117" s="31" t="s">
        <v>37</v>
      </c>
      <c r="H117" s="31" t="s">
        <v>729</v>
      </c>
      <c r="I117" s="31" t="s">
        <v>778</v>
      </c>
      <c r="J117" s="79"/>
      <c r="K117" s="72"/>
      <c r="L117" s="80">
        <v>1</v>
      </c>
      <c r="M117" s="72">
        <v>45000</v>
      </c>
      <c r="N117" s="113"/>
      <c r="O117" s="72"/>
      <c r="P117" s="113"/>
      <c r="Q117" s="72"/>
      <c r="R117" s="91"/>
    </row>
    <row r="118" ht="15.75" spans="1:18">
      <c r="A118" s="11">
        <v>20</v>
      </c>
      <c r="B118" s="19" t="s">
        <v>111</v>
      </c>
      <c r="C118" s="31"/>
      <c r="D118" s="20">
        <v>15</v>
      </c>
      <c r="E118" s="21">
        <v>20000</v>
      </c>
      <c r="F118" s="21">
        <f>E118*D118</f>
        <v>300000</v>
      </c>
      <c r="G118" s="22" t="s">
        <v>40</v>
      </c>
      <c r="H118" s="31" t="s">
        <v>862</v>
      </c>
      <c r="I118" s="31" t="s">
        <v>778</v>
      </c>
      <c r="J118" s="20">
        <v>5</v>
      </c>
      <c r="K118" s="72">
        <v>100000</v>
      </c>
      <c r="L118" s="20">
        <v>5</v>
      </c>
      <c r="M118" s="72">
        <v>100000</v>
      </c>
      <c r="N118" s="20">
        <v>5</v>
      </c>
      <c r="O118" s="72">
        <v>100000</v>
      </c>
      <c r="P118" s="113"/>
      <c r="Q118" s="72"/>
      <c r="R118" s="91"/>
    </row>
    <row r="119" ht="15.75" spans="1:18">
      <c r="A119" s="11">
        <v>21</v>
      </c>
      <c r="B119" s="19" t="s">
        <v>112</v>
      </c>
      <c r="C119" s="16"/>
      <c r="D119" s="20">
        <v>6</v>
      </c>
      <c r="E119" s="21">
        <v>15000</v>
      </c>
      <c r="F119" s="21">
        <v>90000</v>
      </c>
      <c r="G119" s="22" t="s">
        <v>40</v>
      </c>
      <c r="H119" s="31" t="s">
        <v>862</v>
      </c>
      <c r="I119" s="31" t="s">
        <v>778</v>
      </c>
      <c r="J119" s="20">
        <v>2</v>
      </c>
      <c r="K119" s="114">
        <v>30000</v>
      </c>
      <c r="L119" s="20">
        <v>2</v>
      </c>
      <c r="M119" s="114">
        <v>30000</v>
      </c>
      <c r="N119" s="20">
        <v>2</v>
      </c>
      <c r="O119" s="114">
        <v>30000</v>
      </c>
      <c r="P119" s="73"/>
      <c r="Q119" s="73"/>
      <c r="R119" s="73"/>
    </row>
    <row r="120" ht="15.75" spans="1:18">
      <c r="A120" s="11">
        <v>22</v>
      </c>
      <c r="B120" s="19" t="s">
        <v>863</v>
      </c>
      <c r="C120" s="16"/>
      <c r="D120" s="20">
        <v>1</v>
      </c>
      <c r="E120" s="21">
        <v>30000</v>
      </c>
      <c r="F120" s="21">
        <v>30000</v>
      </c>
      <c r="G120" s="22" t="s">
        <v>40</v>
      </c>
      <c r="H120" s="31" t="s">
        <v>862</v>
      </c>
      <c r="I120" s="31" t="s">
        <v>778</v>
      </c>
      <c r="J120" s="115"/>
      <c r="K120" s="115"/>
      <c r="L120" s="20"/>
      <c r="M120" s="73"/>
      <c r="N120" s="20">
        <v>1</v>
      </c>
      <c r="O120" s="114">
        <v>30000</v>
      </c>
      <c r="P120" s="73"/>
      <c r="Q120" s="73"/>
      <c r="R120" s="73"/>
    </row>
    <row r="121" ht="15.75" spans="1:18">
      <c r="A121" s="11">
        <v>23</v>
      </c>
      <c r="B121" s="102" t="s">
        <v>864</v>
      </c>
      <c r="C121" s="16"/>
      <c r="D121" s="20">
        <v>1</v>
      </c>
      <c r="E121" s="21">
        <v>20000</v>
      </c>
      <c r="F121" s="21">
        <v>20000</v>
      </c>
      <c r="G121" s="22" t="s">
        <v>40</v>
      </c>
      <c r="H121" s="31" t="s">
        <v>862</v>
      </c>
      <c r="I121" s="31" t="s">
        <v>778</v>
      </c>
      <c r="J121" s="115"/>
      <c r="K121" s="115"/>
      <c r="L121" s="20"/>
      <c r="M121" s="73"/>
      <c r="N121" s="20">
        <v>1</v>
      </c>
      <c r="O121" s="114">
        <v>20000</v>
      </c>
      <c r="P121" s="73"/>
      <c r="Q121" s="73"/>
      <c r="R121" s="73"/>
    </row>
    <row r="122" ht="15.75" spans="1:18">
      <c r="A122" s="11">
        <v>24</v>
      </c>
      <c r="B122" s="19" t="s">
        <v>114</v>
      </c>
      <c r="C122" s="16"/>
      <c r="D122" s="20">
        <v>15</v>
      </c>
      <c r="E122" s="21">
        <v>25000</v>
      </c>
      <c r="F122" s="21">
        <v>375000</v>
      </c>
      <c r="G122" s="22" t="s">
        <v>40</v>
      </c>
      <c r="H122" s="31" t="s">
        <v>862</v>
      </c>
      <c r="I122" s="31" t="s">
        <v>778</v>
      </c>
      <c r="J122" s="20">
        <v>5</v>
      </c>
      <c r="K122" s="114">
        <v>125000</v>
      </c>
      <c r="L122" s="20">
        <v>5</v>
      </c>
      <c r="M122" s="114">
        <v>125000</v>
      </c>
      <c r="N122" s="20">
        <v>5</v>
      </c>
      <c r="O122" s="114">
        <v>125000</v>
      </c>
      <c r="P122" s="73"/>
      <c r="Q122" s="73"/>
      <c r="R122" s="73"/>
    </row>
    <row r="123" ht="15.75" spans="1:18">
      <c r="A123" s="11">
        <v>25</v>
      </c>
      <c r="B123" s="19" t="s">
        <v>865</v>
      </c>
      <c r="C123" s="16"/>
      <c r="D123" s="20">
        <v>2</v>
      </c>
      <c r="E123" s="21">
        <v>30000</v>
      </c>
      <c r="F123" s="21">
        <v>60000</v>
      </c>
      <c r="G123" s="22" t="s">
        <v>40</v>
      </c>
      <c r="H123" s="31" t="s">
        <v>862</v>
      </c>
      <c r="I123" s="31" t="s">
        <v>778</v>
      </c>
      <c r="J123" s="20">
        <v>1</v>
      </c>
      <c r="K123" s="114">
        <v>30000</v>
      </c>
      <c r="L123" s="20">
        <v>1</v>
      </c>
      <c r="M123" s="114">
        <v>30000</v>
      </c>
      <c r="N123" s="73"/>
      <c r="O123" s="73"/>
      <c r="P123" s="73"/>
      <c r="Q123" s="73"/>
      <c r="R123" s="73"/>
    </row>
    <row r="124" ht="15.75" spans="1:18">
      <c r="A124" s="11">
        <v>26</v>
      </c>
      <c r="B124" s="19" t="s">
        <v>116</v>
      </c>
      <c r="C124" s="16"/>
      <c r="D124" s="20">
        <v>3</v>
      </c>
      <c r="E124" s="21">
        <v>8000</v>
      </c>
      <c r="F124" s="21">
        <v>24000</v>
      </c>
      <c r="G124" s="22" t="s">
        <v>40</v>
      </c>
      <c r="H124" s="31" t="s">
        <v>862</v>
      </c>
      <c r="I124" s="31" t="s">
        <v>778</v>
      </c>
      <c r="J124" s="20">
        <v>1</v>
      </c>
      <c r="K124" s="73">
        <v>8000</v>
      </c>
      <c r="L124" s="20">
        <v>1</v>
      </c>
      <c r="M124" s="73">
        <v>8000</v>
      </c>
      <c r="N124" s="73">
        <v>1</v>
      </c>
      <c r="O124" s="73">
        <v>8000</v>
      </c>
      <c r="P124" s="73"/>
      <c r="Q124" s="73"/>
      <c r="R124" s="73"/>
    </row>
    <row r="125" ht="15.75" spans="1:18">
      <c r="A125" s="11">
        <v>27</v>
      </c>
      <c r="B125" s="19" t="s">
        <v>866</v>
      </c>
      <c r="C125" s="16"/>
      <c r="D125" s="20">
        <v>3</v>
      </c>
      <c r="E125" s="21">
        <v>25000</v>
      </c>
      <c r="F125" s="21">
        <v>75000</v>
      </c>
      <c r="G125" s="22" t="s">
        <v>40</v>
      </c>
      <c r="H125" s="31" t="s">
        <v>862</v>
      </c>
      <c r="I125" s="31" t="s">
        <v>778</v>
      </c>
      <c r="J125" s="20"/>
      <c r="K125" s="56"/>
      <c r="L125" s="20"/>
      <c r="M125" s="14"/>
      <c r="N125" s="20">
        <v>3</v>
      </c>
      <c r="O125" s="56">
        <v>75000</v>
      </c>
      <c r="P125" s="14"/>
      <c r="Q125" s="14"/>
      <c r="R125" s="71"/>
    </row>
    <row r="126" ht="15.75" spans="1:18">
      <c r="A126" s="11">
        <v>28</v>
      </c>
      <c r="B126" s="103" t="s">
        <v>867</v>
      </c>
      <c r="C126" s="16"/>
      <c r="D126" s="104">
        <v>6</v>
      </c>
      <c r="E126" s="105">
        <v>30000</v>
      </c>
      <c r="F126" s="105">
        <v>180000</v>
      </c>
      <c r="G126" s="13" t="s">
        <v>33</v>
      </c>
      <c r="H126" s="31" t="s">
        <v>862</v>
      </c>
      <c r="I126" s="31" t="s">
        <v>778</v>
      </c>
      <c r="J126" s="104"/>
      <c r="K126" s="14"/>
      <c r="L126" s="14"/>
      <c r="M126" s="14"/>
      <c r="N126" s="104">
        <v>6</v>
      </c>
      <c r="O126" s="14">
        <v>180000</v>
      </c>
      <c r="P126" s="14"/>
      <c r="Q126" s="14"/>
      <c r="R126" s="14"/>
    </row>
    <row r="127" ht="15.75" spans="1:18">
      <c r="A127" s="11">
        <v>29</v>
      </c>
      <c r="B127" s="103" t="s">
        <v>106</v>
      </c>
      <c r="C127" s="16"/>
      <c r="D127" s="104">
        <v>20</v>
      </c>
      <c r="E127" s="105">
        <v>25000</v>
      </c>
      <c r="F127" s="105">
        <v>500000</v>
      </c>
      <c r="G127" s="13" t="s">
        <v>33</v>
      </c>
      <c r="H127" s="31" t="s">
        <v>862</v>
      </c>
      <c r="I127" s="31" t="s">
        <v>778</v>
      </c>
      <c r="J127" s="104"/>
      <c r="K127" s="14"/>
      <c r="L127" s="14"/>
      <c r="M127" s="14"/>
      <c r="N127" s="104">
        <v>20</v>
      </c>
      <c r="O127" s="14">
        <v>500000</v>
      </c>
      <c r="P127" s="14"/>
      <c r="Q127" s="14"/>
      <c r="R127" s="14"/>
    </row>
    <row r="128" ht="15.75" spans="1:18">
      <c r="A128" s="11">
        <v>30</v>
      </c>
      <c r="B128" s="103" t="s">
        <v>103</v>
      </c>
      <c r="C128" s="16"/>
      <c r="D128" s="104">
        <v>30</v>
      </c>
      <c r="E128" s="105">
        <v>28450</v>
      </c>
      <c r="F128" s="105">
        <f>D128*E128</f>
        <v>853500</v>
      </c>
      <c r="G128" s="13" t="s">
        <v>33</v>
      </c>
      <c r="H128" s="31" t="s">
        <v>862</v>
      </c>
      <c r="I128" s="31" t="s">
        <v>778</v>
      </c>
      <c r="J128" s="104"/>
      <c r="K128" s="14"/>
      <c r="L128" s="14"/>
      <c r="M128" s="14"/>
      <c r="N128" s="104">
        <v>30</v>
      </c>
      <c r="O128" s="14">
        <v>853500</v>
      </c>
      <c r="P128" s="14"/>
      <c r="Q128" s="14"/>
      <c r="R128" s="14"/>
    </row>
    <row r="129" ht="15.75" spans="1:18">
      <c r="A129" s="11">
        <v>31</v>
      </c>
      <c r="B129" s="11" t="s">
        <v>868</v>
      </c>
      <c r="C129" s="13" t="s">
        <v>783</v>
      </c>
      <c r="D129" s="14">
        <v>1</v>
      </c>
      <c r="E129" s="45">
        <v>200000</v>
      </c>
      <c r="F129" s="45">
        <v>200000</v>
      </c>
      <c r="G129" s="13" t="s">
        <v>793</v>
      </c>
      <c r="H129" s="31" t="s">
        <v>862</v>
      </c>
      <c r="I129" s="31" t="s">
        <v>778</v>
      </c>
      <c r="J129" s="73"/>
      <c r="K129" s="114"/>
      <c r="L129" s="73"/>
      <c r="M129" s="73"/>
      <c r="N129" s="73">
        <v>1</v>
      </c>
      <c r="O129" s="114">
        <v>200000</v>
      </c>
      <c r="P129" s="73"/>
      <c r="Q129" s="73"/>
      <c r="R129" s="73"/>
    </row>
    <row r="130" ht="15.75" spans="1:18">
      <c r="A130" s="11">
        <v>32</v>
      </c>
      <c r="B130" s="11" t="s">
        <v>106</v>
      </c>
      <c r="C130" s="13" t="s">
        <v>783</v>
      </c>
      <c r="D130" s="14">
        <v>10</v>
      </c>
      <c r="E130" s="45">
        <v>8000</v>
      </c>
      <c r="F130" s="45">
        <v>80000</v>
      </c>
      <c r="G130" s="13" t="s">
        <v>43</v>
      </c>
      <c r="H130" s="31" t="s">
        <v>814</v>
      </c>
      <c r="I130" s="31" t="s">
        <v>778</v>
      </c>
      <c r="J130" s="73">
        <v>3</v>
      </c>
      <c r="K130" s="114">
        <v>24000</v>
      </c>
      <c r="L130" s="73">
        <v>3</v>
      </c>
      <c r="M130" s="73">
        <v>24000</v>
      </c>
      <c r="N130" s="73">
        <v>2</v>
      </c>
      <c r="O130" s="73">
        <v>16000</v>
      </c>
      <c r="P130" s="73">
        <v>2</v>
      </c>
      <c r="Q130" s="73">
        <v>16000</v>
      </c>
      <c r="R130" s="73"/>
    </row>
    <row r="131" ht="15.75" spans="1:18">
      <c r="A131" s="11">
        <v>33</v>
      </c>
      <c r="B131" s="11" t="s">
        <v>103</v>
      </c>
      <c r="C131" s="13" t="s">
        <v>783</v>
      </c>
      <c r="D131" s="14">
        <v>18</v>
      </c>
      <c r="E131" s="45">
        <v>40000</v>
      </c>
      <c r="F131" s="45">
        <v>720000</v>
      </c>
      <c r="G131" s="13" t="s">
        <v>43</v>
      </c>
      <c r="H131" s="31" t="s">
        <v>814</v>
      </c>
      <c r="I131" s="31" t="s">
        <v>778</v>
      </c>
      <c r="J131" s="73">
        <v>6</v>
      </c>
      <c r="K131" s="114">
        <v>240000</v>
      </c>
      <c r="L131" s="73">
        <v>6</v>
      </c>
      <c r="M131" s="114">
        <v>240000</v>
      </c>
      <c r="N131" s="73">
        <v>6</v>
      </c>
      <c r="O131" s="114">
        <v>240000</v>
      </c>
      <c r="P131" s="73"/>
      <c r="Q131" s="73"/>
      <c r="R131" s="73"/>
    </row>
    <row r="132" ht="15.75" spans="1:18">
      <c r="A132" s="11">
        <v>34</v>
      </c>
      <c r="B132" s="11" t="s">
        <v>869</v>
      </c>
      <c r="C132" s="13" t="s">
        <v>783</v>
      </c>
      <c r="D132" s="14">
        <v>1</v>
      </c>
      <c r="E132" s="45">
        <v>180000</v>
      </c>
      <c r="F132" s="45">
        <v>180000</v>
      </c>
      <c r="G132" s="13" t="s">
        <v>870</v>
      </c>
      <c r="H132" s="31" t="s">
        <v>871</v>
      </c>
      <c r="I132" s="31" t="s">
        <v>778</v>
      </c>
      <c r="J132" s="73">
        <v>1</v>
      </c>
      <c r="K132" s="114">
        <v>180000</v>
      </c>
      <c r="L132" s="73"/>
      <c r="M132" s="73"/>
      <c r="N132" s="73"/>
      <c r="O132" s="73"/>
      <c r="P132" s="73"/>
      <c r="Q132" s="73"/>
      <c r="R132" s="73"/>
    </row>
    <row r="133" ht="15.75" spans="1:18">
      <c r="A133" s="11">
        <v>35</v>
      </c>
      <c r="B133" s="11" t="s">
        <v>872</v>
      </c>
      <c r="C133" s="13" t="s">
        <v>783</v>
      </c>
      <c r="D133" s="14">
        <v>1</v>
      </c>
      <c r="E133" s="45">
        <v>120000</v>
      </c>
      <c r="F133" s="45">
        <v>120000</v>
      </c>
      <c r="G133" s="13" t="s">
        <v>870</v>
      </c>
      <c r="H133" s="31" t="s">
        <v>729</v>
      </c>
      <c r="I133" s="31" t="s">
        <v>778</v>
      </c>
      <c r="J133" s="73">
        <v>1</v>
      </c>
      <c r="K133" s="114">
        <v>120000</v>
      </c>
      <c r="L133" s="73"/>
      <c r="M133" s="73"/>
      <c r="N133" s="73"/>
      <c r="O133" s="73"/>
      <c r="P133" s="73"/>
      <c r="Q133" s="73"/>
      <c r="R133" s="73"/>
    </row>
    <row r="134" ht="15.75" spans="1:18">
      <c r="A134" s="11">
        <v>36</v>
      </c>
      <c r="B134" s="13" t="s">
        <v>873</v>
      </c>
      <c r="C134" s="13" t="s">
        <v>783</v>
      </c>
      <c r="D134" s="14">
        <v>1</v>
      </c>
      <c r="E134" s="45">
        <v>80000</v>
      </c>
      <c r="F134" s="45">
        <v>80000</v>
      </c>
      <c r="G134" s="13" t="s">
        <v>870</v>
      </c>
      <c r="H134" s="31" t="s">
        <v>729</v>
      </c>
      <c r="I134" s="31" t="s">
        <v>778</v>
      </c>
      <c r="J134" s="73">
        <v>1</v>
      </c>
      <c r="K134" s="114">
        <v>80000</v>
      </c>
      <c r="L134" s="73"/>
      <c r="M134" s="73"/>
      <c r="N134" s="73"/>
      <c r="O134" s="73"/>
      <c r="P134" s="73"/>
      <c r="Q134" s="73"/>
      <c r="R134" s="73"/>
    </row>
    <row r="135" ht="15.75" spans="1:18">
      <c r="A135" s="11">
        <v>37</v>
      </c>
      <c r="B135" s="11" t="s">
        <v>874</v>
      </c>
      <c r="C135" s="13" t="s">
        <v>783</v>
      </c>
      <c r="D135" s="14">
        <v>1</v>
      </c>
      <c r="E135" s="45">
        <v>60000</v>
      </c>
      <c r="F135" s="45">
        <v>60000</v>
      </c>
      <c r="G135" s="13" t="s">
        <v>870</v>
      </c>
      <c r="H135" s="31" t="s">
        <v>729</v>
      </c>
      <c r="I135" s="31" t="s">
        <v>778</v>
      </c>
      <c r="J135" s="73">
        <v>1</v>
      </c>
      <c r="K135" s="114">
        <v>60000</v>
      </c>
      <c r="L135" s="73"/>
      <c r="M135" s="73"/>
      <c r="N135" s="73"/>
      <c r="O135" s="73"/>
      <c r="P135" s="73"/>
      <c r="Q135" s="73"/>
      <c r="R135" s="73"/>
    </row>
    <row r="136" ht="15.75" spans="1:18">
      <c r="A136" s="11">
        <v>38</v>
      </c>
      <c r="B136" s="11" t="s">
        <v>875</v>
      </c>
      <c r="C136" s="13" t="s">
        <v>783</v>
      </c>
      <c r="D136" s="14">
        <v>2</v>
      </c>
      <c r="E136" s="45">
        <v>45000</v>
      </c>
      <c r="F136" s="45">
        <v>90000</v>
      </c>
      <c r="G136" s="13" t="s">
        <v>870</v>
      </c>
      <c r="H136" s="31" t="s">
        <v>729</v>
      </c>
      <c r="I136" s="31" t="s">
        <v>778</v>
      </c>
      <c r="J136" s="73">
        <v>2</v>
      </c>
      <c r="K136" s="114">
        <v>90000</v>
      </c>
      <c r="L136" s="73"/>
      <c r="M136" s="73"/>
      <c r="N136" s="73"/>
      <c r="O136" s="73"/>
      <c r="P136" s="73"/>
      <c r="Q136" s="73"/>
      <c r="R136" s="73"/>
    </row>
    <row r="137" ht="15.75" spans="1:18">
      <c r="A137" s="11">
        <v>39</v>
      </c>
      <c r="B137" s="11" t="s">
        <v>876</v>
      </c>
      <c r="C137" s="13" t="s">
        <v>783</v>
      </c>
      <c r="D137" s="14">
        <v>1</v>
      </c>
      <c r="E137" s="45">
        <v>350000</v>
      </c>
      <c r="F137" s="45">
        <v>350000</v>
      </c>
      <c r="G137" s="13" t="s">
        <v>870</v>
      </c>
      <c r="H137" s="31" t="s">
        <v>729</v>
      </c>
      <c r="I137" s="31" t="s">
        <v>778</v>
      </c>
      <c r="J137" s="73">
        <v>1</v>
      </c>
      <c r="K137" s="114">
        <v>350000</v>
      </c>
      <c r="L137" s="73"/>
      <c r="M137" s="73"/>
      <c r="N137" s="73"/>
      <c r="O137" s="73"/>
      <c r="P137" s="73"/>
      <c r="Q137" s="73"/>
      <c r="R137" s="73"/>
    </row>
    <row r="138" ht="15.75" spans="1:18">
      <c r="A138" s="11">
        <v>40</v>
      </c>
      <c r="B138" s="11" t="s">
        <v>877</v>
      </c>
      <c r="C138" s="13" t="s">
        <v>783</v>
      </c>
      <c r="D138" s="14">
        <v>1</v>
      </c>
      <c r="E138" s="45">
        <v>900000</v>
      </c>
      <c r="F138" s="45">
        <v>900000</v>
      </c>
      <c r="G138" s="13" t="s">
        <v>870</v>
      </c>
      <c r="H138" s="31" t="s">
        <v>814</v>
      </c>
      <c r="I138" s="31" t="s">
        <v>778</v>
      </c>
      <c r="J138" s="73">
        <v>1</v>
      </c>
      <c r="K138" s="114">
        <v>900000</v>
      </c>
      <c r="L138" s="73"/>
      <c r="M138" s="73"/>
      <c r="N138" s="73"/>
      <c r="O138" s="73"/>
      <c r="P138" s="73"/>
      <c r="Q138" s="73"/>
      <c r="R138" s="73"/>
    </row>
    <row r="139" ht="15.75" spans="1:18">
      <c r="A139" s="11">
        <v>41</v>
      </c>
      <c r="B139" s="11" t="s">
        <v>878</v>
      </c>
      <c r="C139" s="13" t="s">
        <v>783</v>
      </c>
      <c r="D139" s="14">
        <v>1</v>
      </c>
      <c r="E139" s="45">
        <v>50000</v>
      </c>
      <c r="F139" s="45">
        <v>50000</v>
      </c>
      <c r="G139" s="13" t="s">
        <v>870</v>
      </c>
      <c r="H139" s="31" t="s">
        <v>729</v>
      </c>
      <c r="I139" s="31" t="s">
        <v>778</v>
      </c>
      <c r="J139" s="73">
        <v>1</v>
      </c>
      <c r="K139" s="114">
        <v>50000</v>
      </c>
      <c r="L139" s="73"/>
      <c r="M139" s="73"/>
      <c r="N139" s="73"/>
      <c r="O139" s="73"/>
      <c r="P139" s="73"/>
      <c r="Q139" s="73"/>
      <c r="R139" s="73"/>
    </row>
    <row r="140" ht="15.75" spans="1:18">
      <c r="A140" s="11">
        <v>42</v>
      </c>
      <c r="B140" s="11" t="s">
        <v>879</v>
      </c>
      <c r="C140" s="13" t="s">
        <v>783</v>
      </c>
      <c r="D140" s="14">
        <v>1</v>
      </c>
      <c r="E140" s="45">
        <v>20000</v>
      </c>
      <c r="F140" s="45">
        <v>20000</v>
      </c>
      <c r="G140" s="13" t="s">
        <v>870</v>
      </c>
      <c r="H140" s="31" t="s">
        <v>729</v>
      </c>
      <c r="I140" s="31" t="s">
        <v>778</v>
      </c>
      <c r="J140" s="73">
        <v>1</v>
      </c>
      <c r="K140" s="114">
        <v>20000</v>
      </c>
      <c r="L140" s="73"/>
      <c r="M140" s="73"/>
      <c r="N140" s="73"/>
      <c r="O140" s="73"/>
      <c r="P140" s="73"/>
      <c r="Q140" s="73"/>
      <c r="R140" s="73"/>
    </row>
    <row r="141" ht="15.75" spans="1:18">
      <c r="A141" s="11">
        <v>43</v>
      </c>
      <c r="B141" s="11" t="s">
        <v>880</v>
      </c>
      <c r="C141" s="13" t="s">
        <v>783</v>
      </c>
      <c r="D141" s="14">
        <v>1</v>
      </c>
      <c r="E141" s="45">
        <v>100000</v>
      </c>
      <c r="F141" s="45">
        <v>100000</v>
      </c>
      <c r="G141" s="13" t="s">
        <v>870</v>
      </c>
      <c r="H141" s="31" t="s">
        <v>729</v>
      </c>
      <c r="I141" s="31" t="s">
        <v>778</v>
      </c>
      <c r="J141" s="73">
        <v>1</v>
      </c>
      <c r="K141" s="114">
        <v>100000</v>
      </c>
      <c r="L141" s="73"/>
      <c r="M141" s="73"/>
      <c r="N141" s="73"/>
      <c r="O141" s="73"/>
      <c r="P141" s="73"/>
      <c r="Q141" s="73"/>
      <c r="R141" s="73"/>
    </row>
    <row r="142" ht="15.75" spans="1:18">
      <c r="A142" s="11">
        <v>44</v>
      </c>
      <c r="B142" s="38" t="s">
        <v>881</v>
      </c>
      <c r="C142" s="13" t="s">
        <v>783</v>
      </c>
      <c r="D142" s="14">
        <v>1</v>
      </c>
      <c r="E142" s="45">
        <v>400000</v>
      </c>
      <c r="F142" s="45">
        <v>400000</v>
      </c>
      <c r="G142" s="13" t="s">
        <v>882</v>
      </c>
      <c r="H142" s="31" t="s">
        <v>729</v>
      </c>
      <c r="I142" s="31" t="s">
        <v>778</v>
      </c>
      <c r="J142" s="73">
        <v>1</v>
      </c>
      <c r="K142" s="114">
        <v>400000</v>
      </c>
      <c r="L142" s="73"/>
      <c r="M142" s="73"/>
      <c r="N142" s="73"/>
      <c r="O142" s="73"/>
      <c r="P142" s="73"/>
      <c r="Q142" s="73"/>
      <c r="R142" s="73"/>
    </row>
    <row r="143" ht="15.75" spans="1:18">
      <c r="A143" s="11">
        <v>45</v>
      </c>
      <c r="B143" s="38" t="s">
        <v>883</v>
      </c>
      <c r="C143" s="13" t="s">
        <v>783</v>
      </c>
      <c r="D143" s="14">
        <v>30</v>
      </c>
      <c r="E143" s="45">
        <v>45000</v>
      </c>
      <c r="F143" s="45">
        <v>1350000</v>
      </c>
      <c r="G143" s="13" t="s">
        <v>882</v>
      </c>
      <c r="H143" s="31" t="s">
        <v>729</v>
      </c>
      <c r="I143" s="31" t="s">
        <v>778</v>
      </c>
      <c r="J143" s="73">
        <v>30</v>
      </c>
      <c r="K143" s="114">
        <v>1350000</v>
      </c>
      <c r="L143" s="73"/>
      <c r="M143" s="73"/>
      <c r="N143" s="73"/>
      <c r="O143" s="73"/>
      <c r="P143" s="73"/>
      <c r="Q143" s="73"/>
      <c r="R143" s="73"/>
    </row>
    <row r="144" ht="15.75" spans="1:18">
      <c r="A144" s="11">
        <v>46</v>
      </c>
      <c r="B144" s="11" t="s">
        <v>880</v>
      </c>
      <c r="C144" s="13" t="s">
        <v>884</v>
      </c>
      <c r="D144" s="14">
        <v>1</v>
      </c>
      <c r="E144" s="45">
        <v>100000</v>
      </c>
      <c r="F144" s="45">
        <v>100000</v>
      </c>
      <c r="G144" s="13" t="s">
        <v>885</v>
      </c>
      <c r="H144" s="31" t="s">
        <v>729</v>
      </c>
      <c r="I144" s="31" t="s">
        <v>778</v>
      </c>
      <c r="J144" s="73">
        <v>1</v>
      </c>
      <c r="K144" s="114">
        <v>100000</v>
      </c>
      <c r="L144" s="73"/>
      <c r="M144" s="73"/>
      <c r="N144" s="73"/>
      <c r="O144" s="73"/>
      <c r="P144" s="73"/>
      <c r="Q144" s="73"/>
      <c r="R144" s="73"/>
    </row>
    <row r="145" ht="15.75" spans="1:18">
      <c r="A145" s="11">
        <v>47</v>
      </c>
      <c r="B145" s="11" t="s">
        <v>886</v>
      </c>
      <c r="C145" s="13" t="s">
        <v>884</v>
      </c>
      <c r="D145" s="14">
        <v>1</v>
      </c>
      <c r="E145" s="45">
        <v>145000</v>
      </c>
      <c r="F145" s="45">
        <v>145000</v>
      </c>
      <c r="G145" s="13" t="s">
        <v>887</v>
      </c>
      <c r="H145" s="31" t="s">
        <v>729</v>
      </c>
      <c r="I145" s="31" t="s">
        <v>778</v>
      </c>
      <c r="J145" s="73">
        <v>1</v>
      </c>
      <c r="K145" s="114">
        <v>145000</v>
      </c>
      <c r="L145" s="73"/>
      <c r="M145" s="73"/>
      <c r="N145" s="73"/>
      <c r="O145" s="73"/>
      <c r="P145" s="73"/>
      <c r="Q145" s="73"/>
      <c r="R145" s="73"/>
    </row>
    <row r="146" ht="15.75" spans="1:18">
      <c r="A146" s="11">
        <v>48</v>
      </c>
      <c r="B146" s="11" t="s">
        <v>888</v>
      </c>
      <c r="C146" s="13" t="s">
        <v>884</v>
      </c>
      <c r="D146" s="14">
        <v>1</v>
      </c>
      <c r="E146" s="45">
        <v>65000</v>
      </c>
      <c r="F146" s="45">
        <v>65000</v>
      </c>
      <c r="G146" s="13" t="s">
        <v>887</v>
      </c>
      <c r="H146" s="31" t="s">
        <v>729</v>
      </c>
      <c r="I146" s="31" t="s">
        <v>778</v>
      </c>
      <c r="J146" s="73">
        <v>1</v>
      </c>
      <c r="K146" s="114">
        <v>65000</v>
      </c>
      <c r="L146" s="73"/>
      <c r="M146" s="73"/>
      <c r="N146" s="73"/>
      <c r="O146" s="73"/>
      <c r="P146" s="73"/>
      <c r="Q146" s="73"/>
      <c r="R146" s="73"/>
    </row>
    <row r="147" ht="15.75" spans="1:18">
      <c r="A147" s="11">
        <v>49</v>
      </c>
      <c r="B147" s="11" t="s">
        <v>889</v>
      </c>
      <c r="C147" s="13" t="s">
        <v>884</v>
      </c>
      <c r="D147" s="14">
        <v>1</v>
      </c>
      <c r="E147" s="45">
        <v>50000</v>
      </c>
      <c r="F147" s="45">
        <v>50000</v>
      </c>
      <c r="G147" s="13" t="s">
        <v>887</v>
      </c>
      <c r="H147" s="31" t="s">
        <v>729</v>
      </c>
      <c r="I147" s="31" t="s">
        <v>778</v>
      </c>
      <c r="J147" s="73">
        <v>1</v>
      </c>
      <c r="K147" s="114">
        <v>50000</v>
      </c>
      <c r="L147" s="73"/>
      <c r="M147" s="73"/>
      <c r="N147" s="73"/>
      <c r="O147" s="73"/>
      <c r="P147" s="73"/>
      <c r="Q147" s="73"/>
      <c r="R147" s="73"/>
    </row>
    <row r="148" ht="15.75" spans="1:18">
      <c r="A148" s="11">
        <v>50</v>
      </c>
      <c r="B148" s="11" t="s">
        <v>890</v>
      </c>
      <c r="C148" s="13" t="s">
        <v>884</v>
      </c>
      <c r="D148" s="14">
        <v>1</v>
      </c>
      <c r="E148" s="45">
        <v>35000</v>
      </c>
      <c r="F148" s="45">
        <v>35000</v>
      </c>
      <c r="G148" s="13" t="s">
        <v>887</v>
      </c>
      <c r="H148" s="31" t="s">
        <v>729</v>
      </c>
      <c r="I148" s="31" t="s">
        <v>778</v>
      </c>
      <c r="J148" s="73">
        <v>1</v>
      </c>
      <c r="K148" s="114">
        <v>35000</v>
      </c>
      <c r="L148" s="73"/>
      <c r="M148" s="73"/>
      <c r="N148" s="73"/>
      <c r="O148" s="73"/>
      <c r="P148" s="73"/>
      <c r="Q148" s="73"/>
      <c r="R148" s="73"/>
    </row>
    <row r="149" ht="15.75" spans="1:18">
      <c r="A149" s="11">
        <v>51</v>
      </c>
      <c r="B149" s="11" t="s">
        <v>891</v>
      </c>
      <c r="C149" s="13" t="s">
        <v>884</v>
      </c>
      <c r="D149" s="14">
        <v>2</v>
      </c>
      <c r="E149" s="45">
        <v>25000</v>
      </c>
      <c r="F149" s="45">
        <v>50000</v>
      </c>
      <c r="G149" s="13" t="s">
        <v>887</v>
      </c>
      <c r="H149" s="31" t="s">
        <v>729</v>
      </c>
      <c r="I149" s="31" t="s">
        <v>778</v>
      </c>
      <c r="J149" s="73">
        <v>2</v>
      </c>
      <c r="K149" s="114">
        <v>50000</v>
      </c>
      <c r="L149" s="73"/>
      <c r="M149" s="73"/>
      <c r="N149" s="73"/>
      <c r="O149" s="73"/>
      <c r="P149" s="73"/>
      <c r="Q149" s="73"/>
      <c r="R149" s="73"/>
    </row>
    <row r="150" ht="15.75" spans="1:18">
      <c r="A150" s="11">
        <v>52</v>
      </c>
      <c r="B150" s="11" t="s">
        <v>892</v>
      </c>
      <c r="C150" s="13" t="s">
        <v>884</v>
      </c>
      <c r="D150" s="14">
        <v>6</v>
      </c>
      <c r="E150" s="45">
        <v>30000</v>
      </c>
      <c r="F150" s="45">
        <v>180000</v>
      </c>
      <c r="G150" s="13" t="s">
        <v>887</v>
      </c>
      <c r="H150" s="31" t="s">
        <v>729</v>
      </c>
      <c r="I150" s="31" t="s">
        <v>778</v>
      </c>
      <c r="J150" s="73">
        <v>6</v>
      </c>
      <c r="K150" s="114">
        <v>180000</v>
      </c>
      <c r="L150" s="73"/>
      <c r="M150" s="73"/>
      <c r="N150" s="73"/>
      <c r="O150" s="73"/>
      <c r="P150" s="73"/>
      <c r="Q150" s="73"/>
      <c r="R150" s="73"/>
    </row>
    <row r="151" ht="15.75" spans="1:18">
      <c r="A151" s="11">
        <v>53</v>
      </c>
      <c r="B151" s="11" t="s">
        <v>879</v>
      </c>
      <c r="C151" s="13" t="s">
        <v>884</v>
      </c>
      <c r="D151" s="14">
        <v>1</v>
      </c>
      <c r="E151" s="45">
        <v>10000</v>
      </c>
      <c r="F151" s="45">
        <v>10000</v>
      </c>
      <c r="G151" s="13" t="s">
        <v>887</v>
      </c>
      <c r="H151" s="31" t="s">
        <v>729</v>
      </c>
      <c r="I151" s="31" t="s">
        <v>778</v>
      </c>
      <c r="J151" s="73">
        <v>1</v>
      </c>
      <c r="K151" s="114">
        <v>10000</v>
      </c>
      <c r="L151" s="73"/>
      <c r="M151" s="73"/>
      <c r="N151" s="73"/>
      <c r="O151" s="73"/>
      <c r="P151" s="73"/>
      <c r="Q151" s="73"/>
      <c r="R151" s="73"/>
    </row>
    <row r="152" ht="15.75" spans="1:18">
      <c r="A152" s="11">
        <v>54</v>
      </c>
      <c r="B152" s="11" t="s">
        <v>893</v>
      </c>
      <c r="C152" s="13" t="s">
        <v>884</v>
      </c>
      <c r="D152" s="14">
        <v>1</v>
      </c>
      <c r="E152" s="45">
        <v>10000</v>
      </c>
      <c r="F152" s="45">
        <v>10000</v>
      </c>
      <c r="G152" s="13" t="s">
        <v>887</v>
      </c>
      <c r="H152" s="31" t="s">
        <v>729</v>
      </c>
      <c r="I152" s="31" t="s">
        <v>778</v>
      </c>
      <c r="J152" s="73">
        <v>1</v>
      </c>
      <c r="K152" s="114">
        <v>10000</v>
      </c>
      <c r="L152" s="73"/>
      <c r="M152" s="73"/>
      <c r="N152" s="73"/>
      <c r="O152" s="73"/>
      <c r="P152" s="73"/>
      <c r="Q152" s="73"/>
      <c r="R152" s="73"/>
    </row>
    <row r="153" ht="15.75" spans="1:18">
      <c r="A153" s="11">
        <v>55</v>
      </c>
      <c r="B153" s="11" t="s">
        <v>880</v>
      </c>
      <c r="C153" s="13" t="s">
        <v>884</v>
      </c>
      <c r="D153" s="14">
        <v>1</v>
      </c>
      <c r="E153" s="45">
        <v>100000</v>
      </c>
      <c r="F153" s="45">
        <v>100000</v>
      </c>
      <c r="G153" s="13" t="s">
        <v>887</v>
      </c>
      <c r="H153" s="31" t="s">
        <v>729</v>
      </c>
      <c r="I153" s="31" t="s">
        <v>778</v>
      </c>
      <c r="J153" s="73">
        <v>1</v>
      </c>
      <c r="K153" s="114">
        <v>100000</v>
      </c>
      <c r="L153" s="73"/>
      <c r="M153" s="73"/>
      <c r="N153" s="73"/>
      <c r="O153" s="73"/>
      <c r="P153" s="73"/>
      <c r="Q153" s="73"/>
      <c r="R153" s="73"/>
    </row>
    <row r="154" ht="15.75" spans="1:18">
      <c r="A154" s="11">
        <v>56</v>
      </c>
      <c r="B154" s="11" t="s">
        <v>868</v>
      </c>
      <c r="C154" s="13" t="s">
        <v>884</v>
      </c>
      <c r="D154" s="14">
        <v>1</v>
      </c>
      <c r="E154" s="45">
        <v>650000</v>
      </c>
      <c r="F154" s="45">
        <v>650000</v>
      </c>
      <c r="G154" s="13" t="s">
        <v>887</v>
      </c>
      <c r="H154" s="31" t="s">
        <v>729</v>
      </c>
      <c r="I154" s="31" t="s">
        <v>778</v>
      </c>
      <c r="J154" s="73">
        <v>1</v>
      </c>
      <c r="K154" s="114">
        <v>650000</v>
      </c>
      <c r="L154" s="73"/>
      <c r="M154" s="73"/>
      <c r="N154" s="73"/>
      <c r="O154" s="73"/>
      <c r="P154" s="73"/>
      <c r="Q154" s="73"/>
      <c r="R154" s="73"/>
    </row>
    <row r="155" ht="15.75" spans="1:18">
      <c r="A155" s="11"/>
      <c r="B155" s="12"/>
      <c r="C155" s="13"/>
      <c r="D155" s="14"/>
      <c r="E155" s="56"/>
      <c r="F155" s="56"/>
      <c r="G155" s="13"/>
      <c r="H155" s="31"/>
      <c r="I155" s="31"/>
      <c r="J155" s="73"/>
      <c r="K155" s="114"/>
      <c r="L155" s="73"/>
      <c r="M155" s="73"/>
      <c r="N155" s="73"/>
      <c r="O155" s="73"/>
      <c r="P155" s="73"/>
      <c r="Q155" s="73"/>
      <c r="R155" s="73"/>
    </row>
    <row r="156" ht="15.75" spans="1:18">
      <c r="A156" s="11"/>
      <c r="B156" s="116" t="s">
        <v>22</v>
      </c>
      <c r="C156" s="16"/>
      <c r="D156" s="14"/>
      <c r="E156" s="117"/>
      <c r="F156" s="118">
        <f>SUM(F99:F155)</f>
        <v>13250000</v>
      </c>
      <c r="G156" s="13"/>
      <c r="H156" s="13"/>
      <c r="I156" s="13"/>
      <c r="J156" s="14"/>
      <c r="K156" s="14"/>
      <c r="L156" s="14"/>
      <c r="M156" s="14"/>
      <c r="N156" s="14"/>
      <c r="O156" s="14"/>
      <c r="P156" s="14"/>
      <c r="Q156" s="14"/>
      <c r="R156" s="14"/>
    </row>
    <row r="157" ht="15.75" spans="1:18">
      <c r="A157" s="11"/>
      <c r="B157" s="32"/>
      <c r="C157" s="16"/>
      <c r="D157" s="14"/>
      <c r="E157" s="119"/>
      <c r="F157" s="14"/>
      <c r="G157" s="13"/>
      <c r="H157" s="13"/>
      <c r="I157" s="13"/>
      <c r="J157" s="14"/>
      <c r="K157" s="14"/>
      <c r="L157" s="14"/>
      <c r="M157" s="14"/>
      <c r="N157" s="14"/>
      <c r="O157" s="14"/>
      <c r="P157" s="14"/>
      <c r="Q157" s="14"/>
      <c r="R157" s="14"/>
    </row>
    <row r="158" ht="15.75" spans="1:18">
      <c r="A158" s="11"/>
      <c r="B158" s="32"/>
      <c r="C158" s="16"/>
      <c r="D158" s="14"/>
      <c r="E158" s="119"/>
      <c r="F158" s="14"/>
      <c r="G158" s="13"/>
      <c r="H158" s="13"/>
      <c r="I158" s="13"/>
      <c r="J158" s="14"/>
      <c r="K158" s="14"/>
      <c r="L158" s="14"/>
      <c r="M158" s="14"/>
      <c r="N158" s="14"/>
      <c r="O158" s="14"/>
      <c r="P158" s="14"/>
      <c r="Q158" s="14"/>
      <c r="R158" s="14"/>
    </row>
    <row r="159" ht="15.75" spans="1:18">
      <c r="A159" s="11"/>
      <c r="B159" s="11"/>
      <c r="C159" s="13"/>
      <c r="D159" s="14"/>
      <c r="E159" s="14"/>
      <c r="F159" s="14"/>
      <c r="G159" s="13"/>
      <c r="H159" s="13"/>
      <c r="I159" s="13"/>
      <c r="J159" s="14"/>
      <c r="K159" s="14"/>
      <c r="L159" s="14"/>
      <c r="M159" s="14"/>
      <c r="N159" s="14"/>
      <c r="O159" s="14"/>
      <c r="P159" s="14"/>
      <c r="Q159" s="14"/>
      <c r="R159" s="14"/>
    </row>
    <row r="160" ht="15.75" spans="1:18">
      <c r="A160" s="12">
        <v>9</v>
      </c>
      <c r="B160" s="12" t="s">
        <v>741</v>
      </c>
      <c r="C160" s="13"/>
      <c r="D160" s="14"/>
      <c r="E160" s="14"/>
      <c r="F160" s="14"/>
      <c r="G160" s="13"/>
      <c r="H160" s="13"/>
      <c r="I160" s="13"/>
      <c r="J160" s="14"/>
      <c r="K160" s="14"/>
      <c r="L160" s="14"/>
      <c r="M160" s="14"/>
      <c r="N160" s="14"/>
      <c r="O160" s="14"/>
      <c r="P160" s="14"/>
      <c r="Q160" s="14"/>
      <c r="R160" s="14"/>
    </row>
    <row r="161" ht="15.75" spans="1:18">
      <c r="A161" s="120">
        <v>1</v>
      </c>
      <c r="B161" s="32" t="s">
        <v>125</v>
      </c>
      <c r="C161" s="121"/>
      <c r="D161" s="122">
        <v>3000</v>
      </c>
      <c r="E161" s="14">
        <v>200</v>
      </c>
      <c r="F161" s="122">
        <f>D161*E161</f>
        <v>600000</v>
      </c>
      <c r="G161" s="13" t="s">
        <v>126</v>
      </c>
      <c r="H161" s="13" t="s">
        <v>127</v>
      </c>
      <c r="I161" s="13" t="s">
        <v>778</v>
      </c>
      <c r="J161" s="37"/>
      <c r="K161" s="37">
        <v>150000</v>
      </c>
      <c r="L161" s="37"/>
      <c r="M161" s="37">
        <v>150000</v>
      </c>
      <c r="N161" s="37"/>
      <c r="O161" s="37">
        <v>150000</v>
      </c>
      <c r="P161" s="37"/>
      <c r="Q161" s="37">
        <v>150000</v>
      </c>
      <c r="R161" s="37"/>
    </row>
    <row r="162" ht="15.75" spans="1:18">
      <c r="A162" s="11">
        <v>2</v>
      </c>
      <c r="B162" s="32" t="s">
        <v>128</v>
      </c>
      <c r="C162" s="121"/>
      <c r="D162" s="122">
        <v>5000</v>
      </c>
      <c r="E162" s="14">
        <v>190</v>
      </c>
      <c r="F162" s="122">
        <f t="shared" ref="F161:F170" si="2">D162*E162</f>
        <v>950000</v>
      </c>
      <c r="G162" s="13" t="s">
        <v>126</v>
      </c>
      <c r="H162" s="13" t="s">
        <v>127</v>
      </c>
      <c r="I162" s="13" t="s">
        <v>778</v>
      </c>
      <c r="J162" s="37"/>
      <c r="K162" s="37">
        <v>237500</v>
      </c>
      <c r="L162" s="37"/>
      <c r="M162" s="37">
        <v>237500</v>
      </c>
      <c r="N162" s="37"/>
      <c r="O162" s="37">
        <v>237500</v>
      </c>
      <c r="P162" s="37"/>
      <c r="Q162" s="37">
        <v>237500</v>
      </c>
      <c r="R162" s="37"/>
    </row>
    <row r="163" ht="15.75" spans="1:18">
      <c r="A163" s="11">
        <v>3</v>
      </c>
      <c r="B163" s="32" t="s">
        <v>129</v>
      </c>
      <c r="C163" s="121"/>
      <c r="D163" s="122">
        <v>3000</v>
      </c>
      <c r="E163" s="14">
        <v>200</v>
      </c>
      <c r="F163" s="37">
        <f t="shared" si="2"/>
        <v>600000</v>
      </c>
      <c r="G163" s="13" t="s">
        <v>126</v>
      </c>
      <c r="H163" s="13" t="s">
        <v>127</v>
      </c>
      <c r="I163" s="13" t="s">
        <v>778</v>
      </c>
      <c r="J163" s="37"/>
      <c r="K163" s="37">
        <v>150000</v>
      </c>
      <c r="L163" s="37"/>
      <c r="M163" s="37">
        <v>150000</v>
      </c>
      <c r="N163" s="37"/>
      <c r="O163" s="37">
        <v>150000</v>
      </c>
      <c r="P163" s="37"/>
      <c r="Q163" s="37">
        <v>150000</v>
      </c>
      <c r="R163" s="37"/>
    </row>
    <row r="164" ht="15.75" spans="1:18">
      <c r="A164" s="11">
        <v>4</v>
      </c>
      <c r="B164" s="32" t="s">
        <v>130</v>
      </c>
      <c r="C164" s="121"/>
      <c r="D164" s="122">
        <v>5000</v>
      </c>
      <c r="E164" s="14">
        <v>200</v>
      </c>
      <c r="F164" s="122">
        <f t="shared" si="2"/>
        <v>1000000</v>
      </c>
      <c r="G164" s="13" t="s">
        <v>126</v>
      </c>
      <c r="H164" s="13" t="s">
        <v>127</v>
      </c>
      <c r="I164" s="13" t="s">
        <v>778</v>
      </c>
      <c r="J164" s="37"/>
      <c r="K164" s="37">
        <v>250000</v>
      </c>
      <c r="L164" s="37"/>
      <c r="M164" s="37">
        <v>250000</v>
      </c>
      <c r="N164" s="37"/>
      <c r="O164" s="37">
        <v>250000</v>
      </c>
      <c r="P164" s="37"/>
      <c r="Q164" s="37">
        <v>250000</v>
      </c>
      <c r="R164" s="37"/>
    </row>
    <row r="165" ht="15.75" spans="1:18">
      <c r="A165" s="11">
        <v>5</v>
      </c>
      <c r="B165" s="32" t="s">
        <v>131</v>
      </c>
      <c r="C165" s="121"/>
      <c r="D165" s="122">
        <v>5000</v>
      </c>
      <c r="E165" s="14">
        <v>190</v>
      </c>
      <c r="F165" s="37">
        <f t="shared" si="2"/>
        <v>950000</v>
      </c>
      <c r="G165" s="13" t="s">
        <v>126</v>
      </c>
      <c r="H165" s="13" t="s">
        <v>127</v>
      </c>
      <c r="I165" s="13" t="s">
        <v>778</v>
      </c>
      <c r="J165" s="37"/>
      <c r="K165" s="37">
        <v>237500</v>
      </c>
      <c r="L165" s="37"/>
      <c r="M165" s="37">
        <v>237500</v>
      </c>
      <c r="N165" s="37"/>
      <c r="O165" s="37">
        <v>237500</v>
      </c>
      <c r="P165" s="37"/>
      <c r="Q165" s="37">
        <v>237500</v>
      </c>
      <c r="R165" s="37"/>
    </row>
    <row r="166" ht="15.75" spans="1:18">
      <c r="A166" s="11">
        <v>6</v>
      </c>
      <c r="B166" s="32" t="s">
        <v>132</v>
      </c>
      <c r="C166" s="16"/>
      <c r="D166" s="37">
        <v>5</v>
      </c>
      <c r="E166" s="14">
        <v>24000</v>
      </c>
      <c r="F166" s="37">
        <f t="shared" si="2"/>
        <v>120000</v>
      </c>
      <c r="G166" s="13" t="s">
        <v>126</v>
      </c>
      <c r="H166" s="13" t="s">
        <v>127</v>
      </c>
      <c r="I166" s="13" t="s">
        <v>778</v>
      </c>
      <c r="J166" s="37"/>
      <c r="K166" s="37"/>
      <c r="L166" s="37"/>
      <c r="M166" s="37"/>
      <c r="N166" s="127"/>
      <c r="O166" s="127">
        <v>120000</v>
      </c>
      <c r="P166" s="127"/>
      <c r="Q166" s="37"/>
      <c r="R166" s="37"/>
    </row>
    <row r="167" ht="15.75" spans="1:18">
      <c r="A167" s="11">
        <v>7</v>
      </c>
      <c r="B167" s="32" t="s">
        <v>133</v>
      </c>
      <c r="C167" s="16"/>
      <c r="D167" s="37">
        <v>5</v>
      </c>
      <c r="E167" s="14">
        <v>16000</v>
      </c>
      <c r="F167" s="37">
        <f t="shared" si="2"/>
        <v>80000</v>
      </c>
      <c r="G167" s="13" t="s">
        <v>126</v>
      </c>
      <c r="H167" s="13" t="s">
        <v>127</v>
      </c>
      <c r="I167" s="13" t="s">
        <v>778</v>
      </c>
      <c r="J167" s="37"/>
      <c r="K167" s="37"/>
      <c r="L167" s="37"/>
      <c r="M167" s="37"/>
      <c r="N167" s="37"/>
      <c r="O167" s="37">
        <v>80000</v>
      </c>
      <c r="P167" s="37"/>
      <c r="Q167" s="37"/>
      <c r="R167" s="37"/>
    </row>
    <row r="168" ht="15.75" spans="1:18">
      <c r="A168" s="11">
        <v>8</v>
      </c>
      <c r="B168" s="32" t="s">
        <v>134</v>
      </c>
      <c r="C168" s="16"/>
      <c r="D168" s="37">
        <v>7</v>
      </c>
      <c r="E168" s="77">
        <v>36000</v>
      </c>
      <c r="F168" s="114">
        <f t="shared" si="2"/>
        <v>252000</v>
      </c>
      <c r="G168" s="13" t="s">
        <v>126</v>
      </c>
      <c r="H168" s="13" t="s">
        <v>127</v>
      </c>
      <c r="I168" s="13" t="s">
        <v>778</v>
      </c>
      <c r="J168" s="73"/>
      <c r="K168" s="73"/>
      <c r="L168" s="73"/>
      <c r="M168" s="73">
        <v>252000</v>
      </c>
      <c r="N168" s="73"/>
      <c r="O168" s="73"/>
      <c r="P168" s="73"/>
      <c r="Q168" s="73"/>
      <c r="R168" s="73"/>
    </row>
    <row r="169" ht="15.75" spans="1:18">
      <c r="A169" s="11">
        <v>9</v>
      </c>
      <c r="B169" s="32" t="s">
        <v>135</v>
      </c>
      <c r="C169" s="16"/>
      <c r="D169" s="37">
        <v>1</v>
      </c>
      <c r="E169" s="77">
        <v>13500</v>
      </c>
      <c r="F169" s="114">
        <f t="shared" si="2"/>
        <v>13500</v>
      </c>
      <c r="G169" s="13" t="s">
        <v>126</v>
      </c>
      <c r="H169" s="13" t="s">
        <v>729</v>
      </c>
      <c r="I169" s="13" t="s">
        <v>778</v>
      </c>
      <c r="J169" s="73"/>
      <c r="K169" s="73"/>
      <c r="L169" s="73"/>
      <c r="M169" s="73">
        <v>13500</v>
      </c>
      <c r="N169" s="73"/>
      <c r="O169" s="73"/>
      <c r="P169" s="73"/>
      <c r="Q169" s="73"/>
      <c r="R169" s="73"/>
    </row>
    <row r="170" ht="15.75" spans="1:18">
      <c r="A170" s="11">
        <v>10</v>
      </c>
      <c r="B170" s="32" t="s">
        <v>136</v>
      </c>
      <c r="C170" s="16"/>
      <c r="D170" s="37">
        <v>2</v>
      </c>
      <c r="E170" s="77">
        <v>16000</v>
      </c>
      <c r="F170" s="114">
        <f t="shared" si="2"/>
        <v>32000</v>
      </c>
      <c r="G170" s="13" t="s">
        <v>126</v>
      </c>
      <c r="H170" s="13" t="s">
        <v>729</v>
      </c>
      <c r="I170" s="13" t="s">
        <v>778</v>
      </c>
      <c r="J170" s="73"/>
      <c r="K170" s="73"/>
      <c r="L170" s="73"/>
      <c r="M170" s="73">
        <v>32000</v>
      </c>
      <c r="N170" s="73"/>
      <c r="O170" s="73"/>
      <c r="P170" s="73"/>
      <c r="Q170" s="73"/>
      <c r="R170" s="73"/>
    </row>
    <row r="171" ht="31.5" spans="1:18">
      <c r="A171" s="11">
        <v>11</v>
      </c>
      <c r="B171" s="32" t="s">
        <v>137</v>
      </c>
      <c r="C171" s="16"/>
      <c r="D171" s="37" t="s">
        <v>138</v>
      </c>
      <c r="E171" s="77">
        <v>50000</v>
      </c>
      <c r="F171" s="86">
        <v>50000</v>
      </c>
      <c r="G171" s="13" t="s">
        <v>126</v>
      </c>
      <c r="H171" s="13" t="s">
        <v>729</v>
      </c>
      <c r="I171" s="13" t="s">
        <v>778</v>
      </c>
      <c r="J171" s="86"/>
      <c r="K171" s="86">
        <v>12500</v>
      </c>
      <c r="L171" s="86"/>
      <c r="M171" s="86">
        <v>12500</v>
      </c>
      <c r="N171" s="86"/>
      <c r="O171" s="86">
        <v>12500</v>
      </c>
      <c r="P171" s="86"/>
      <c r="Q171" s="86">
        <v>12500</v>
      </c>
      <c r="R171" s="86"/>
    </row>
    <row r="172" ht="15.75" spans="1:18">
      <c r="A172" s="11"/>
      <c r="B172" s="123" t="s">
        <v>139</v>
      </c>
      <c r="C172" s="35"/>
      <c r="D172" s="77"/>
      <c r="E172" s="73"/>
      <c r="F172" s="14"/>
      <c r="G172" s="13"/>
      <c r="H172" s="35"/>
      <c r="I172" s="13" t="s">
        <v>778</v>
      </c>
      <c r="J172" s="73"/>
      <c r="K172" s="73"/>
      <c r="L172" s="73"/>
      <c r="M172" s="73"/>
      <c r="N172" s="73"/>
      <c r="O172" s="73"/>
      <c r="P172" s="73"/>
      <c r="Q172" s="73"/>
      <c r="R172" s="73"/>
    </row>
    <row r="173" ht="15.75" spans="1:18">
      <c r="A173" s="11">
        <v>12</v>
      </c>
      <c r="B173" s="32" t="s">
        <v>140</v>
      </c>
      <c r="C173" s="16" t="s">
        <v>141</v>
      </c>
      <c r="D173" s="37"/>
      <c r="E173" s="37" t="s">
        <v>142</v>
      </c>
      <c r="F173" s="122">
        <v>500000</v>
      </c>
      <c r="G173" s="13" t="s">
        <v>126</v>
      </c>
      <c r="H173" s="13" t="s">
        <v>729</v>
      </c>
      <c r="I173" s="13" t="s">
        <v>778</v>
      </c>
      <c r="J173" s="77"/>
      <c r="K173" s="77">
        <v>125000</v>
      </c>
      <c r="L173" s="77"/>
      <c r="M173" s="77">
        <v>125000</v>
      </c>
      <c r="N173" s="77"/>
      <c r="O173" s="77">
        <v>125000</v>
      </c>
      <c r="P173" s="77"/>
      <c r="Q173" s="77">
        <v>125000</v>
      </c>
      <c r="R173" s="91"/>
    </row>
    <row r="174" ht="15.75" spans="1:18">
      <c r="A174" s="11">
        <v>13</v>
      </c>
      <c r="B174" s="32" t="s">
        <v>143</v>
      </c>
      <c r="C174" s="16" t="s">
        <v>144</v>
      </c>
      <c r="D174" s="37"/>
      <c r="E174" s="37" t="s">
        <v>142</v>
      </c>
      <c r="F174" s="122">
        <v>500000</v>
      </c>
      <c r="G174" s="13" t="s">
        <v>126</v>
      </c>
      <c r="H174" s="13" t="s">
        <v>729</v>
      </c>
      <c r="I174" s="13" t="s">
        <v>778</v>
      </c>
      <c r="J174" s="37"/>
      <c r="K174" s="37">
        <v>125000</v>
      </c>
      <c r="L174" s="37"/>
      <c r="M174" s="37">
        <v>125000</v>
      </c>
      <c r="N174" s="37"/>
      <c r="O174" s="37">
        <v>125000</v>
      </c>
      <c r="P174" s="37"/>
      <c r="Q174" s="37">
        <v>125000</v>
      </c>
      <c r="R174" s="37"/>
    </row>
    <row r="175" ht="15.75" spans="1:18">
      <c r="A175" s="11">
        <v>14</v>
      </c>
      <c r="B175" s="32" t="s">
        <v>145</v>
      </c>
      <c r="C175" s="16" t="s">
        <v>144</v>
      </c>
      <c r="D175" s="37"/>
      <c r="E175" s="37" t="s">
        <v>146</v>
      </c>
      <c r="F175" s="122">
        <v>250000</v>
      </c>
      <c r="G175" s="13" t="s">
        <v>126</v>
      </c>
      <c r="H175" s="13" t="s">
        <v>729</v>
      </c>
      <c r="I175" s="13" t="s">
        <v>778</v>
      </c>
      <c r="J175" s="37"/>
      <c r="K175" s="37">
        <v>62500</v>
      </c>
      <c r="L175" s="37"/>
      <c r="M175" s="37">
        <v>62500</v>
      </c>
      <c r="N175" s="37"/>
      <c r="O175" s="37">
        <v>62500</v>
      </c>
      <c r="P175" s="37"/>
      <c r="Q175" s="37">
        <v>62500</v>
      </c>
      <c r="R175" s="37"/>
    </row>
    <row r="176" ht="15.75" spans="1:18">
      <c r="A176" s="11">
        <v>15</v>
      </c>
      <c r="B176" s="32" t="s">
        <v>147</v>
      </c>
      <c r="C176" s="16" t="s">
        <v>144</v>
      </c>
      <c r="D176" s="37"/>
      <c r="E176" s="37" t="s">
        <v>148</v>
      </c>
      <c r="F176" s="122">
        <v>200000</v>
      </c>
      <c r="G176" s="13" t="s">
        <v>126</v>
      </c>
      <c r="H176" s="13" t="s">
        <v>729</v>
      </c>
      <c r="I176" s="13" t="s">
        <v>778</v>
      </c>
      <c r="J176" s="37"/>
      <c r="K176" s="37">
        <v>50000</v>
      </c>
      <c r="L176" s="37"/>
      <c r="M176" s="37">
        <v>50000</v>
      </c>
      <c r="N176" s="37"/>
      <c r="O176" s="37">
        <v>50000</v>
      </c>
      <c r="P176" s="37"/>
      <c r="Q176" s="37">
        <v>50000</v>
      </c>
      <c r="R176" s="37"/>
    </row>
    <row r="177" ht="15.75" spans="1:18">
      <c r="A177" s="11">
        <v>16</v>
      </c>
      <c r="B177" s="32" t="s">
        <v>149</v>
      </c>
      <c r="C177" s="16" t="s">
        <v>141</v>
      </c>
      <c r="D177" s="37"/>
      <c r="E177" s="37" t="s">
        <v>150</v>
      </c>
      <c r="F177" s="122">
        <v>150000</v>
      </c>
      <c r="G177" s="13" t="s">
        <v>126</v>
      </c>
      <c r="H177" s="13" t="s">
        <v>729</v>
      </c>
      <c r="I177" s="13" t="s">
        <v>778</v>
      </c>
      <c r="J177" s="37"/>
      <c r="K177" s="37">
        <v>37500</v>
      </c>
      <c r="L177" s="37"/>
      <c r="M177" s="37">
        <v>37500</v>
      </c>
      <c r="N177" s="37"/>
      <c r="O177" s="37">
        <v>37500</v>
      </c>
      <c r="P177" s="37"/>
      <c r="Q177" s="37">
        <v>37500</v>
      </c>
      <c r="R177" s="37"/>
    </row>
    <row r="178" ht="15.75" spans="1:18">
      <c r="A178" s="11">
        <v>17</v>
      </c>
      <c r="B178" s="32" t="s">
        <v>151</v>
      </c>
      <c r="C178" s="16" t="s">
        <v>141</v>
      </c>
      <c r="D178" s="122"/>
      <c r="E178" s="122">
        <v>200000</v>
      </c>
      <c r="F178" s="122">
        <v>200000</v>
      </c>
      <c r="G178" s="13" t="s">
        <v>126</v>
      </c>
      <c r="H178" s="13" t="s">
        <v>729</v>
      </c>
      <c r="I178" s="13" t="s">
        <v>778</v>
      </c>
      <c r="J178" s="37"/>
      <c r="K178" s="37">
        <v>50000</v>
      </c>
      <c r="L178" s="37"/>
      <c r="M178" s="37">
        <v>50000</v>
      </c>
      <c r="N178" s="37"/>
      <c r="O178" s="37">
        <v>50000</v>
      </c>
      <c r="P178" s="37"/>
      <c r="Q178" s="37">
        <v>50000</v>
      </c>
      <c r="R178" s="37"/>
    </row>
    <row r="179" ht="15.75" spans="1:18">
      <c r="A179" s="11">
        <v>18</v>
      </c>
      <c r="B179" s="32" t="s">
        <v>152</v>
      </c>
      <c r="C179" s="16" t="s">
        <v>141</v>
      </c>
      <c r="D179" s="122"/>
      <c r="E179" s="122">
        <v>200000</v>
      </c>
      <c r="F179" s="122">
        <v>200000</v>
      </c>
      <c r="G179" s="13" t="s">
        <v>126</v>
      </c>
      <c r="H179" s="13" t="s">
        <v>729</v>
      </c>
      <c r="I179" s="13" t="s">
        <v>778</v>
      </c>
      <c r="J179" s="37"/>
      <c r="K179" s="37">
        <v>50000</v>
      </c>
      <c r="L179" s="37"/>
      <c r="M179" s="37">
        <v>50000</v>
      </c>
      <c r="N179" s="37"/>
      <c r="O179" s="37">
        <v>50000</v>
      </c>
      <c r="P179" s="37"/>
      <c r="Q179" s="37">
        <v>50000</v>
      </c>
      <c r="R179" s="37"/>
    </row>
    <row r="180" ht="15.75" spans="1:18">
      <c r="A180" s="11"/>
      <c r="B180" s="116"/>
      <c r="C180" s="124"/>
      <c r="D180" s="47"/>
      <c r="E180" s="125"/>
      <c r="F180" s="14"/>
      <c r="G180" s="13"/>
      <c r="H180" s="13"/>
      <c r="I180" s="16"/>
      <c r="J180" s="37"/>
      <c r="K180" s="37"/>
      <c r="L180" s="37"/>
      <c r="M180" s="37"/>
      <c r="N180" s="37"/>
      <c r="O180" s="37"/>
      <c r="P180" s="37"/>
      <c r="Q180" s="37"/>
      <c r="R180" s="37"/>
    </row>
    <row r="181" ht="15.75" spans="1:18">
      <c r="A181" s="11"/>
      <c r="B181" s="32"/>
      <c r="C181" s="121"/>
      <c r="D181" s="14"/>
      <c r="E181" s="37"/>
      <c r="F181" s="14"/>
      <c r="G181" s="13"/>
      <c r="H181" s="13"/>
      <c r="I181" s="16"/>
      <c r="J181" s="37"/>
      <c r="K181" s="37"/>
      <c r="L181" s="37"/>
      <c r="M181" s="37"/>
      <c r="N181" s="37"/>
      <c r="O181" s="37"/>
      <c r="P181" s="37"/>
      <c r="Q181" s="37"/>
      <c r="R181" s="37"/>
    </row>
    <row r="182" ht="15.75" spans="1:18">
      <c r="A182" s="11"/>
      <c r="B182" s="116" t="s">
        <v>22</v>
      </c>
      <c r="C182" s="121"/>
      <c r="D182" s="14"/>
      <c r="E182" s="37"/>
      <c r="F182" s="126">
        <f>SUM(F161:F181)</f>
        <v>6647500</v>
      </c>
      <c r="G182" s="13"/>
      <c r="H182" s="13"/>
      <c r="I182" s="16"/>
      <c r="J182" s="37"/>
      <c r="K182" s="37"/>
      <c r="L182" s="37"/>
      <c r="M182" s="37"/>
      <c r="N182" s="37"/>
      <c r="O182" s="37"/>
      <c r="P182" s="37"/>
      <c r="Q182" s="37"/>
      <c r="R182" s="37"/>
    </row>
    <row r="183" ht="15.75" spans="1:18">
      <c r="A183" s="11"/>
      <c r="B183" s="32"/>
      <c r="C183" s="121"/>
      <c r="D183" s="14"/>
      <c r="E183" s="37"/>
      <c r="F183" s="14"/>
      <c r="G183" s="13"/>
      <c r="H183" s="14"/>
      <c r="I183" s="37"/>
      <c r="J183" s="37"/>
      <c r="K183" s="37"/>
      <c r="L183" s="37"/>
      <c r="M183" s="37"/>
      <c r="N183" s="37"/>
      <c r="O183" s="37"/>
      <c r="P183" s="37"/>
      <c r="Q183" s="37"/>
      <c r="R183" s="37"/>
    </row>
    <row r="184" ht="15.75" spans="1:18">
      <c r="A184" s="12">
        <v>10</v>
      </c>
      <c r="B184" s="12" t="s">
        <v>894</v>
      </c>
      <c r="C184" s="13"/>
      <c r="D184" s="14"/>
      <c r="E184" s="14"/>
      <c r="F184" s="14"/>
      <c r="G184" s="13"/>
      <c r="H184" s="11"/>
      <c r="I184" s="11"/>
      <c r="J184" s="14"/>
      <c r="K184" s="14"/>
      <c r="L184" s="14"/>
      <c r="M184" s="14"/>
      <c r="N184" s="14"/>
      <c r="O184" s="14"/>
      <c r="P184" s="14"/>
      <c r="Q184" s="14"/>
      <c r="R184" s="14"/>
    </row>
    <row r="185" ht="15.75" spans="1:18">
      <c r="A185" s="11">
        <v>1</v>
      </c>
      <c r="B185" s="28" t="s">
        <v>154</v>
      </c>
      <c r="C185" s="13" t="s">
        <v>895</v>
      </c>
      <c r="D185" s="14">
        <v>50</v>
      </c>
      <c r="E185" s="14">
        <v>2160</v>
      </c>
      <c r="F185" s="14">
        <f>D185*E185</f>
        <v>108000</v>
      </c>
      <c r="G185" s="28" t="s">
        <v>25</v>
      </c>
      <c r="H185" s="30" t="s">
        <v>896</v>
      </c>
      <c r="I185" s="13" t="s">
        <v>778</v>
      </c>
      <c r="J185" s="71"/>
      <c r="K185" s="71">
        <v>27000</v>
      </c>
      <c r="L185" s="71"/>
      <c r="M185" s="71">
        <v>27000</v>
      </c>
      <c r="N185" s="71"/>
      <c r="O185" s="71">
        <v>27000</v>
      </c>
      <c r="P185" s="71"/>
      <c r="Q185" s="71">
        <v>27000</v>
      </c>
      <c r="R185" s="71"/>
    </row>
    <row r="186" ht="15.75" spans="1:18">
      <c r="A186" s="11">
        <v>2</v>
      </c>
      <c r="B186" s="28" t="s">
        <v>158</v>
      </c>
      <c r="C186" s="13" t="s">
        <v>783</v>
      </c>
      <c r="D186" s="14">
        <v>50</v>
      </c>
      <c r="E186" s="14">
        <v>950</v>
      </c>
      <c r="F186" s="14">
        <f>D186*E186</f>
        <v>47500</v>
      </c>
      <c r="G186" s="28" t="s">
        <v>25</v>
      </c>
      <c r="H186" s="30" t="s">
        <v>896</v>
      </c>
      <c r="I186" s="13" t="s">
        <v>778</v>
      </c>
      <c r="J186" s="71"/>
      <c r="K186" s="71">
        <v>11875</v>
      </c>
      <c r="L186" s="71"/>
      <c r="M186" s="71">
        <v>11875</v>
      </c>
      <c r="N186" s="71"/>
      <c r="O186" s="71">
        <v>11875</v>
      </c>
      <c r="P186" s="71"/>
      <c r="Q186" s="71">
        <v>11875</v>
      </c>
      <c r="R186" s="71"/>
    </row>
    <row r="187" ht="15.75" spans="1:18">
      <c r="A187" s="11">
        <v>3</v>
      </c>
      <c r="B187" s="28" t="s">
        <v>159</v>
      </c>
      <c r="C187" s="13" t="s">
        <v>783</v>
      </c>
      <c r="D187" s="14">
        <v>20</v>
      </c>
      <c r="E187" s="14">
        <v>2850</v>
      </c>
      <c r="F187" s="14">
        <f t="shared" ref="F187:F208" si="3">D187*E187</f>
        <v>57000</v>
      </c>
      <c r="G187" s="28" t="s">
        <v>25</v>
      </c>
      <c r="H187" s="30" t="s">
        <v>896</v>
      </c>
      <c r="I187" s="13" t="s">
        <v>778</v>
      </c>
      <c r="J187" s="71"/>
      <c r="K187" s="71">
        <v>14250</v>
      </c>
      <c r="L187" s="71"/>
      <c r="M187" s="71">
        <v>14250</v>
      </c>
      <c r="N187" s="71"/>
      <c r="O187" s="71">
        <v>14250</v>
      </c>
      <c r="P187" s="71"/>
      <c r="Q187" s="71">
        <v>14250</v>
      </c>
      <c r="R187" s="71"/>
    </row>
    <row r="188" ht="15.75" spans="1:18">
      <c r="A188" s="11">
        <v>4</v>
      </c>
      <c r="B188" s="28" t="s">
        <v>160</v>
      </c>
      <c r="C188" s="13" t="s">
        <v>783</v>
      </c>
      <c r="D188" s="14">
        <v>350</v>
      </c>
      <c r="E188" s="14">
        <v>135</v>
      </c>
      <c r="F188" s="14">
        <f>D188*E188</f>
        <v>47250</v>
      </c>
      <c r="G188" s="28" t="s">
        <v>25</v>
      </c>
      <c r="H188" s="30" t="s">
        <v>896</v>
      </c>
      <c r="I188" s="13" t="s">
        <v>778</v>
      </c>
      <c r="J188" s="71"/>
      <c r="K188" s="71">
        <v>11813</v>
      </c>
      <c r="L188" s="71"/>
      <c r="M188" s="71">
        <v>11813</v>
      </c>
      <c r="N188" s="71"/>
      <c r="O188" s="71">
        <v>11813</v>
      </c>
      <c r="P188" s="71"/>
      <c r="Q188" s="71">
        <v>11813</v>
      </c>
      <c r="R188" s="71"/>
    </row>
    <row r="189" ht="15.75" spans="1:18">
      <c r="A189" s="11">
        <v>5</v>
      </c>
      <c r="B189" s="28" t="s">
        <v>161</v>
      </c>
      <c r="C189" s="13" t="s">
        <v>783</v>
      </c>
      <c r="D189" s="14">
        <v>350</v>
      </c>
      <c r="E189" s="14">
        <v>145</v>
      </c>
      <c r="F189" s="14">
        <f t="shared" si="3"/>
        <v>50750</v>
      </c>
      <c r="G189" s="28" t="s">
        <v>25</v>
      </c>
      <c r="H189" s="30" t="s">
        <v>896</v>
      </c>
      <c r="I189" s="13" t="s">
        <v>778</v>
      </c>
      <c r="J189" s="71"/>
      <c r="K189" s="71">
        <v>12688</v>
      </c>
      <c r="L189" s="71"/>
      <c r="M189" s="71">
        <v>12688</v>
      </c>
      <c r="N189" s="71"/>
      <c r="O189" s="71">
        <v>12688</v>
      </c>
      <c r="P189" s="71"/>
      <c r="Q189" s="71">
        <v>12688</v>
      </c>
      <c r="R189" s="71"/>
    </row>
    <row r="190" ht="15.75" spans="1:18">
      <c r="A190" s="11">
        <v>6</v>
      </c>
      <c r="B190" s="28" t="s">
        <v>162</v>
      </c>
      <c r="C190" s="13" t="s">
        <v>783</v>
      </c>
      <c r="D190" s="14">
        <v>48</v>
      </c>
      <c r="E190" s="14">
        <v>100</v>
      </c>
      <c r="F190" s="14">
        <f t="shared" si="3"/>
        <v>4800</v>
      </c>
      <c r="G190" s="28" t="s">
        <v>25</v>
      </c>
      <c r="H190" s="30" t="s">
        <v>896</v>
      </c>
      <c r="I190" s="13" t="s">
        <v>778</v>
      </c>
      <c r="J190" s="71"/>
      <c r="K190" s="71">
        <v>1200</v>
      </c>
      <c r="L190" s="71"/>
      <c r="M190" s="71">
        <v>1200</v>
      </c>
      <c r="N190" s="71"/>
      <c r="O190" s="71">
        <v>1200</v>
      </c>
      <c r="P190" s="71"/>
      <c r="Q190" s="71">
        <v>1200</v>
      </c>
      <c r="R190" s="71"/>
    </row>
    <row r="191" ht="15.75" spans="1:18">
      <c r="A191" s="11">
        <v>7</v>
      </c>
      <c r="B191" s="28" t="s">
        <v>163</v>
      </c>
      <c r="C191" s="13" t="s">
        <v>783</v>
      </c>
      <c r="D191" s="14">
        <v>48</v>
      </c>
      <c r="E191" s="14">
        <v>1420</v>
      </c>
      <c r="F191" s="14">
        <f t="shared" si="3"/>
        <v>68160</v>
      </c>
      <c r="G191" s="28" t="s">
        <v>25</v>
      </c>
      <c r="H191" s="30" t="s">
        <v>896</v>
      </c>
      <c r="I191" s="13" t="s">
        <v>778</v>
      </c>
      <c r="J191" s="71"/>
      <c r="K191" s="71">
        <v>17040</v>
      </c>
      <c r="L191" s="71"/>
      <c r="M191" s="71">
        <v>17040</v>
      </c>
      <c r="N191" s="71"/>
      <c r="O191" s="71">
        <v>17040</v>
      </c>
      <c r="P191" s="71"/>
      <c r="Q191" s="71">
        <v>17040</v>
      </c>
      <c r="R191" s="71"/>
    </row>
    <row r="192" ht="15.75" spans="1:18">
      <c r="A192" s="11">
        <v>9</v>
      </c>
      <c r="B192" s="28" t="s">
        <v>164</v>
      </c>
      <c r="C192" s="13" t="s">
        <v>783</v>
      </c>
      <c r="D192" s="14">
        <v>200</v>
      </c>
      <c r="E192" s="14">
        <v>650</v>
      </c>
      <c r="F192" s="14">
        <f t="shared" si="3"/>
        <v>130000</v>
      </c>
      <c r="G192" s="28" t="s">
        <v>25</v>
      </c>
      <c r="H192" s="30" t="s">
        <v>896</v>
      </c>
      <c r="I192" s="13" t="s">
        <v>778</v>
      </c>
      <c r="J192" s="71"/>
      <c r="K192" s="71">
        <v>32500</v>
      </c>
      <c r="L192" s="71"/>
      <c r="M192" s="71">
        <v>32500</v>
      </c>
      <c r="N192" s="71"/>
      <c r="O192" s="71">
        <v>32500</v>
      </c>
      <c r="P192" s="71"/>
      <c r="Q192" s="71">
        <v>32500</v>
      </c>
      <c r="R192" s="71"/>
    </row>
    <row r="193" ht="15.75" spans="1:18">
      <c r="A193" s="11">
        <v>10</v>
      </c>
      <c r="B193" s="28" t="s">
        <v>165</v>
      </c>
      <c r="C193" s="13" t="s">
        <v>783</v>
      </c>
      <c r="D193" s="14">
        <v>96</v>
      </c>
      <c r="E193" s="14">
        <v>320</v>
      </c>
      <c r="F193" s="14">
        <f t="shared" si="3"/>
        <v>30720</v>
      </c>
      <c r="G193" s="28" t="s">
        <v>25</v>
      </c>
      <c r="H193" s="30" t="s">
        <v>896</v>
      </c>
      <c r="I193" s="13" t="s">
        <v>778</v>
      </c>
      <c r="J193" s="71"/>
      <c r="K193" s="71">
        <v>7680</v>
      </c>
      <c r="L193" s="71"/>
      <c r="M193" s="71">
        <v>7680</v>
      </c>
      <c r="N193" s="71"/>
      <c r="O193" s="71">
        <v>7680</v>
      </c>
      <c r="P193" s="71"/>
      <c r="Q193" s="71">
        <v>7680</v>
      </c>
      <c r="R193" s="71"/>
    </row>
    <row r="194" ht="15.75" spans="1:18">
      <c r="A194" s="11">
        <v>11</v>
      </c>
      <c r="B194" s="28" t="s">
        <v>166</v>
      </c>
      <c r="C194" s="13" t="s">
        <v>783</v>
      </c>
      <c r="D194" s="14">
        <v>6</v>
      </c>
      <c r="E194" s="14">
        <v>2900</v>
      </c>
      <c r="F194" s="14">
        <f t="shared" si="3"/>
        <v>17400</v>
      </c>
      <c r="G194" s="28" t="s">
        <v>25</v>
      </c>
      <c r="H194" s="30" t="s">
        <v>896</v>
      </c>
      <c r="I194" s="13" t="s">
        <v>778</v>
      </c>
      <c r="J194" s="71"/>
      <c r="K194" s="71">
        <v>4350</v>
      </c>
      <c r="L194" s="71"/>
      <c r="M194" s="71">
        <v>4350</v>
      </c>
      <c r="N194" s="71"/>
      <c r="O194" s="71">
        <v>4350</v>
      </c>
      <c r="P194" s="71"/>
      <c r="Q194" s="71">
        <v>4350</v>
      </c>
      <c r="R194" s="71"/>
    </row>
    <row r="195" ht="15.75" spans="1:18">
      <c r="A195" s="11">
        <v>12</v>
      </c>
      <c r="B195" s="28" t="s">
        <v>167</v>
      </c>
      <c r="C195" s="13" t="s">
        <v>783</v>
      </c>
      <c r="D195" s="14">
        <v>48</v>
      </c>
      <c r="E195" s="14">
        <v>395</v>
      </c>
      <c r="F195" s="14">
        <f t="shared" si="3"/>
        <v>18960</v>
      </c>
      <c r="G195" s="28" t="s">
        <v>25</v>
      </c>
      <c r="H195" s="30" t="s">
        <v>896</v>
      </c>
      <c r="I195" s="13" t="s">
        <v>778</v>
      </c>
      <c r="J195" s="71"/>
      <c r="K195" s="71">
        <v>4740</v>
      </c>
      <c r="L195" s="71"/>
      <c r="M195" s="71">
        <v>4740</v>
      </c>
      <c r="N195" s="71"/>
      <c r="O195" s="71">
        <v>4740</v>
      </c>
      <c r="P195" s="71"/>
      <c r="Q195" s="71">
        <v>4740</v>
      </c>
      <c r="R195" s="71"/>
    </row>
    <row r="196" ht="15.75" spans="1:18">
      <c r="A196" s="11">
        <v>13</v>
      </c>
      <c r="B196" s="28" t="s">
        <v>168</v>
      </c>
      <c r="C196" s="13" t="s">
        <v>783</v>
      </c>
      <c r="D196" s="14">
        <v>96</v>
      </c>
      <c r="E196" s="14">
        <v>220</v>
      </c>
      <c r="F196" s="14">
        <f t="shared" si="3"/>
        <v>21120</v>
      </c>
      <c r="G196" s="28" t="s">
        <v>25</v>
      </c>
      <c r="H196" s="30" t="s">
        <v>896</v>
      </c>
      <c r="I196" s="13" t="s">
        <v>778</v>
      </c>
      <c r="J196" s="71"/>
      <c r="K196" s="71">
        <v>5280</v>
      </c>
      <c r="L196" s="71"/>
      <c r="M196" s="71">
        <v>5280</v>
      </c>
      <c r="N196" s="71"/>
      <c r="O196" s="71">
        <v>5280</v>
      </c>
      <c r="P196" s="71"/>
      <c r="Q196" s="71">
        <v>5280</v>
      </c>
      <c r="R196" s="71"/>
    </row>
    <row r="197" ht="15.75" spans="1:18">
      <c r="A197" s="11">
        <v>14</v>
      </c>
      <c r="B197" s="28" t="s">
        <v>169</v>
      </c>
      <c r="C197" s="13" t="s">
        <v>783</v>
      </c>
      <c r="D197" s="14">
        <v>24</v>
      </c>
      <c r="E197" s="14">
        <v>1030</v>
      </c>
      <c r="F197" s="14">
        <f t="shared" si="3"/>
        <v>24720</v>
      </c>
      <c r="G197" s="28" t="s">
        <v>25</v>
      </c>
      <c r="H197" s="30" t="s">
        <v>896</v>
      </c>
      <c r="I197" s="13" t="s">
        <v>778</v>
      </c>
      <c r="J197" s="71"/>
      <c r="K197" s="71">
        <v>6180</v>
      </c>
      <c r="L197" s="71"/>
      <c r="M197" s="71">
        <v>6180</v>
      </c>
      <c r="N197" s="71"/>
      <c r="O197" s="71">
        <v>6180</v>
      </c>
      <c r="P197" s="71"/>
      <c r="Q197" s="71">
        <v>6180</v>
      </c>
      <c r="R197" s="71"/>
    </row>
    <row r="198" ht="15.75" spans="1:18">
      <c r="A198" s="11">
        <v>15</v>
      </c>
      <c r="B198" s="28" t="s">
        <v>170</v>
      </c>
      <c r="C198" s="13" t="s">
        <v>783</v>
      </c>
      <c r="D198" s="14">
        <v>192</v>
      </c>
      <c r="E198" s="14">
        <v>395</v>
      </c>
      <c r="F198" s="14">
        <f t="shared" si="3"/>
        <v>75840</v>
      </c>
      <c r="G198" s="28" t="s">
        <v>25</v>
      </c>
      <c r="H198" s="30" t="s">
        <v>896</v>
      </c>
      <c r="I198" s="13" t="s">
        <v>778</v>
      </c>
      <c r="J198" s="71"/>
      <c r="K198" s="71">
        <v>18960</v>
      </c>
      <c r="L198" s="71"/>
      <c r="M198" s="71">
        <v>18960</v>
      </c>
      <c r="N198" s="71"/>
      <c r="O198" s="71">
        <v>18960</v>
      </c>
      <c r="P198" s="71"/>
      <c r="Q198" s="71">
        <v>18960</v>
      </c>
      <c r="R198" s="71"/>
    </row>
    <row r="199" ht="15.75" spans="1:18">
      <c r="A199" s="11">
        <v>16</v>
      </c>
      <c r="B199" s="28" t="s">
        <v>171</v>
      </c>
      <c r="C199" s="13" t="s">
        <v>783</v>
      </c>
      <c r="D199" s="14">
        <v>48</v>
      </c>
      <c r="E199" s="14">
        <v>420</v>
      </c>
      <c r="F199" s="14">
        <f t="shared" si="3"/>
        <v>20160</v>
      </c>
      <c r="G199" s="28" t="s">
        <v>25</v>
      </c>
      <c r="H199" s="30" t="s">
        <v>896</v>
      </c>
      <c r="I199" s="13" t="s">
        <v>778</v>
      </c>
      <c r="J199" s="71"/>
      <c r="K199" s="71">
        <v>5040</v>
      </c>
      <c r="L199" s="71"/>
      <c r="M199" s="71">
        <v>5040</v>
      </c>
      <c r="N199" s="71"/>
      <c r="O199" s="71">
        <v>5040</v>
      </c>
      <c r="P199" s="71"/>
      <c r="Q199" s="71">
        <v>5040</v>
      </c>
      <c r="R199" s="71"/>
    </row>
    <row r="200" ht="15.75" spans="1:18">
      <c r="A200" s="11">
        <v>17</v>
      </c>
      <c r="B200" s="28" t="s">
        <v>172</v>
      </c>
      <c r="C200" s="13" t="s">
        <v>783</v>
      </c>
      <c r="D200" s="14">
        <v>18</v>
      </c>
      <c r="E200" s="14">
        <v>480</v>
      </c>
      <c r="F200" s="14">
        <f t="shared" si="3"/>
        <v>8640</v>
      </c>
      <c r="G200" s="28" t="s">
        <v>25</v>
      </c>
      <c r="H200" s="30" t="s">
        <v>896</v>
      </c>
      <c r="I200" s="13" t="s">
        <v>778</v>
      </c>
      <c r="J200" s="71"/>
      <c r="K200" s="71">
        <v>2160</v>
      </c>
      <c r="L200" s="71"/>
      <c r="M200" s="71">
        <v>2160</v>
      </c>
      <c r="N200" s="71"/>
      <c r="O200" s="71">
        <v>2160</v>
      </c>
      <c r="P200" s="71"/>
      <c r="Q200" s="71">
        <v>2160</v>
      </c>
      <c r="R200" s="71"/>
    </row>
    <row r="201" ht="15.75" spans="1:18">
      <c r="A201" s="11">
        <v>18</v>
      </c>
      <c r="B201" s="28" t="s">
        <v>173</v>
      </c>
      <c r="C201" s="13" t="s">
        <v>783</v>
      </c>
      <c r="D201" s="14">
        <v>100</v>
      </c>
      <c r="E201" s="14">
        <v>195</v>
      </c>
      <c r="F201" s="14">
        <f t="shared" si="3"/>
        <v>19500</v>
      </c>
      <c r="G201" s="28" t="s">
        <v>25</v>
      </c>
      <c r="H201" s="30" t="s">
        <v>896</v>
      </c>
      <c r="I201" s="13" t="s">
        <v>778</v>
      </c>
      <c r="J201" s="71"/>
      <c r="K201" s="71">
        <v>4875</v>
      </c>
      <c r="L201" s="71"/>
      <c r="M201" s="71">
        <v>4875</v>
      </c>
      <c r="N201" s="71"/>
      <c r="O201" s="71">
        <v>4875</v>
      </c>
      <c r="P201" s="71"/>
      <c r="Q201" s="71">
        <v>4875</v>
      </c>
      <c r="R201" s="71"/>
    </row>
    <row r="202" ht="15.75" spans="1:18">
      <c r="A202" s="11">
        <v>19</v>
      </c>
      <c r="B202" s="28" t="s">
        <v>174</v>
      </c>
      <c r="C202" s="13" t="s">
        <v>783</v>
      </c>
      <c r="D202" s="14">
        <v>48</v>
      </c>
      <c r="E202" s="14">
        <v>700</v>
      </c>
      <c r="F202" s="14">
        <f t="shared" si="3"/>
        <v>33600</v>
      </c>
      <c r="G202" s="28" t="s">
        <v>25</v>
      </c>
      <c r="H202" s="30" t="s">
        <v>896</v>
      </c>
      <c r="I202" s="13" t="s">
        <v>778</v>
      </c>
      <c r="J202" s="71"/>
      <c r="K202" s="71">
        <v>8400</v>
      </c>
      <c r="L202" s="71"/>
      <c r="M202" s="71">
        <v>8400</v>
      </c>
      <c r="N202" s="71"/>
      <c r="O202" s="71">
        <v>8400</v>
      </c>
      <c r="P202" s="71"/>
      <c r="Q202" s="71">
        <v>8400</v>
      </c>
      <c r="R202" s="71"/>
    </row>
    <row r="203" ht="15.75" spans="1:18">
      <c r="A203" s="11">
        <v>20</v>
      </c>
      <c r="B203" s="28" t="s">
        <v>175</v>
      </c>
      <c r="C203" s="13" t="s">
        <v>783</v>
      </c>
      <c r="D203" s="14">
        <v>10</v>
      </c>
      <c r="E203" s="14">
        <v>195</v>
      </c>
      <c r="F203" s="14">
        <f t="shared" si="3"/>
        <v>1950</v>
      </c>
      <c r="G203" s="28" t="s">
        <v>25</v>
      </c>
      <c r="H203" s="30" t="s">
        <v>896</v>
      </c>
      <c r="I203" s="13" t="s">
        <v>778</v>
      </c>
      <c r="J203" s="71"/>
      <c r="K203" s="71">
        <v>488</v>
      </c>
      <c r="L203" s="71"/>
      <c r="M203" s="71">
        <v>488</v>
      </c>
      <c r="N203" s="71"/>
      <c r="O203" s="71">
        <v>488</v>
      </c>
      <c r="P203" s="71"/>
      <c r="Q203" s="71">
        <v>488</v>
      </c>
      <c r="R203" s="71"/>
    </row>
    <row r="204" ht="15.75" spans="1:18">
      <c r="A204" s="11">
        <v>21</v>
      </c>
      <c r="B204" s="28" t="s">
        <v>176</v>
      </c>
      <c r="C204" s="13" t="s">
        <v>783</v>
      </c>
      <c r="D204" s="14">
        <v>15</v>
      </c>
      <c r="E204" s="14">
        <v>180</v>
      </c>
      <c r="F204" s="14">
        <f t="shared" si="3"/>
        <v>2700</v>
      </c>
      <c r="G204" s="28" t="s">
        <v>25</v>
      </c>
      <c r="H204" s="30" t="s">
        <v>896</v>
      </c>
      <c r="I204" s="13" t="s">
        <v>778</v>
      </c>
      <c r="J204" s="71"/>
      <c r="K204" s="71">
        <v>675</v>
      </c>
      <c r="L204" s="71"/>
      <c r="M204" s="71">
        <v>675</v>
      </c>
      <c r="N204" s="71"/>
      <c r="O204" s="71">
        <v>675</v>
      </c>
      <c r="P204" s="71"/>
      <c r="Q204" s="71">
        <v>675</v>
      </c>
      <c r="R204" s="71"/>
    </row>
    <row r="205" ht="15.75" spans="1:18">
      <c r="A205" s="11">
        <v>22</v>
      </c>
      <c r="B205" s="28" t="s">
        <v>177</v>
      </c>
      <c r="C205" s="13" t="s">
        <v>783</v>
      </c>
      <c r="D205" s="14">
        <v>10</v>
      </c>
      <c r="E205" s="14">
        <v>400</v>
      </c>
      <c r="F205" s="14">
        <f t="shared" si="3"/>
        <v>4000</v>
      </c>
      <c r="G205" s="28" t="s">
        <v>25</v>
      </c>
      <c r="H205" s="30" t="s">
        <v>896</v>
      </c>
      <c r="I205" s="13" t="s">
        <v>778</v>
      </c>
      <c r="J205" s="71"/>
      <c r="K205" s="71">
        <v>1000</v>
      </c>
      <c r="L205" s="71"/>
      <c r="M205" s="71">
        <v>1000</v>
      </c>
      <c r="N205" s="71"/>
      <c r="O205" s="71">
        <v>1000</v>
      </c>
      <c r="P205" s="71"/>
      <c r="Q205" s="71">
        <v>1000</v>
      </c>
      <c r="R205" s="71"/>
    </row>
    <row r="206" ht="15.75" spans="1:18">
      <c r="A206" s="11">
        <v>23</v>
      </c>
      <c r="B206" s="28" t="s">
        <v>178</v>
      </c>
      <c r="C206" s="13" t="s">
        <v>783</v>
      </c>
      <c r="D206" s="14">
        <v>60</v>
      </c>
      <c r="E206" s="14">
        <v>350</v>
      </c>
      <c r="F206" s="14">
        <f t="shared" si="3"/>
        <v>21000</v>
      </c>
      <c r="G206" s="28" t="s">
        <v>25</v>
      </c>
      <c r="H206" s="30" t="s">
        <v>896</v>
      </c>
      <c r="I206" s="13" t="s">
        <v>778</v>
      </c>
      <c r="J206" s="71"/>
      <c r="K206" s="71">
        <v>5250</v>
      </c>
      <c r="L206" s="71"/>
      <c r="M206" s="71">
        <v>5250</v>
      </c>
      <c r="N206" s="71"/>
      <c r="O206" s="71">
        <v>5250</v>
      </c>
      <c r="P206" s="71"/>
      <c r="Q206" s="71">
        <v>5250</v>
      </c>
      <c r="R206" s="71"/>
    </row>
    <row r="207" ht="15.75" spans="1:18">
      <c r="A207" s="11">
        <v>24</v>
      </c>
      <c r="B207" s="28" t="s">
        <v>179</v>
      </c>
      <c r="C207" s="13" t="s">
        <v>783</v>
      </c>
      <c r="D207" s="14">
        <v>36</v>
      </c>
      <c r="E207" s="14">
        <v>140</v>
      </c>
      <c r="F207" s="14">
        <f t="shared" si="3"/>
        <v>5040</v>
      </c>
      <c r="G207" s="28" t="s">
        <v>25</v>
      </c>
      <c r="H207" s="30" t="s">
        <v>896</v>
      </c>
      <c r="I207" s="13" t="s">
        <v>778</v>
      </c>
      <c r="J207" s="71"/>
      <c r="K207" s="71">
        <v>1260</v>
      </c>
      <c r="L207" s="71"/>
      <c r="M207" s="71">
        <v>1260</v>
      </c>
      <c r="N207" s="71"/>
      <c r="O207" s="71">
        <v>1260</v>
      </c>
      <c r="P207" s="71"/>
      <c r="Q207" s="71">
        <v>1260</v>
      </c>
      <c r="R207" s="71"/>
    </row>
    <row r="208" ht="15.75" spans="1:18">
      <c r="A208" s="11">
        <v>25</v>
      </c>
      <c r="B208" s="28" t="s">
        <v>180</v>
      </c>
      <c r="C208" s="13" t="s">
        <v>783</v>
      </c>
      <c r="D208" s="14">
        <v>144</v>
      </c>
      <c r="E208" s="14">
        <v>120</v>
      </c>
      <c r="F208" s="14">
        <f t="shared" si="3"/>
        <v>17280</v>
      </c>
      <c r="G208" s="28" t="s">
        <v>25</v>
      </c>
      <c r="H208" s="30" t="s">
        <v>896</v>
      </c>
      <c r="I208" s="13" t="s">
        <v>778</v>
      </c>
      <c r="J208" s="71"/>
      <c r="K208" s="71">
        <v>4320</v>
      </c>
      <c r="L208" s="71"/>
      <c r="M208" s="71">
        <v>4320</v>
      </c>
      <c r="N208" s="71"/>
      <c r="O208" s="71">
        <v>4320</v>
      </c>
      <c r="P208" s="71"/>
      <c r="Q208" s="71">
        <v>4320</v>
      </c>
      <c r="R208" s="71"/>
    </row>
    <row r="209" ht="15.75" spans="1:18">
      <c r="A209" s="11">
        <v>26</v>
      </c>
      <c r="B209" s="28" t="s">
        <v>181</v>
      </c>
      <c r="C209" s="13" t="s">
        <v>783</v>
      </c>
      <c r="D209" s="14">
        <v>48</v>
      </c>
      <c r="E209" s="14">
        <v>280</v>
      </c>
      <c r="F209" s="14">
        <f>D209*E208</f>
        <v>5760</v>
      </c>
      <c r="G209" s="28" t="s">
        <v>25</v>
      </c>
      <c r="H209" s="30" t="s">
        <v>896</v>
      </c>
      <c r="I209" s="13" t="s">
        <v>778</v>
      </c>
      <c r="J209" s="71"/>
      <c r="K209" s="71">
        <v>1440</v>
      </c>
      <c r="L209" s="71"/>
      <c r="M209" s="71">
        <v>1440</v>
      </c>
      <c r="N209" s="71"/>
      <c r="O209" s="71">
        <v>1440</v>
      </c>
      <c r="P209" s="71"/>
      <c r="Q209" s="71">
        <v>1440</v>
      </c>
      <c r="R209" s="71"/>
    </row>
    <row r="210" ht="15.75" spans="1:18">
      <c r="A210" s="11">
        <v>27</v>
      </c>
      <c r="B210" s="28" t="s">
        <v>182</v>
      </c>
      <c r="C210" s="13" t="s">
        <v>783</v>
      </c>
      <c r="D210" s="14">
        <v>12</v>
      </c>
      <c r="E210" s="14">
        <v>240</v>
      </c>
      <c r="F210" s="14">
        <f t="shared" ref="F210:F215" si="4">D210*E210</f>
        <v>2880</v>
      </c>
      <c r="G210" s="28" t="s">
        <v>25</v>
      </c>
      <c r="H210" s="30" t="s">
        <v>896</v>
      </c>
      <c r="I210" s="13" t="s">
        <v>778</v>
      </c>
      <c r="J210" s="71"/>
      <c r="K210" s="71">
        <v>720</v>
      </c>
      <c r="L210" s="71"/>
      <c r="M210" s="71">
        <v>720</v>
      </c>
      <c r="N210" s="71"/>
      <c r="O210" s="71">
        <v>720</v>
      </c>
      <c r="P210" s="71"/>
      <c r="Q210" s="71">
        <v>720</v>
      </c>
      <c r="R210" s="71"/>
    </row>
    <row r="211" ht="15.75" spans="1:18">
      <c r="A211" s="11">
        <v>28</v>
      </c>
      <c r="B211" s="28" t="s">
        <v>183</v>
      </c>
      <c r="C211" s="13" t="s">
        <v>783</v>
      </c>
      <c r="D211" s="14">
        <v>110</v>
      </c>
      <c r="E211" s="14">
        <v>200</v>
      </c>
      <c r="F211" s="14">
        <f t="shared" si="4"/>
        <v>22000</v>
      </c>
      <c r="G211" s="28" t="s">
        <v>25</v>
      </c>
      <c r="H211" s="30" t="s">
        <v>896</v>
      </c>
      <c r="I211" s="13" t="s">
        <v>778</v>
      </c>
      <c r="J211" s="71"/>
      <c r="K211" s="71">
        <v>5500</v>
      </c>
      <c r="L211" s="71"/>
      <c r="M211" s="71">
        <v>5500</v>
      </c>
      <c r="N211" s="71"/>
      <c r="O211" s="71">
        <v>5500</v>
      </c>
      <c r="P211" s="71"/>
      <c r="Q211" s="71">
        <v>5500</v>
      </c>
      <c r="R211" s="71"/>
    </row>
    <row r="212" ht="15.75" spans="1:18">
      <c r="A212" s="11">
        <v>29</v>
      </c>
      <c r="B212" s="28" t="s">
        <v>184</v>
      </c>
      <c r="C212" s="13" t="s">
        <v>783</v>
      </c>
      <c r="D212" s="14">
        <v>40</v>
      </c>
      <c r="E212" s="14">
        <v>2030</v>
      </c>
      <c r="F212" s="14">
        <f t="shared" si="4"/>
        <v>81200</v>
      </c>
      <c r="G212" s="28" t="s">
        <v>25</v>
      </c>
      <c r="H212" s="30" t="s">
        <v>896</v>
      </c>
      <c r="I212" s="13" t="s">
        <v>778</v>
      </c>
      <c r="J212" s="71"/>
      <c r="K212" s="71">
        <v>20300</v>
      </c>
      <c r="L212" s="71"/>
      <c r="M212" s="71">
        <v>20300</v>
      </c>
      <c r="N212" s="71"/>
      <c r="O212" s="71">
        <v>20300</v>
      </c>
      <c r="P212" s="71"/>
      <c r="Q212" s="71">
        <v>20300</v>
      </c>
      <c r="R212" s="71"/>
    </row>
    <row r="213" ht="15.75" spans="1:18">
      <c r="A213" s="11">
        <v>30</v>
      </c>
      <c r="B213" s="28" t="s">
        <v>185</v>
      </c>
      <c r="C213" s="13" t="s">
        <v>783</v>
      </c>
      <c r="D213" s="14">
        <v>192</v>
      </c>
      <c r="E213" s="14">
        <v>180</v>
      </c>
      <c r="F213" s="14">
        <f t="shared" si="4"/>
        <v>34560</v>
      </c>
      <c r="G213" s="28" t="s">
        <v>25</v>
      </c>
      <c r="H213" s="30" t="s">
        <v>896</v>
      </c>
      <c r="I213" s="13" t="s">
        <v>778</v>
      </c>
      <c r="J213" s="71"/>
      <c r="K213" s="71">
        <v>8640</v>
      </c>
      <c r="L213" s="71"/>
      <c r="M213" s="71">
        <v>8640</v>
      </c>
      <c r="N213" s="71"/>
      <c r="O213" s="71">
        <v>8640</v>
      </c>
      <c r="P213" s="71"/>
      <c r="Q213" s="71">
        <v>8640</v>
      </c>
      <c r="R213" s="71"/>
    </row>
    <row r="214" ht="15.75" spans="1:18">
      <c r="A214" s="11">
        <v>31</v>
      </c>
      <c r="B214" s="28" t="s">
        <v>897</v>
      </c>
      <c r="C214" s="128" t="s">
        <v>783</v>
      </c>
      <c r="D214" s="14">
        <v>26</v>
      </c>
      <c r="E214" s="14">
        <v>100</v>
      </c>
      <c r="F214" s="14">
        <f t="shared" si="4"/>
        <v>2600</v>
      </c>
      <c r="G214" s="28" t="s">
        <v>43</v>
      </c>
      <c r="H214" s="30" t="s">
        <v>896</v>
      </c>
      <c r="I214" s="13" t="s">
        <v>778</v>
      </c>
      <c r="J214" s="71">
        <v>26</v>
      </c>
      <c r="K214" s="71">
        <v>2600</v>
      </c>
      <c r="L214" s="71"/>
      <c r="M214" s="71"/>
      <c r="N214" s="71"/>
      <c r="O214" s="71"/>
      <c r="P214" s="71"/>
      <c r="Q214" s="71"/>
      <c r="R214" s="143"/>
    </row>
    <row r="215" ht="15.75" spans="1:18">
      <c r="A215" s="11">
        <v>32</v>
      </c>
      <c r="B215" s="28" t="s">
        <v>898</v>
      </c>
      <c r="C215" s="128" t="s">
        <v>899</v>
      </c>
      <c r="D215" s="14">
        <v>40</v>
      </c>
      <c r="E215" s="14">
        <v>800</v>
      </c>
      <c r="F215" s="14">
        <f t="shared" si="4"/>
        <v>32000</v>
      </c>
      <c r="G215" s="28" t="s">
        <v>900</v>
      </c>
      <c r="H215" s="30" t="s">
        <v>896</v>
      </c>
      <c r="I215" s="13" t="s">
        <v>778</v>
      </c>
      <c r="J215" s="71">
        <v>10</v>
      </c>
      <c r="K215" s="71">
        <v>8000</v>
      </c>
      <c r="L215" s="71">
        <v>10</v>
      </c>
      <c r="M215" s="71">
        <v>8000</v>
      </c>
      <c r="N215" s="71">
        <v>10</v>
      </c>
      <c r="O215" s="71">
        <v>8000</v>
      </c>
      <c r="P215" s="71">
        <v>10</v>
      </c>
      <c r="Q215" s="71">
        <v>8000</v>
      </c>
      <c r="R215" s="143"/>
    </row>
    <row r="216" ht="15.75" spans="1:18">
      <c r="A216" s="11">
        <v>33</v>
      </c>
      <c r="B216" s="129" t="s">
        <v>901</v>
      </c>
      <c r="C216" s="36" t="s">
        <v>902</v>
      </c>
      <c r="D216" s="130">
        <v>40</v>
      </c>
      <c r="E216" s="131">
        <v>3210</v>
      </c>
      <c r="F216" s="132">
        <f t="shared" ref="F216:F241" si="5">D216*E216</f>
        <v>128400</v>
      </c>
      <c r="G216" s="39" t="s">
        <v>104</v>
      </c>
      <c r="H216" s="38" t="s">
        <v>729</v>
      </c>
      <c r="I216" s="38" t="s">
        <v>778</v>
      </c>
      <c r="J216" s="130">
        <v>10</v>
      </c>
      <c r="K216" s="138">
        <f t="shared" ref="K216:K242" si="6">E216*J216</f>
        <v>32100</v>
      </c>
      <c r="L216" s="78">
        <v>10</v>
      </c>
      <c r="M216" s="138">
        <f t="shared" ref="M216:M240" si="7">E216*L216</f>
        <v>32100</v>
      </c>
      <c r="N216" s="131">
        <v>10</v>
      </c>
      <c r="O216" s="75">
        <f t="shared" ref="O216:O231" si="8">E216*N216</f>
        <v>32100</v>
      </c>
      <c r="P216" s="139">
        <v>10</v>
      </c>
      <c r="Q216" s="75">
        <f t="shared" ref="Q216:Q240" si="9">E216*P216</f>
        <v>32100</v>
      </c>
      <c r="R216" s="144"/>
    </row>
    <row r="217" ht="15.75" spans="1:18">
      <c r="A217" s="11">
        <v>34</v>
      </c>
      <c r="B217" s="129" t="s">
        <v>903</v>
      </c>
      <c r="C217" s="36" t="s">
        <v>904</v>
      </c>
      <c r="D217" s="130">
        <v>80</v>
      </c>
      <c r="E217" s="131">
        <v>1650</v>
      </c>
      <c r="F217" s="132">
        <f t="shared" si="5"/>
        <v>132000</v>
      </c>
      <c r="G217" s="39" t="s">
        <v>104</v>
      </c>
      <c r="H217" s="38" t="s">
        <v>729</v>
      </c>
      <c r="I217" s="38" t="s">
        <v>778</v>
      </c>
      <c r="J217" s="130">
        <v>20</v>
      </c>
      <c r="K217" s="138">
        <f t="shared" si="6"/>
        <v>33000</v>
      </c>
      <c r="L217" s="78">
        <v>20</v>
      </c>
      <c r="M217" s="138">
        <f t="shared" si="7"/>
        <v>33000</v>
      </c>
      <c r="N217" s="131">
        <v>20</v>
      </c>
      <c r="O217" s="75">
        <f t="shared" si="8"/>
        <v>33000</v>
      </c>
      <c r="P217" s="139">
        <v>20</v>
      </c>
      <c r="Q217" s="75">
        <f t="shared" si="9"/>
        <v>33000</v>
      </c>
      <c r="R217" s="144"/>
    </row>
    <row r="218" ht="15.75" spans="1:18">
      <c r="A218" s="11">
        <v>35</v>
      </c>
      <c r="B218" s="129" t="s">
        <v>905</v>
      </c>
      <c r="C218" s="36" t="s">
        <v>904</v>
      </c>
      <c r="D218" s="130">
        <v>8</v>
      </c>
      <c r="E218" s="131">
        <v>3200</v>
      </c>
      <c r="F218" s="132">
        <f t="shared" si="5"/>
        <v>25600</v>
      </c>
      <c r="G218" s="39" t="s">
        <v>104</v>
      </c>
      <c r="H218" s="38" t="s">
        <v>729</v>
      </c>
      <c r="I218" s="38" t="s">
        <v>778</v>
      </c>
      <c r="J218" s="130">
        <v>2</v>
      </c>
      <c r="K218" s="138">
        <f t="shared" si="6"/>
        <v>6400</v>
      </c>
      <c r="L218" s="78">
        <v>2</v>
      </c>
      <c r="M218" s="138">
        <f t="shared" si="7"/>
        <v>6400</v>
      </c>
      <c r="N218" s="131">
        <v>2</v>
      </c>
      <c r="O218" s="75">
        <f t="shared" si="8"/>
        <v>6400</v>
      </c>
      <c r="P218" s="139">
        <v>2</v>
      </c>
      <c r="Q218" s="75">
        <f t="shared" si="9"/>
        <v>6400</v>
      </c>
      <c r="R218" s="144"/>
    </row>
    <row r="219" ht="15.75" spans="1:18">
      <c r="A219" s="11">
        <v>36</v>
      </c>
      <c r="B219" s="129" t="s">
        <v>906</v>
      </c>
      <c r="C219" s="36" t="s">
        <v>904</v>
      </c>
      <c r="D219" s="130">
        <v>4</v>
      </c>
      <c r="E219" s="131">
        <v>2400</v>
      </c>
      <c r="F219" s="132">
        <f t="shared" si="5"/>
        <v>9600</v>
      </c>
      <c r="G219" s="39" t="s">
        <v>104</v>
      </c>
      <c r="H219" s="38" t="s">
        <v>729</v>
      </c>
      <c r="I219" s="38" t="s">
        <v>778</v>
      </c>
      <c r="J219" s="130">
        <v>1</v>
      </c>
      <c r="K219" s="138">
        <f t="shared" si="6"/>
        <v>2400</v>
      </c>
      <c r="L219" s="78">
        <v>1</v>
      </c>
      <c r="M219" s="138">
        <f t="shared" si="7"/>
        <v>2400</v>
      </c>
      <c r="N219" s="131">
        <v>1</v>
      </c>
      <c r="O219" s="75">
        <f t="shared" si="8"/>
        <v>2400</v>
      </c>
      <c r="P219" s="139">
        <v>1</v>
      </c>
      <c r="Q219" s="75">
        <f t="shared" si="9"/>
        <v>2400</v>
      </c>
      <c r="R219" s="144"/>
    </row>
    <row r="220" ht="15.75" spans="1:18">
      <c r="A220" s="11">
        <v>37</v>
      </c>
      <c r="B220" s="129" t="s">
        <v>907</v>
      </c>
      <c r="C220" s="36" t="s">
        <v>904</v>
      </c>
      <c r="D220" s="130">
        <v>8</v>
      </c>
      <c r="E220" s="131">
        <v>1200</v>
      </c>
      <c r="F220" s="132">
        <f t="shared" si="5"/>
        <v>9600</v>
      </c>
      <c r="G220" s="39" t="s">
        <v>104</v>
      </c>
      <c r="H220" s="38" t="s">
        <v>729</v>
      </c>
      <c r="I220" s="38" t="s">
        <v>778</v>
      </c>
      <c r="J220" s="130">
        <v>2</v>
      </c>
      <c r="K220" s="138">
        <f t="shared" si="6"/>
        <v>2400</v>
      </c>
      <c r="L220" s="78">
        <v>2</v>
      </c>
      <c r="M220" s="138">
        <f t="shared" si="7"/>
        <v>2400</v>
      </c>
      <c r="N220" s="131">
        <v>2</v>
      </c>
      <c r="O220" s="75">
        <f t="shared" si="8"/>
        <v>2400</v>
      </c>
      <c r="P220" s="139">
        <v>2</v>
      </c>
      <c r="Q220" s="75">
        <f t="shared" si="9"/>
        <v>2400</v>
      </c>
      <c r="R220" s="144"/>
    </row>
    <row r="221" ht="15.75" spans="1:18">
      <c r="A221" s="11">
        <v>38</v>
      </c>
      <c r="B221" s="129" t="s">
        <v>908</v>
      </c>
      <c r="C221" s="36" t="s">
        <v>904</v>
      </c>
      <c r="D221" s="130">
        <v>8</v>
      </c>
      <c r="E221" s="131">
        <v>13000</v>
      </c>
      <c r="F221" s="132">
        <f t="shared" si="5"/>
        <v>104000</v>
      </c>
      <c r="G221" s="39" t="s">
        <v>104</v>
      </c>
      <c r="H221" s="38" t="s">
        <v>729</v>
      </c>
      <c r="I221" s="38" t="s">
        <v>778</v>
      </c>
      <c r="J221" s="130">
        <v>2</v>
      </c>
      <c r="K221" s="138">
        <f t="shared" si="6"/>
        <v>26000</v>
      </c>
      <c r="L221" s="78">
        <v>2</v>
      </c>
      <c r="M221" s="138">
        <f t="shared" si="7"/>
        <v>26000</v>
      </c>
      <c r="N221" s="131">
        <v>2</v>
      </c>
      <c r="O221" s="75">
        <f t="shared" si="8"/>
        <v>26000</v>
      </c>
      <c r="P221" s="139">
        <v>2</v>
      </c>
      <c r="Q221" s="75">
        <f t="shared" si="9"/>
        <v>26000</v>
      </c>
      <c r="R221" s="144"/>
    </row>
    <row r="222" ht="15.75" spans="1:18">
      <c r="A222" s="11">
        <v>39</v>
      </c>
      <c r="B222" s="129" t="s">
        <v>909</v>
      </c>
      <c r="C222" s="36" t="s">
        <v>904</v>
      </c>
      <c r="D222" s="130">
        <v>9</v>
      </c>
      <c r="E222" s="131">
        <v>9600</v>
      </c>
      <c r="F222" s="132">
        <f t="shared" si="5"/>
        <v>86400</v>
      </c>
      <c r="G222" s="39" t="s">
        <v>104</v>
      </c>
      <c r="H222" s="38" t="s">
        <v>729</v>
      </c>
      <c r="I222" s="38" t="s">
        <v>778</v>
      </c>
      <c r="J222" s="130">
        <v>3</v>
      </c>
      <c r="K222" s="138">
        <f t="shared" si="6"/>
        <v>28800</v>
      </c>
      <c r="L222" s="78">
        <v>2</v>
      </c>
      <c r="M222" s="138">
        <f t="shared" si="7"/>
        <v>19200</v>
      </c>
      <c r="N222" s="131">
        <v>2</v>
      </c>
      <c r="O222" s="75">
        <f t="shared" si="8"/>
        <v>19200</v>
      </c>
      <c r="P222" s="139">
        <v>2</v>
      </c>
      <c r="Q222" s="75">
        <f t="shared" si="9"/>
        <v>19200</v>
      </c>
      <c r="R222" s="144"/>
    </row>
    <row r="223" ht="15.75" spans="1:18">
      <c r="A223" s="11">
        <v>40</v>
      </c>
      <c r="B223" s="129" t="s">
        <v>910</v>
      </c>
      <c r="C223" s="36" t="s">
        <v>904</v>
      </c>
      <c r="D223" s="130">
        <v>8</v>
      </c>
      <c r="E223" s="131">
        <v>1800</v>
      </c>
      <c r="F223" s="132">
        <f t="shared" si="5"/>
        <v>14400</v>
      </c>
      <c r="G223" s="39" t="s">
        <v>104</v>
      </c>
      <c r="H223" s="38" t="s">
        <v>729</v>
      </c>
      <c r="I223" s="38" t="s">
        <v>778</v>
      </c>
      <c r="J223" s="130">
        <v>2</v>
      </c>
      <c r="K223" s="138">
        <f t="shared" si="6"/>
        <v>3600</v>
      </c>
      <c r="L223" s="78">
        <v>2</v>
      </c>
      <c r="M223" s="138">
        <f t="shared" si="7"/>
        <v>3600</v>
      </c>
      <c r="N223" s="131">
        <v>2</v>
      </c>
      <c r="O223" s="75">
        <f t="shared" si="8"/>
        <v>3600</v>
      </c>
      <c r="P223" s="139">
        <v>2</v>
      </c>
      <c r="Q223" s="75">
        <f t="shared" si="9"/>
        <v>3600</v>
      </c>
      <c r="R223" s="144"/>
    </row>
    <row r="224" ht="15.75" spans="1:18">
      <c r="A224" s="11">
        <v>41</v>
      </c>
      <c r="B224" s="129" t="s">
        <v>911</v>
      </c>
      <c r="C224" s="36" t="s">
        <v>904</v>
      </c>
      <c r="D224" s="130">
        <v>7</v>
      </c>
      <c r="E224" s="131">
        <v>1560</v>
      </c>
      <c r="F224" s="132">
        <f t="shared" si="5"/>
        <v>10920</v>
      </c>
      <c r="G224" s="39" t="s">
        <v>104</v>
      </c>
      <c r="H224" s="38" t="s">
        <v>729</v>
      </c>
      <c r="I224" s="38" t="s">
        <v>778</v>
      </c>
      <c r="J224" s="130">
        <v>2</v>
      </c>
      <c r="K224" s="138">
        <f t="shared" si="6"/>
        <v>3120</v>
      </c>
      <c r="L224" s="78">
        <v>1</v>
      </c>
      <c r="M224" s="138">
        <f t="shared" si="7"/>
        <v>1560</v>
      </c>
      <c r="N224" s="131">
        <v>2</v>
      </c>
      <c r="O224" s="75">
        <f t="shared" si="8"/>
        <v>3120</v>
      </c>
      <c r="P224" s="139">
        <v>2</v>
      </c>
      <c r="Q224" s="75">
        <f t="shared" si="9"/>
        <v>3120</v>
      </c>
      <c r="R224" s="144"/>
    </row>
    <row r="225" ht="15.75" spans="1:18">
      <c r="A225" s="11">
        <v>42</v>
      </c>
      <c r="B225" s="129" t="s">
        <v>912</v>
      </c>
      <c r="C225" s="36" t="s">
        <v>904</v>
      </c>
      <c r="D225" s="130">
        <v>8</v>
      </c>
      <c r="E225" s="131">
        <v>7500</v>
      </c>
      <c r="F225" s="132">
        <f t="shared" si="5"/>
        <v>60000</v>
      </c>
      <c r="G225" s="39" t="s">
        <v>104</v>
      </c>
      <c r="H225" s="38" t="s">
        <v>729</v>
      </c>
      <c r="I225" s="38" t="s">
        <v>778</v>
      </c>
      <c r="J225" s="130">
        <v>2</v>
      </c>
      <c r="K225" s="138">
        <f t="shared" si="6"/>
        <v>15000</v>
      </c>
      <c r="L225" s="78">
        <v>2</v>
      </c>
      <c r="M225" s="138">
        <f t="shared" si="7"/>
        <v>15000</v>
      </c>
      <c r="N225" s="131">
        <v>2</v>
      </c>
      <c r="O225" s="75">
        <f t="shared" si="8"/>
        <v>15000</v>
      </c>
      <c r="P225" s="139">
        <v>2</v>
      </c>
      <c r="Q225" s="75">
        <f t="shared" si="9"/>
        <v>15000</v>
      </c>
      <c r="R225" s="144"/>
    </row>
    <row r="226" ht="15.75" spans="1:18">
      <c r="A226" s="11">
        <v>43</v>
      </c>
      <c r="B226" s="129" t="s">
        <v>913</v>
      </c>
      <c r="C226" s="36" t="s">
        <v>914</v>
      </c>
      <c r="D226" s="130">
        <v>40</v>
      </c>
      <c r="E226" s="131">
        <v>450</v>
      </c>
      <c r="F226" s="132">
        <f t="shared" si="5"/>
        <v>18000</v>
      </c>
      <c r="G226" s="39" t="s">
        <v>104</v>
      </c>
      <c r="H226" s="38" t="s">
        <v>729</v>
      </c>
      <c r="I226" s="38" t="s">
        <v>778</v>
      </c>
      <c r="J226" s="130">
        <v>10</v>
      </c>
      <c r="K226" s="138">
        <f t="shared" si="6"/>
        <v>4500</v>
      </c>
      <c r="L226" s="78">
        <v>10</v>
      </c>
      <c r="M226" s="138">
        <f t="shared" si="7"/>
        <v>4500</v>
      </c>
      <c r="N226" s="131">
        <v>10</v>
      </c>
      <c r="O226" s="75">
        <f t="shared" si="8"/>
        <v>4500</v>
      </c>
      <c r="P226" s="139">
        <v>10</v>
      </c>
      <c r="Q226" s="75">
        <f t="shared" si="9"/>
        <v>4500</v>
      </c>
      <c r="R226" s="144"/>
    </row>
    <row r="227" ht="15.75" spans="1:18">
      <c r="A227" s="11">
        <v>44</v>
      </c>
      <c r="B227" s="129" t="s">
        <v>915</v>
      </c>
      <c r="C227" s="133" t="s">
        <v>916</v>
      </c>
      <c r="D227" s="130">
        <v>40</v>
      </c>
      <c r="E227" s="131">
        <v>120</v>
      </c>
      <c r="F227" s="132">
        <f t="shared" si="5"/>
        <v>4800</v>
      </c>
      <c r="G227" s="39" t="s">
        <v>104</v>
      </c>
      <c r="H227" s="38" t="s">
        <v>729</v>
      </c>
      <c r="I227" s="38" t="s">
        <v>778</v>
      </c>
      <c r="J227" s="130">
        <v>10</v>
      </c>
      <c r="K227" s="138">
        <f t="shared" si="6"/>
        <v>1200</v>
      </c>
      <c r="L227" s="78">
        <v>10</v>
      </c>
      <c r="M227" s="138">
        <f t="shared" si="7"/>
        <v>1200</v>
      </c>
      <c r="N227" s="131">
        <v>10</v>
      </c>
      <c r="O227" s="75">
        <f t="shared" si="8"/>
        <v>1200</v>
      </c>
      <c r="P227" s="139">
        <v>10</v>
      </c>
      <c r="Q227" s="75">
        <f t="shared" si="9"/>
        <v>1200</v>
      </c>
      <c r="R227" s="144"/>
    </row>
    <row r="228" ht="15.75" spans="1:18">
      <c r="A228" s="11">
        <v>45</v>
      </c>
      <c r="B228" s="129" t="s">
        <v>917</v>
      </c>
      <c r="C228" s="133" t="s">
        <v>918</v>
      </c>
      <c r="D228" s="130">
        <v>18</v>
      </c>
      <c r="E228" s="131">
        <v>1110</v>
      </c>
      <c r="F228" s="132">
        <f t="shared" si="5"/>
        <v>19980</v>
      </c>
      <c r="G228" s="39" t="s">
        <v>104</v>
      </c>
      <c r="H228" s="38" t="s">
        <v>729</v>
      </c>
      <c r="I228" s="38" t="s">
        <v>778</v>
      </c>
      <c r="J228" s="130">
        <v>6</v>
      </c>
      <c r="K228" s="138">
        <f t="shared" si="6"/>
        <v>6660</v>
      </c>
      <c r="L228" s="78">
        <v>6</v>
      </c>
      <c r="M228" s="138">
        <f t="shared" si="7"/>
        <v>6660</v>
      </c>
      <c r="N228" s="131">
        <v>3</v>
      </c>
      <c r="O228" s="75">
        <f t="shared" si="8"/>
        <v>3330</v>
      </c>
      <c r="P228" s="139">
        <v>3</v>
      </c>
      <c r="Q228" s="75">
        <f t="shared" si="9"/>
        <v>3330</v>
      </c>
      <c r="R228" s="144"/>
    </row>
    <row r="229" ht="15.75" spans="1:18">
      <c r="A229" s="11">
        <v>46</v>
      </c>
      <c r="B229" s="129" t="s">
        <v>199</v>
      </c>
      <c r="C229" s="133" t="s">
        <v>919</v>
      </c>
      <c r="D229" s="130">
        <v>420</v>
      </c>
      <c r="E229" s="131">
        <v>275</v>
      </c>
      <c r="F229" s="132">
        <f t="shared" si="5"/>
        <v>115500</v>
      </c>
      <c r="G229" s="39" t="s">
        <v>104</v>
      </c>
      <c r="H229" s="38" t="s">
        <v>729</v>
      </c>
      <c r="I229" s="38" t="s">
        <v>778</v>
      </c>
      <c r="J229" s="130">
        <v>105</v>
      </c>
      <c r="K229" s="138">
        <f t="shared" si="6"/>
        <v>28875</v>
      </c>
      <c r="L229" s="78">
        <v>105</v>
      </c>
      <c r="M229" s="138">
        <f t="shared" si="7"/>
        <v>28875</v>
      </c>
      <c r="N229" s="131">
        <v>105</v>
      </c>
      <c r="O229" s="75">
        <f t="shared" si="8"/>
        <v>28875</v>
      </c>
      <c r="P229" s="139">
        <v>105</v>
      </c>
      <c r="Q229" s="75">
        <f t="shared" si="9"/>
        <v>28875</v>
      </c>
      <c r="R229" s="144"/>
    </row>
    <row r="230" ht="15.75" spans="1:18">
      <c r="A230" s="11">
        <v>47</v>
      </c>
      <c r="B230" s="129" t="s">
        <v>920</v>
      </c>
      <c r="C230" s="133" t="s">
        <v>919</v>
      </c>
      <c r="D230" s="130">
        <v>845</v>
      </c>
      <c r="E230" s="131">
        <v>215</v>
      </c>
      <c r="F230" s="132">
        <f t="shared" si="5"/>
        <v>181675</v>
      </c>
      <c r="G230" s="39" t="s">
        <v>104</v>
      </c>
      <c r="H230" s="38" t="s">
        <v>729</v>
      </c>
      <c r="I230" s="38" t="s">
        <v>778</v>
      </c>
      <c r="J230" s="130">
        <v>210</v>
      </c>
      <c r="K230" s="138">
        <f t="shared" si="6"/>
        <v>45150</v>
      </c>
      <c r="L230" s="78">
        <v>210</v>
      </c>
      <c r="M230" s="138">
        <f t="shared" si="7"/>
        <v>45150</v>
      </c>
      <c r="N230" s="131">
        <v>210</v>
      </c>
      <c r="O230" s="75">
        <f t="shared" si="8"/>
        <v>45150</v>
      </c>
      <c r="P230" s="139">
        <v>215</v>
      </c>
      <c r="Q230" s="75">
        <f t="shared" si="9"/>
        <v>46225</v>
      </c>
      <c r="R230" s="144"/>
    </row>
    <row r="231" ht="15.75" spans="1:18">
      <c r="A231" s="11">
        <v>48</v>
      </c>
      <c r="B231" s="129" t="s">
        <v>164</v>
      </c>
      <c r="C231" s="133" t="s">
        <v>921</v>
      </c>
      <c r="D231" s="130">
        <v>350</v>
      </c>
      <c r="E231" s="131">
        <v>650</v>
      </c>
      <c r="F231" s="132">
        <f t="shared" si="5"/>
        <v>227500</v>
      </c>
      <c r="G231" s="39" t="s">
        <v>104</v>
      </c>
      <c r="H231" s="38" t="s">
        <v>729</v>
      </c>
      <c r="I231" s="38" t="s">
        <v>778</v>
      </c>
      <c r="J231" s="130">
        <v>150</v>
      </c>
      <c r="K231" s="138">
        <f t="shared" si="6"/>
        <v>97500</v>
      </c>
      <c r="L231" s="78">
        <v>100</v>
      </c>
      <c r="M231" s="138">
        <f t="shared" si="7"/>
        <v>65000</v>
      </c>
      <c r="N231" s="131">
        <v>50</v>
      </c>
      <c r="O231" s="75">
        <f t="shared" si="8"/>
        <v>32500</v>
      </c>
      <c r="P231" s="139">
        <v>50</v>
      </c>
      <c r="Q231" s="75">
        <f t="shared" si="9"/>
        <v>32500</v>
      </c>
      <c r="R231" s="144"/>
    </row>
    <row r="232" ht="15.75" spans="1:18">
      <c r="A232" s="11">
        <v>49</v>
      </c>
      <c r="B232" s="129" t="s">
        <v>177</v>
      </c>
      <c r="C232" s="133" t="s">
        <v>919</v>
      </c>
      <c r="D232" s="130">
        <v>25</v>
      </c>
      <c r="E232" s="131">
        <v>800</v>
      </c>
      <c r="F232" s="132">
        <f t="shared" si="5"/>
        <v>20000</v>
      </c>
      <c r="G232" s="39" t="s">
        <v>104</v>
      </c>
      <c r="H232" s="38" t="s">
        <v>729</v>
      </c>
      <c r="I232" s="38" t="s">
        <v>778</v>
      </c>
      <c r="J232" s="130">
        <v>10</v>
      </c>
      <c r="K232" s="138">
        <f t="shared" si="6"/>
        <v>8000</v>
      </c>
      <c r="L232" s="78">
        <v>10</v>
      </c>
      <c r="M232" s="138">
        <f t="shared" si="7"/>
        <v>8000</v>
      </c>
      <c r="N232" s="131"/>
      <c r="O232" s="75"/>
      <c r="P232" s="139">
        <v>5</v>
      </c>
      <c r="Q232" s="75">
        <f t="shared" si="9"/>
        <v>4000</v>
      </c>
      <c r="R232" s="144"/>
    </row>
    <row r="233" ht="15.75" spans="1:18">
      <c r="A233" s="11">
        <v>50</v>
      </c>
      <c r="B233" s="129" t="s">
        <v>178</v>
      </c>
      <c r="C233" s="133" t="s">
        <v>919</v>
      </c>
      <c r="D233" s="130">
        <v>35</v>
      </c>
      <c r="E233" s="131">
        <v>480</v>
      </c>
      <c r="F233" s="132">
        <f t="shared" si="5"/>
        <v>16800</v>
      </c>
      <c r="G233" s="39" t="s">
        <v>104</v>
      </c>
      <c r="H233" s="38" t="s">
        <v>729</v>
      </c>
      <c r="I233" s="38" t="s">
        <v>778</v>
      </c>
      <c r="J233" s="130">
        <v>20</v>
      </c>
      <c r="K233" s="138">
        <f t="shared" si="6"/>
        <v>9600</v>
      </c>
      <c r="L233" s="78">
        <v>10</v>
      </c>
      <c r="M233" s="138">
        <f t="shared" si="7"/>
        <v>4800</v>
      </c>
      <c r="N233" s="131"/>
      <c r="O233" s="75"/>
      <c r="P233" s="139">
        <v>5</v>
      </c>
      <c r="Q233" s="75">
        <f t="shared" si="9"/>
        <v>2400</v>
      </c>
      <c r="R233" s="144"/>
    </row>
    <row r="234" ht="15.75" spans="1:18">
      <c r="A234" s="11">
        <v>51</v>
      </c>
      <c r="B234" s="129" t="s">
        <v>922</v>
      </c>
      <c r="C234" s="133" t="s">
        <v>919</v>
      </c>
      <c r="D234" s="130">
        <v>45</v>
      </c>
      <c r="E234" s="131">
        <v>520</v>
      </c>
      <c r="F234" s="132">
        <f t="shared" si="5"/>
        <v>23400</v>
      </c>
      <c r="G234" s="39" t="s">
        <v>104</v>
      </c>
      <c r="H234" s="38" t="s">
        <v>729</v>
      </c>
      <c r="I234" s="38" t="s">
        <v>778</v>
      </c>
      <c r="J234" s="130">
        <v>20</v>
      </c>
      <c r="K234" s="138">
        <f t="shared" si="6"/>
        <v>10400</v>
      </c>
      <c r="L234" s="78">
        <v>20</v>
      </c>
      <c r="M234" s="138">
        <f t="shared" si="7"/>
        <v>10400</v>
      </c>
      <c r="N234" s="131"/>
      <c r="O234" s="75"/>
      <c r="P234" s="139">
        <v>5</v>
      </c>
      <c r="Q234" s="75">
        <f t="shared" si="9"/>
        <v>2600</v>
      </c>
      <c r="R234" s="144"/>
    </row>
    <row r="235" ht="15.75" spans="1:18">
      <c r="A235" s="11">
        <v>52</v>
      </c>
      <c r="B235" s="129" t="s">
        <v>923</v>
      </c>
      <c r="C235" s="133" t="s">
        <v>919</v>
      </c>
      <c r="D235" s="130">
        <v>25</v>
      </c>
      <c r="E235" s="131">
        <v>1250</v>
      </c>
      <c r="F235" s="132">
        <f t="shared" si="5"/>
        <v>31250</v>
      </c>
      <c r="G235" s="39" t="s">
        <v>104</v>
      </c>
      <c r="H235" s="38" t="s">
        <v>729</v>
      </c>
      <c r="I235" s="38" t="s">
        <v>778</v>
      </c>
      <c r="J235" s="130">
        <v>10</v>
      </c>
      <c r="K235" s="138">
        <f t="shared" si="6"/>
        <v>12500</v>
      </c>
      <c r="L235" s="78">
        <v>5</v>
      </c>
      <c r="M235" s="138">
        <f t="shared" si="7"/>
        <v>6250</v>
      </c>
      <c r="N235" s="131"/>
      <c r="O235" s="75"/>
      <c r="P235" s="139">
        <v>10</v>
      </c>
      <c r="Q235" s="75">
        <f t="shared" si="9"/>
        <v>12500</v>
      </c>
      <c r="R235" s="144"/>
    </row>
    <row r="236" ht="15.75" spans="1:18">
      <c r="A236" s="11">
        <v>53</v>
      </c>
      <c r="B236" s="129" t="s">
        <v>202</v>
      </c>
      <c r="C236" s="133" t="s">
        <v>919</v>
      </c>
      <c r="D236" s="130">
        <v>20</v>
      </c>
      <c r="E236" s="131">
        <v>350</v>
      </c>
      <c r="F236" s="132">
        <f t="shared" si="5"/>
        <v>7000</v>
      </c>
      <c r="G236" s="39" t="s">
        <v>104</v>
      </c>
      <c r="H236" s="38" t="s">
        <v>729</v>
      </c>
      <c r="I236" s="38" t="s">
        <v>778</v>
      </c>
      <c r="J236" s="130">
        <v>10</v>
      </c>
      <c r="K236" s="138">
        <f t="shared" si="6"/>
        <v>3500</v>
      </c>
      <c r="L236" s="78">
        <v>5</v>
      </c>
      <c r="M236" s="138">
        <f t="shared" si="7"/>
        <v>1750</v>
      </c>
      <c r="N236" s="131"/>
      <c r="O236" s="75"/>
      <c r="P236" s="139">
        <v>5</v>
      </c>
      <c r="Q236" s="75">
        <f t="shared" si="9"/>
        <v>1750</v>
      </c>
      <c r="R236" s="144"/>
    </row>
    <row r="237" ht="15.75" spans="1:18">
      <c r="A237" s="11">
        <v>54</v>
      </c>
      <c r="B237" s="129" t="s">
        <v>203</v>
      </c>
      <c r="C237" s="133" t="s">
        <v>919</v>
      </c>
      <c r="D237" s="130">
        <v>20</v>
      </c>
      <c r="E237" s="131">
        <v>350</v>
      </c>
      <c r="F237" s="132">
        <f t="shared" si="5"/>
        <v>7000</v>
      </c>
      <c r="G237" s="39" t="s">
        <v>104</v>
      </c>
      <c r="H237" s="38" t="s">
        <v>729</v>
      </c>
      <c r="I237" s="38" t="s">
        <v>778</v>
      </c>
      <c r="J237" s="130">
        <v>10</v>
      </c>
      <c r="K237" s="138">
        <f t="shared" si="6"/>
        <v>3500</v>
      </c>
      <c r="L237" s="78">
        <v>5</v>
      </c>
      <c r="M237" s="138">
        <f t="shared" si="7"/>
        <v>1750</v>
      </c>
      <c r="N237" s="131"/>
      <c r="O237" s="75"/>
      <c r="P237" s="139">
        <v>5</v>
      </c>
      <c r="Q237" s="75">
        <f t="shared" si="9"/>
        <v>1750</v>
      </c>
      <c r="R237" s="144"/>
    </row>
    <row r="238" ht="15.75" spans="1:18">
      <c r="A238" s="11">
        <v>55</v>
      </c>
      <c r="B238" s="129" t="s">
        <v>204</v>
      </c>
      <c r="C238" s="133" t="s">
        <v>919</v>
      </c>
      <c r="D238" s="130">
        <v>20</v>
      </c>
      <c r="E238" s="131">
        <v>400</v>
      </c>
      <c r="F238" s="132">
        <f t="shared" si="5"/>
        <v>8000</v>
      </c>
      <c r="G238" s="39" t="s">
        <v>104</v>
      </c>
      <c r="H238" s="38" t="s">
        <v>729</v>
      </c>
      <c r="I238" s="38" t="s">
        <v>778</v>
      </c>
      <c r="J238" s="130">
        <v>10</v>
      </c>
      <c r="K238" s="138">
        <f t="shared" si="6"/>
        <v>4000</v>
      </c>
      <c r="L238" s="78">
        <v>5</v>
      </c>
      <c r="M238" s="138">
        <f t="shared" si="7"/>
        <v>2000</v>
      </c>
      <c r="N238" s="131"/>
      <c r="O238" s="75"/>
      <c r="P238" s="139">
        <v>5</v>
      </c>
      <c r="Q238" s="75">
        <f t="shared" si="9"/>
        <v>2000</v>
      </c>
      <c r="R238" s="144"/>
    </row>
    <row r="239" ht="15.75" spans="1:18">
      <c r="A239" s="11">
        <v>56</v>
      </c>
      <c r="B239" s="129" t="s">
        <v>205</v>
      </c>
      <c r="C239" s="133" t="s">
        <v>919</v>
      </c>
      <c r="D239" s="130">
        <v>20</v>
      </c>
      <c r="E239" s="131">
        <v>400</v>
      </c>
      <c r="F239" s="132">
        <f t="shared" si="5"/>
        <v>8000</v>
      </c>
      <c r="G239" s="39" t="s">
        <v>104</v>
      </c>
      <c r="H239" s="38" t="s">
        <v>729</v>
      </c>
      <c r="I239" s="38" t="s">
        <v>778</v>
      </c>
      <c r="J239" s="130">
        <v>10</v>
      </c>
      <c r="K239" s="138">
        <f t="shared" si="6"/>
        <v>4000</v>
      </c>
      <c r="L239" s="78">
        <v>5</v>
      </c>
      <c r="M239" s="138">
        <f t="shared" si="7"/>
        <v>2000</v>
      </c>
      <c r="N239" s="131"/>
      <c r="O239" s="75"/>
      <c r="P239" s="139">
        <v>5</v>
      </c>
      <c r="Q239" s="75">
        <f t="shared" si="9"/>
        <v>2000</v>
      </c>
      <c r="R239" s="144"/>
    </row>
    <row r="240" ht="15.75" spans="1:18">
      <c r="A240" s="11">
        <v>57</v>
      </c>
      <c r="B240" s="129" t="s">
        <v>206</v>
      </c>
      <c r="C240" s="133" t="s">
        <v>919</v>
      </c>
      <c r="D240" s="130">
        <v>80</v>
      </c>
      <c r="E240" s="131">
        <v>210</v>
      </c>
      <c r="F240" s="132">
        <f t="shared" si="5"/>
        <v>16800</v>
      </c>
      <c r="G240" s="39" t="s">
        <v>104</v>
      </c>
      <c r="H240" s="38" t="s">
        <v>729</v>
      </c>
      <c r="I240" s="38" t="s">
        <v>778</v>
      </c>
      <c r="J240" s="130">
        <v>40</v>
      </c>
      <c r="K240" s="138">
        <f t="shared" si="6"/>
        <v>8400</v>
      </c>
      <c r="L240" s="78">
        <v>20</v>
      </c>
      <c r="M240" s="138">
        <f t="shared" si="7"/>
        <v>4200</v>
      </c>
      <c r="N240" s="131" t="s">
        <v>400</v>
      </c>
      <c r="O240" s="75"/>
      <c r="P240" s="139">
        <v>20</v>
      </c>
      <c r="Q240" s="75">
        <f t="shared" si="9"/>
        <v>4200</v>
      </c>
      <c r="R240" s="144"/>
    </row>
    <row r="241" ht="15.75" spans="1:18">
      <c r="A241" s="11">
        <v>58</v>
      </c>
      <c r="B241" s="129" t="s">
        <v>207</v>
      </c>
      <c r="C241" s="133" t="s">
        <v>919</v>
      </c>
      <c r="D241" s="130">
        <v>6</v>
      </c>
      <c r="E241" s="131">
        <v>6500</v>
      </c>
      <c r="F241" s="132">
        <f t="shared" si="5"/>
        <v>39000</v>
      </c>
      <c r="G241" s="39" t="s">
        <v>104</v>
      </c>
      <c r="H241" s="38" t="s">
        <v>729</v>
      </c>
      <c r="I241" s="38" t="s">
        <v>778</v>
      </c>
      <c r="J241" s="130">
        <v>6</v>
      </c>
      <c r="K241" s="138">
        <f t="shared" si="6"/>
        <v>39000</v>
      </c>
      <c r="L241" s="78"/>
      <c r="M241" s="138"/>
      <c r="N241" s="131"/>
      <c r="O241" s="75"/>
      <c r="P241" s="139"/>
      <c r="Q241" s="75"/>
      <c r="R241" s="144"/>
    </row>
    <row r="242" ht="15.75" spans="1:18">
      <c r="A242" s="11">
        <v>59</v>
      </c>
      <c r="B242" s="41" t="s">
        <v>924</v>
      </c>
      <c r="C242" s="41" t="s">
        <v>899</v>
      </c>
      <c r="D242" s="42" t="s">
        <v>925</v>
      </c>
      <c r="E242" s="134">
        <v>2500</v>
      </c>
      <c r="F242" s="135">
        <v>12500</v>
      </c>
      <c r="G242" s="31" t="s">
        <v>37</v>
      </c>
      <c r="H242" s="41" t="s">
        <v>729</v>
      </c>
      <c r="I242" s="41" t="s">
        <v>778</v>
      </c>
      <c r="J242" s="140">
        <v>5</v>
      </c>
      <c r="K242" s="141">
        <f t="shared" si="6"/>
        <v>12500</v>
      </c>
      <c r="L242" s="142"/>
      <c r="M242" s="141"/>
      <c r="N242" s="142"/>
      <c r="O242" s="72"/>
      <c r="P242" s="42"/>
      <c r="Q242" s="72"/>
      <c r="R242" s="91"/>
    </row>
    <row r="243" ht="15.75" spans="1:18">
      <c r="A243" s="11">
        <v>60</v>
      </c>
      <c r="B243" s="41" t="s">
        <v>926</v>
      </c>
      <c r="C243" s="41" t="s">
        <v>927</v>
      </c>
      <c r="D243" s="42">
        <v>2</v>
      </c>
      <c r="E243" s="134">
        <v>1500</v>
      </c>
      <c r="F243" s="135">
        <v>3000</v>
      </c>
      <c r="G243" s="31" t="s">
        <v>37</v>
      </c>
      <c r="H243" s="41" t="s">
        <v>729</v>
      </c>
      <c r="I243" s="41" t="s">
        <v>778</v>
      </c>
      <c r="J243" s="76">
        <v>1</v>
      </c>
      <c r="K243" s="72">
        <v>1500</v>
      </c>
      <c r="L243" s="42"/>
      <c r="M243" s="72"/>
      <c r="N243" s="42">
        <v>1</v>
      </c>
      <c r="O243" s="72">
        <v>1500</v>
      </c>
      <c r="P243" s="42"/>
      <c r="Q243" s="72"/>
      <c r="R243" s="91"/>
    </row>
    <row r="244" ht="15.75" spans="1:18">
      <c r="A244" s="11">
        <v>61</v>
      </c>
      <c r="B244" s="19" t="s">
        <v>189</v>
      </c>
      <c r="C244" s="129"/>
      <c r="D244" s="104">
        <v>40</v>
      </c>
      <c r="E244" s="136">
        <v>1650</v>
      </c>
      <c r="F244" s="136">
        <v>66000</v>
      </c>
      <c r="G244" s="35" t="s">
        <v>33</v>
      </c>
      <c r="H244" s="137" t="s">
        <v>729</v>
      </c>
      <c r="I244" s="137" t="s">
        <v>778</v>
      </c>
      <c r="J244" s="104">
        <v>10</v>
      </c>
      <c r="K244" s="73">
        <v>16500</v>
      </c>
      <c r="L244" s="104">
        <v>10</v>
      </c>
      <c r="M244" s="73">
        <v>16500</v>
      </c>
      <c r="N244" s="104">
        <v>10</v>
      </c>
      <c r="O244" s="73">
        <v>16500</v>
      </c>
      <c r="P244" s="104">
        <v>10</v>
      </c>
      <c r="Q244" s="73">
        <v>16500</v>
      </c>
      <c r="R244" s="73"/>
    </row>
    <row r="245" ht="15.75" spans="1:18">
      <c r="A245" s="11">
        <v>62</v>
      </c>
      <c r="B245" s="19" t="s">
        <v>190</v>
      </c>
      <c r="C245" s="129"/>
      <c r="D245" s="104">
        <v>12</v>
      </c>
      <c r="E245" s="136">
        <v>3200</v>
      </c>
      <c r="F245" s="136">
        <v>38400</v>
      </c>
      <c r="G245" s="35" t="s">
        <v>33</v>
      </c>
      <c r="H245" s="137" t="s">
        <v>729</v>
      </c>
      <c r="I245" s="137" t="s">
        <v>778</v>
      </c>
      <c r="J245" s="104">
        <v>3</v>
      </c>
      <c r="K245" s="77">
        <v>9600</v>
      </c>
      <c r="L245" s="104">
        <v>3</v>
      </c>
      <c r="M245" s="77">
        <v>9600</v>
      </c>
      <c r="N245" s="104">
        <v>3</v>
      </c>
      <c r="O245" s="77">
        <v>9600</v>
      </c>
      <c r="P245" s="104">
        <v>3</v>
      </c>
      <c r="Q245" s="77">
        <v>9600</v>
      </c>
      <c r="R245" s="91"/>
    </row>
    <row r="246" ht="15.75" spans="1:18">
      <c r="A246" s="11">
        <v>63</v>
      </c>
      <c r="B246" s="19" t="s">
        <v>191</v>
      </c>
      <c r="C246" s="129"/>
      <c r="D246" s="104">
        <v>12</v>
      </c>
      <c r="E246" s="136">
        <v>2400</v>
      </c>
      <c r="F246" s="136">
        <v>28800</v>
      </c>
      <c r="G246" s="35" t="s">
        <v>33</v>
      </c>
      <c r="H246" s="137" t="s">
        <v>729</v>
      </c>
      <c r="I246" s="137" t="s">
        <v>778</v>
      </c>
      <c r="J246" s="104">
        <v>3</v>
      </c>
      <c r="K246" s="77">
        <v>7200</v>
      </c>
      <c r="L246" s="104">
        <v>3</v>
      </c>
      <c r="M246" s="77">
        <v>7200</v>
      </c>
      <c r="N246" s="104">
        <v>3</v>
      </c>
      <c r="O246" s="77">
        <v>7200</v>
      </c>
      <c r="P246" s="104">
        <v>3</v>
      </c>
      <c r="Q246" s="77">
        <v>7200</v>
      </c>
      <c r="R246" s="91"/>
    </row>
    <row r="247" ht="15.75" spans="1:18">
      <c r="A247" s="11">
        <v>64</v>
      </c>
      <c r="B247" s="19" t="s">
        <v>192</v>
      </c>
      <c r="C247" s="129"/>
      <c r="D247" s="104">
        <v>20</v>
      </c>
      <c r="E247" s="136">
        <v>1200</v>
      </c>
      <c r="F247" s="136">
        <v>24000</v>
      </c>
      <c r="G247" s="35" t="s">
        <v>33</v>
      </c>
      <c r="H247" s="137" t="s">
        <v>729</v>
      </c>
      <c r="I247" s="137" t="s">
        <v>778</v>
      </c>
      <c r="J247" s="104">
        <v>5</v>
      </c>
      <c r="K247" s="77">
        <v>6000</v>
      </c>
      <c r="L247" s="104">
        <v>5</v>
      </c>
      <c r="M247" s="77">
        <v>6000</v>
      </c>
      <c r="N247" s="104">
        <v>5</v>
      </c>
      <c r="O247" s="77">
        <v>6000</v>
      </c>
      <c r="P247" s="104">
        <v>5</v>
      </c>
      <c r="Q247" s="77">
        <v>6000</v>
      </c>
      <c r="R247" s="91"/>
    </row>
    <row r="248" ht="15.75" spans="1:18">
      <c r="A248" s="11">
        <v>65</v>
      </c>
      <c r="B248" s="19" t="s">
        <v>193</v>
      </c>
      <c r="C248" s="129"/>
      <c r="D248" s="104">
        <v>12</v>
      </c>
      <c r="E248" s="136">
        <v>13000</v>
      </c>
      <c r="F248" s="136">
        <v>156000</v>
      </c>
      <c r="G248" s="35" t="s">
        <v>33</v>
      </c>
      <c r="H248" s="137" t="s">
        <v>729</v>
      </c>
      <c r="I248" s="137" t="s">
        <v>778</v>
      </c>
      <c r="J248" s="104">
        <v>3</v>
      </c>
      <c r="K248" s="77">
        <v>39000</v>
      </c>
      <c r="L248" s="104">
        <v>3</v>
      </c>
      <c r="M248" s="77">
        <v>39000</v>
      </c>
      <c r="N248" s="104">
        <v>3</v>
      </c>
      <c r="O248" s="77">
        <v>39000</v>
      </c>
      <c r="P248" s="104">
        <v>3</v>
      </c>
      <c r="Q248" s="77">
        <v>39000</v>
      </c>
      <c r="R248" s="91"/>
    </row>
    <row r="249" ht="15.75" spans="1:18">
      <c r="A249" s="11">
        <v>66</v>
      </c>
      <c r="B249" s="19" t="s">
        <v>194</v>
      </c>
      <c r="C249" s="129"/>
      <c r="D249" s="104">
        <v>16</v>
      </c>
      <c r="E249" s="136">
        <v>9600</v>
      </c>
      <c r="F249" s="136">
        <v>153600</v>
      </c>
      <c r="G249" s="35" t="s">
        <v>33</v>
      </c>
      <c r="H249" s="137" t="s">
        <v>729</v>
      </c>
      <c r="I249" s="137" t="s">
        <v>778</v>
      </c>
      <c r="J249" s="104">
        <v>4</v>
      </c>
      <c r="K249" s="77">
        <v>38400</v>
      </c>
      <c r="L249" s="104">
        <v>4</v>
      </c>
      <c r="M249" s="77">
        <v>38400</v>
      </c>
      <c r="N249" s="104">
        <v>4</v>
      </c>
      <c r="O249" s="77">
        <v>38400</v>
      </c>
      <c r="P249" s="104">
        <v>4</v>
      </c>
      <c r="Q249" s="77">
        <v>38400</v>
      </c>
      <c r="R249" s="91"/>
    </row>
    <row r="250" ht="15.75" spans="1:18">
      <c r="A250" s="11">
        <v>67</v>
      </c>
      <c r="B250" s="19" t="s">
        <v>195</v>
      </c>
      <c r="C250" s="129"/>
      <c r="D250" s="104">
        <v>8</v>
      </c>
      <c r="E250" s="136">
        <v>1800</v>
      </c>
      <c r="F250" s="136">
        <v>14400</v>
      </c>
      <c r="G250" s="35" t="s">
        <v>33</v>
      </c>
      <c r="H250" s="137" t="s">
        <v>729</v>
      </c>
      <c r="I250" s="137" t="s">
        <v>778</v>
      </c>
      <c r="J250" s="104">
        <v>2</v>
      </c>
      <c r="K250" s="77">
        <v>3600</v>
      </c>
      <c r="L250" s="104">
        <v>2</v>
      </c>
      <c r="M250" s="77">
        <v>3600</v>
      </c>
      <c r="N250" s="104">
        <v>2</v>
      </c>
      <c r="O250" s="77">
        <v>3600</v>
      </c>
      <c r="P250" s="104">
        <v>2</v>
      </c>
      <c r="Q250" s="77">
        <v>3600</v>
      </c>
      <c r="R250" s="91"/>
    </row>
    <row r="251" ht="15.75" spans="1:18">
      <c r="A251" s="11">
        <v>68</v>
      </c>
      <c r="B251" s="19" t="s">
        <v>196</v>
      </c>
      <c r="C251" s="129"/>
      <c r="D251" s="104">
        <v>8</v>
      </c>
      <c r="E251" s="136">
        <v>1560</v>
      </c>
      <c r="F251" s="136">
        <v>12480</v>
      </c>
      <c r="G251" s="35" t="s">
        <v>33</v>
      </c>
      <c r="H251" s="137" t="s">
        <v>729</v>
      </c>
      <c r="I251" s="137" t="s">
        <v>778</v>
      </c>
      <c r="J251" s="104">
        <v>2</v>
      </c>
      <c r="K251" s="77">
        <v>3120</v>
      </c>
      <c r="L251" s="104">
        <v>2</v>
      </c>
      <c r="M251" s="77">
        <v>3120</v>
      </c>
      <c r="N251" s="104">
        <v>2</v>
      </c>
      <c r="O251" s="77">
        <v>3120</v>
      </c>
      <c r="P251" s="104">
        <v>2</v>
      </c>
      <c r="Q251" s="77">
        <v>3120</v>
      </c>
      <c r="R251" s="91"/>
    </row>
    <row r="252" ht="15.75" spans="1:18">
      <c r="A252" s="11">
        <v>69</v>
      </c>
      <c r="B252" s="19" t="s">
        <v>197</v>
      </c>
      <c r="C252" s="129"/>
      <c r="D252" s="104">
        <v>8</v>
      </c>
      <c r="E252" s="136">
        <v>7500</v>
      </c>
      <c r="F252" s="136">
        <v>60000</v>
      </c>
      <c r="G252" s="35" t="s">
        <v>33</v>
      </c>
      <c r="H252" s="137" t="s">
        <v>729</v>
      </c>
      <c r="I252" s="137" t="s">
        <v>778</v>
      </c>
      <c r="J252" s="104">
        <v>2</v>
      </c>
      <c r="K252" s="77">
        <v>15000</v>
      </c>
      <c r="L252" s="104">
        <v>2</v>
      </c>
      <c r="M252" s="77">
        <v>15000</v>
      </c>
      <c r="N252" s="104">
        <v>2</v>
      </c>
      <c r="O252" s="77">
        <v>15000</v>
      </c>
      <c r="P252" s="104">
        <v>2</v>
      </c>
      <c r="Q252" s="77">
        <v>15000</v>
      </c>
      <c r="R252" s="91"/>
    </row>
    <row r="253" ht="15.75" spans="1:18">
      <c r="A253" s="11">
        <v>70</v>
      </c>
      <c r="B253" s="19" t="s">
        <v>913</v>
      </c>
      <c r="C253" s="129"/>
      <c r="D253" s="104">
        <v>40</v>
      </c>
      <c r="E253" s="136">
        <v>450</v>
      </c>
      <c r="F253" s="136">
        <v>18000</v>
      </c>
      <c r="G253" s="35" t="s">
        <v>33</v>
      </c>
      <c r="H253" s="137" t="s">
        <v>729</v>
      </c>
      <c r="I253" s="137" t="s">
        <v>778</v>
      </c>
      <c r="J253" s="104">
        <v>10</v>
      </c>
      <c r="K253" s="77">
        <v>4500</v>
      </c>
      <c r="L253" s="104">
        <v>10</v>
      </c>
      <c r="M253" s="77">
        <v>4500</v>
      </c>
      <c r="N253" s="104">
        <v>10</v>
      </c>
      <c r="O253" s="77">
        <v>4500</v>
      </c>
      <c r="P253" s="104">
        <v>10</v>
      </c>
      <c r="Q253" s="77">
        <v>4500</v>
      </c>
      <c r="R253" s="91"/>
    </row>
    <row r="254" ht="15.75" spans="1:18">
      <c r="A254" s="11">
        <v>71</v>
      </c>
      <c r="B254" s="19" t="s">
        <v>928</v>
      </c>
      <c r="C254" s="129"/>
      <c r="D254" s="104">
        <v>80</v>
      </c>
      <c r="E254" s="136">
        <v>120</v>
      </c>
      <c r="F254" s="136">
        <v>9600</v>
      </c>
      <c r="G254" s="35" t="s">
        <v>33</v>
      </c>
      <c r="H254" s="137" t="s">
        <v>729</v>
      </c>
      <c r="I254" s="137" t="s">
        <v>778</v>
      </c>
      <c r="J254" s="104">
        <v>20</v>
      </c>
      <c r="K254" s="77">
        <v>2400</v>
      </c>
      <c r="L254" s="104">
        <v>20</v>
      </c>
      <c r="M254" s="77">
        <v>2400</v>
      </c>
      <c r="N254" s="104">
        <v>20</v>
      </c>
      <c r="O254" s="77">
        <v>2400</v>
      </c>
      <c r="P254" s="104">
        <v>20</v>
      </c>
      <c r="Q254" s="77">
        <v>2400</v>
      </c>
      <c r="R254" s="91"/>
    </row>
    <row r="255" ht="15.75" spans="1:18">
      <c r="A255" s="11">
        <v>72</v>
      </c>
      <c r="B255" s="19" t="s">
        <v>198</v>
      </c>
      <c r="C255" s="129"/>
      <c r="D255" s="104">
        <v>48</v>
      </c>
      <c r="E255" s="136">
        <v>1110</v>
      </c>
      <c r="F255" s="136">
        <v>53280</v>
      </c>
      <c r="G255" s="35" t="s">
        <v>33</v>
      </c>
      <c r="H255" s="137" t="s">
        <v>729</v>
      </c>
      <c r="I255" s="137" t="s">
        <v>778</v>
      </c>
      <c r="J255" s="104">
        <v>12</v>
      </c>
      <c r="K255" s="77">
        <v>13320</v>
      </c>
      <c r="L255" s="104">
        <v>12</v>
      </c>
      <c r="M255" s="77">
        <v>13320</v>
      </c>
      <c r="N255" s="104">
        <v>12</v>
      </c>
      <c r="O255" s="77">
        <v>13320</v>
      </c>
      <c r="P255" s="104">
        <v>12</v>
      </c>
      <c r="Q255" s="77">
        <v>13320</v>
      </c>
      <c r="R255" s="91"/>
    </row>
    <row r="256" ht="15.75" spans="1:18">
      <c r="A256" s="11">
        <v>73</v>
      </c>
      <c r="B256" s="19" t="s">
        <v>199</v>
      </c>
      <c r="C256" s="129"/>
      <c r="D256" s="104">
        <v>120</v>
      </c>
      <c r="E256" s="136">
        <v>150</v>
      </c>
      <c r="F256" s="136">
        <v>18000</v>
      </c>
      <c r="G256" s="35" t="s">
        <v>33</v>
      </c>
      <c r="H256" s="137" t="s">
        <v>729</v>
      </c>
      <c r="I256" s="137" t="s">
        <v>778</v>
      </c>
      <c r="J256" s="104">
        <v>30</v>
      </c>
      <c r="K256" s="77">
        <v>4500</v>
      </c>
      <c r="L256" s="104">
        <v>30</v>
      </c>
      <c r="M256" s="77">
        <v>4500</v>
      </c>
      <c r="N256" s="104">
        <v>30</v>
      </c>
      <c r="O256" s="77">
        <v>4500</v>
      </c>
      <c r="P256" s="104">
        <v>30</v>
      </c>
      <c r="Q256" s="77">
        <v>4500</v>
      </c>
      <c r="R256" s="91"/>
    </row>
    <row r="257" ht="15.75" spans="1:18">
      <c r="A257" s="11">
        <v>74</v>
      </c>
      <c r="B257" s="19" t="s">
        <v>188</v>
      </c>
      <c r="C257" s="129"/>
      <c r="D257" s="104">
        <v>2880</v>
      </c>
      <c r="E257" s="136">
        <v>140</v>
      </c>
      <c r="F257" s="136">
        <v>403200</v>
      </c>
      <c r="G257" s="35" t="s">
        <v>33</v>
      </c>
      <c r="H257" s="137" t="s">
        <v>729</v>
      </c>
      <c r="I257" s="137" t="s">
        <v>778</v>
      </c>
      <c r="J257" s="104">
        <v>720</v>
      </c>
      <c r="K257" s="77">
        <v>100800</v>
      </c>
      <c r="L257" s="104">
        <v>720</v>
      </c>
      <c r="M257" s="77">
        <v>100800</v>
      </c>
      <c r="N257" s="104">
        <v>720</v>
      </c>
      <c r="O257" s="77">
        <v>100800</v>
      </c>
      <c r="P257" s="104">
        <v>720</v>
      </c>
      <c r="Q257" s="77">
        <v>100800</v>
      </c>
      <c r="R257" s="91"/>
    </row>
    <row r="258" ht="15.75" spans="1:18">
      <c r="A258" s="11">
        <v>75</v>
      </c>
      <c r="B258" s="19" t="s">
        <v>201</v>
      </c>
      <c r="C258" s="129"/>
      <c r="D258" s="104">
        <v>600</v>
      </c>
      <c r="E258" s="136">
        <v>650</v>
      </c>
      <c r="F258" s="136">
        <v>390000</v>
      </c>
      <c r="G258" s="35" t="s">
        <v>33</v>
      </c>
      <c r="H258" s="137" t="s">
        <v>729</v>
      </c>
      <c r="I258" s="137" t="s">
        <v>778</v>
      </c>
      <c r="J258" s="104">
        <v>150</v>
      </c>
      <c r="K258" s="77">
        <v>97500</v>
      </c>
      <c r="L258" s="104">
        <v>150</v>
      </c>
      <c r="M258" s="77">
        <v>97500</v>
      </c>
      <c r="N258" s="104">
        <v>150</v>
      </c>
      <c r="O258" s="77">
        <v>97500</v>
      </c>
      <c r="P258" s="104">
        <v>150</v>
      </c>
      <c r="Q258" s="77">
        <v>97500</v>
      </c>
      <c r="R258" s="91"/>
    </row>
    <row r="259" ht="15.75" spans="1:18">
      <c r="A259" s="11">
        <v>76</v>
      </c>
      <c r="B259" s="19" t="s">
        <v>177</v>
      </c>
      <c r="C259" s="129"/>
      <c r="D259" s="104">
        <v>40</v>
      </c>
      <c r="E259" s="136">
        <v>800</v>
      </c>
      <c r="F259" s="136">
        <v>32000</v>
      </c>
      <c r="G259" s="35" t="s">
        <v>33</v>
      </c>
      <c r="H259" s="137" t="s">
        <v>729</v>
      </c>
      <c r="I259" s="137" t="s">
        <v>778</v>
      </c>
      <c r="J259" s="104">
        <v>10</v>
      </c>
      <c r="K259" s="77">
        <v>8000</v>
      </c>
      <c r="L259" s="104">
        <v>10</v>
      </c>
      <c r="M259" s="77">
        <v>8000</v>
      </c>
      <c r="N259" s="104">
        <v>10</v>
      </c>
      <c r="O259" s="77">
        <v>8000</v>
      </c>
      <c r="P259" s="104">
        <v>10</v>
      </c>
      <c r="Q259" s="77">
        <v>8000</v>
      </c>
      <c r="R259" s="91"/>
    </row>
    <row r="260" ht="15.75" spans="1:18">
      <c r="A260" s="11">
        <v>77</v>
      </c>
      <c r="B260" s="19" t="s">
        <v>178</v>
      </c>
      <c r="C260" s="129"/>
      <c r="D260" s="104">
        <v>40</v>
      </c>
      <c r="E260" s="136">
        <v>480</v>
      </c>
      <c r="F260" s="136">
        <v>19200</v>
      </c>
      <c r="G260" s="35" t="s">
        <v>33</v>
      </c>
      <c r="H260" s="137" t="s">
        <v>729</v>
      </c>
      <c r="I260" s="137" t="s">
        <v>778</v>
      </c>
      <c r="J260" s="104">
        <v>10</v>
      </c>
      <c r="K260" s="77">
        <v>4800</v>
      </c>
      <c r="L260" s="104">
        <v>10</v>
      </c>
      <c r="M260" s="77">
        <v>4800</v>
      </c>
      <c r="N260" s="104">
        <v>10</v>
      </c>
      <c r="O260" s="77">
        <v>4800</v>
      </c>
      <c r="P260" s="104">
        <v>10</v>
      </c>
      <c r="Q260" s="77">
        <v>4800</v>
      </c>
      <c r="R260" s="91"/>
    </row>
    <row r="261" ht="15.75" spans="1:18">
      <c r="A261" s="11">
        <v>78</v>
      </c>
      <c r="B261" s="19" t="s">
        <v>202</v>
      </c>
      <c r="C261" s="129"/>
      <c r="D261" s="104">
        <v>40</v>
      </c>
      <c r="E261" s="136">
        <v>350</v>
      </c>
      <c r="F261" s="136">
        <v>14000</v>
      </c>
      <c r="G261" s="35" t="s">
        <v>33</v>
      </c>
      <c r="H261" s="137" t="s">
        <v>729</v>
      </c>
      <c r="I261" s="137" t="s">
        <v>778</v>
      </c>
      <c r="J261" s="104">
        <v>10</v>
      </c>
      <c r="K261" s="77">
        <v>3500</v>
      </c>
      <c r="L261" s="104">
        <v>10</v>
      </c>
      <c r="M261" s="77">
        <v>3500</v>
      </c>
      <c r="N261" s="104">
        <v>10</v>
      </c>
      <c r="O261" s="77">
        <v>3500</v>
      </c>
      <c r="P261" s="104">
        <v>10</v>
      </c>
      <c r="Q261" s="77">
        <v>3500</v>
      </c>
      <c r="R261" s="91"/>
    </row>
    <row r="262" ht="15.75" spans="1:18">
      <c r="A262" s="11">
        <v>79</v>
      </c>
      <c r="B262" s="19" t="s">
        <v>203</v>
      </c>
      <c r="C262" s="129"/>
      <c r="D262" s="104">
        <v>24</v>
      </c>
      <c r="E262" s="136">
        <v>350</v>
      </c>
      <c r="F262" s="136">
        <v>8400</v>
      </c>
      <c r="G262" s="35" t="s">
        <v>33</v>
      </c>
      <c r="H262" s="137" t="s">
        <v>729</v>
      </c>
      <c r="I262" s="137" t="s">
        <v>778</v>
      </c>
      <c r="J262" s="104">
        <v>6</v>
      </c>
      <c r="K262" s="73">
        <v>2100</v>
      </c>
      <c r="L262" s="104">
        <v>6</v>
      </c>
      <c r="M262" s="73">
        <v>2100</v>
      </c>
      <c r="N262" s="104">
        <v>6</v>
      </c>
      <c r="O262" s="73">
        <v>2100</v>
      </c>
      <c r="P262" s="104">
        <v>6</v>
      </c>
      <c r="Q262" s="73">
        <v>2100</v>
      </c>
      <c r="R262" s="73"/>
    </row>
    <row r="263" ht="15.75" spans="1:18">
      <c r="A263" s="11">
        <v>80</v>
      </c>
      <c r="B263" s="19" t="s">
        <v>204</v>
      </c>
      <c r="C263" s="129"/>
      <c r="D263" s="104">
        <v>40</v>
      </c>
      <c r="E263" s="136">
        <v>400</v>
      </c>
      <c r="F263" s="136">
        <v>16000</v>
      </c>
      <c r="G263" s="35" t="s">
        <v>33</v>
      </c>
      <c r="H263" s="137" t="s">
        <v>729</v>
      </c>
      <c r="I263" s="137" t="s">
        <v>778</v>
      </c>
      <c r="J263" s="104">
        <v>10</v>
      </c>
      <c r="K263" s="77">
        <v>4000</v>
      </c>
      <c r="L263" s="104">
        <v>10</v>
      </c>
      <c r="M263" s="77">
        <v>4000</v>
      </c>
      <c r="N263" s="104">
        <v>10</v>
      </c>
      <c r="O263" s="77">
        <v>4000</v>
      </c>
      <c r="P263" s="104">
        <v>10</v>
      </c>
      <c r="Q263" s="77">
        <v>4000</v>
      </c>
      <c r="R263" s="91"/>
    </row>
    <row r="264" ht="15.75" spans="1:18">
      <c r="A264" s="11">
        <v>81</v>
      </c>
      <c r="B264" s="19" t="s">
        <v>205</v>
      </c>
      <c r="C264" s="129"/>
      <c r="D264" s="104">
        <v>40</v>
      </c>
      <c r="E264" s="136">
        <v>400</v>
      </c>
      <c r="F264" s="136">
        <v>16000</v>
      </c>
      <c r="G264" s="35" t="s">
        <v>33</v>
      </c>
      <c r="H264" s="137" t="s">
        <v>729</v>
      </c>
      <c r="I264" s="137" t="s">
        <v>778</v>
      </c>
      <c r="J264" s="104">
        <v>10</v>
      </c>
      <c r="K264" s="73">
        <v>4000</v>
      </c>
      <c r="L264" s="104">
        <v>10</v>
      </c>
      <c r="M264" s="73">
        <v>4000</v>
      </c>
      <c r="N264" s="104">
        <v>10</v>
      </c>
      <c r="O264" s="73">
        <v>4000</v>
      </c>
      <c r="P264" s="104">
        <v>10</v>
      </c>
      <c r="Q264" s="73">
        <v>4000</v>
      </c>
      <c r="R264" s="73"/>
    </row>
    <row r="265" ht="15.75" spans="1:18">
      <c r="A265" s="11">
        <v>82</v>
      </c>
      <c r="B265" s="19" t="s">
        <v>206</v>
      </c>
      <c r="C265" s="11"/>
      <c r="D265" s="104">
        <v>60</v>
      </c>
      <c r="E265" s="136">
        <v>210</v>
      </c>
      <c r="F265" s="136">
        <v>12600</v>
      </c>
      <c r="G265" s="35" t="s">
        <v>33</v>
      </c>
      <c r="H265" s="137" t="s">
        <v>729</v>
      </c>
      <c r="I265" s="137" t="s">
        <v>778</v>
      </c>
      <c r="J265" s="104">
        <v>15</v>
      </c>
      <c r="K265" s="77">
        <v>3150</v>
      </c>
      <c r="L265" s="104">
        <v>15</v>
      </c>
      <c r="M265" s="77">
        <v>3150</v>
      </c>
      <c r="N265" s="104">
        <v>15</v>
      </c>
      <c r="O265" s="77">
        <v>3150</v>
      </c>
      <c r="P265" s="104">
        <v>15</v>
      </c>
      <c r="Q265" s="14">
        <v>3150</v>
      </c>
      <c r="R265" s="14"/>
    </row>
    <row r="266" ht="15.75" spans="1:18">
      <c r="A266" s="11">
        <v>83</v>
      </c>
      <c r="B266" s="19" t="s">
        <v>207</v>
      </c>
      <c r="C266" s="11"/>
      <c r="D266" s="104">
        <v>12</v>
      </c>
      <c r="E266" s="136">
        <v>6500</v>
      </c>
      <c r="F266" s="136">
        <v>78000</v>
      </c>
      <c r="G266" s="35" t="s">
        <v>33</v>
      </c>
      <c r="H266" s="137" t="s">
        <v>729</v>
      </c>
      <c r="I266" s="137" t="s">
        <v>778</v>
      </c>
      <c r="J266" s="104">
        <v>3</v>
      </c>
      <c r="K266" s="77">
        <v>19500</v>
      </c>
      <c r="L266" s="104">
        <v>3</v>
      </c>
      <c r="M266" s="77">
        <v>19500</v>
      </c>
      <c r="N266" s="104">
        <v>3</v>
      </c>
      <c r="O266" s="77">
        <v>19500</v>
      </c>
      <c r="P266" s="104">
        <v>3</v>
      </c>
      <c r="Q266" s="14">
        <v>19500</v>
      </c>
      <c r="R266" s="14"/>
    </row>
    <row r="267" ht="15.75" spans="1:18">
      <c r="A267" s="11"/>
      <c r="B267" s="11"/>
      <c r="C267" s="11"/>
      <c r="D267" s="77"/>
      <c r="E267" s="77"/>
      <c r="F267" s="77"/>
      <c r="G267" s="35"/>
      <c r="H267" s="77"/>
      <c r="I267" s="77"/>
      <c r="J267" s="77"/>
      <c r="K267" s="77"/>
      <c r="L267" s="77"/>
      <c r="M267" s="77"/>
      <c r="N267" s="77"/>
      <c r="O267" s="77"/>
      <c r="P267" s="77"/>
      <c r="Q267" s="77"/>
      <c r="R267" s="91"/>
    </row>
    <row r="268" ht="15.75" spans="1:18">
      <c r="A268" s="11"/>
      <c r="B268" s="145" t="s">
        <v>22</v>
      </c>
      <c r="C268" s="146"/>
      <c r="D268" s="147"/>
      <c r="E268" s="148"/>
      <c r="F268" s="117">
        <f>SUM(F185:F267)</f>
        <v>4000175</v>
      </c>
      <c r="G268" s="13"/>
      <c r="H268" s="14"/>
      <c r="I268" s="14"/>
      <c r="J268" s="73"/>
      <c r="K268" s="73">
        <f>SUM(K185:K267)</f>
        <v>1120319</v>
      </c>
      <c r="L268" s="73"/>
      <c r="M268" s="73">
        <f>SUM(M185:M267)</f>
        <v>998309</v>
      </c>
      <c r="N268" s="73"/>
      <c r="O268" s="73">
        <f>SUM(O185:O267)</f>
        <v>924389</v>
      </c>
      <c r="P268" s="73"/>
      <c r="Q268" s="73">
        <f>SUM(Q185:Q267)</f>
        <v>957164</v>
      </c>
      <c r="R268" s="73"/>
    </row>
    <row r="269" ht="15.75" spans="1:18">
      <c r="A269" s="11"/>
      <c r="B269" s="145"/>
      <c r="C269" s="146"/>
      <c r="D269" s="147"/>
      <c r="E269" s="148"/>
      <c r="F269" s="14"/>
      <c r="G269" s="13"/>
      <c r="H269" s="14"/>
      <c r="I269" s="14"/>
      <c r="J269" s="73"/>
      <c r="K269" s="73"/>
      <c r="L269" s="73"/>
      <c r="M269" s="73"/>
      <c r="N269" s="73"/>
      <c r="O269" s="73"/>
      <c r="P269" s="73"/>
      <c r="Q269" s="73"/>
      <c r="R269" s="73"/>
    </row>
    <row r="270" ht="15.75" spans="1:18">
      <c r="A270" s="11"/>
      <c r="B270" s="11"/>
      <c r="C270" s="11"/>
      <c r="D270" s="14"/>
      <c r="E270" s="14"/>
      <c r="F270" s="14"/>
      <c r="G270" s="13"/>
      <c r="H270" s="11"/>
      <c r="I270" s="11"/>
      <c r="J270" s="14"/>
      <c r="K270" s="14"/>
      <c r="L270" s="14"/>
      <c r="M270" s="14"/>
      <c r="N270" s="14"/>
      <c r="O270" s="14"/>
      <c r="P270" s="14"/>
      <c r="Q270" s="14"/>
      <c r="R270" s="14"/>
    </row>
    <row r="271" ht="15.75" spans="1:18">
      <c r="A271" s="12">
        <v>11</v>
      </c>
      <c r="B271" s="12" t="s">
        <v>743</v>
      </c>
      <c r="C271" s="11"/>
      <c r="D271" s="14"/>
      <c r="E271" s="14"/>
      <c r="F271" s="14"/>
      <c r="G271" s="13"/>
      <c r="H271" s="11"/>
      <c r="I271" s="11"/>
      <c r="J271" s="14"/>
      <c r="K271" s="14"/>
      <c r="L271" s="14"/>
      <c r="M271" s="14"/>
      <c r="N271" s="14"/>
      <c r="O271" s="14"/>
      <c r="P271" s="14"/>
      <c r="Q271" s="14"/>
      <c r="R271" s="14"/>
    </row>
    <row r="272" ht="15.75" spans="1:18">
      <c r="A272" s="11">
        <v>1</v>
      </c>
      <c r="B272" s="28" t="s">
        <v>929</v>
      </c>
      <c r="C272" s="11"/>
      <c r="D272" s="14"/>
      <c r="E272" s="119"/>
      <c r="F272" s="149">
        <v>800000</v>
      </c>
      <c r="G272" s="28" t="s">
        <v>930</v>
      </c>
      <c r="H272" s="30" t="s">
        <v>729</v>
      </c>
      <c r="I272" s="30" t="s">
        <v>778</v>
      </c>
      <c r="J272" s="71"/>
      <c r="K272" s="149">
        <v>800000</v>
      </c>
      <c r="L272" s="71"/>
      <c r="M272" s="71"/>
      <c r="N272" s="71"/>
      <c r="O272" s="71"/>
      <c r="P272" s="71"/>
      <c r="Q272" s="71"/>
      <c r="R272" s="71"/>
    </row>
    <row r="273" ht="15.75" spans="1:18">
      <c r="A273" s="11">
        <v>2</v>
      </c>
      <c r="B273" s="32" t="s">
        <v>221</v>
      </c>
      <c r="C273" s="133"/>
      <c r="D273" s="37">
        <v>200</v>
      </c>
      <c r="E273" s="14">
        <v>400</v>
      </c>
      <c r="F273" s="119">
        <f>D273*E273</f>
        <v>80000</v>
      </c>
      <c r="G273" s="13" t="s">
        <v>42</v>
      </c>
      <c r="H273" s="30" t="s">
        <v>729</v>
      </c>
      <c r="I273" s="30" t="s">
        <v>778</v>
      </c>
      <c r="J273" s="60"/>
      <c r="K273" s="60"/>
      <c r="L273" s="60"/>
      <c r="M273" s="14"/>
      <c r="N273" s="144"/>
      <c r="O273" s="14">
        <v>80000</v>
      </c>
      <c r="P273" s="71"/>
      <c r="Q273" s="14"/>
      <c r="R273" s="14"/>
    </row>
    <row r="274" ht="15.75" spans="1:18">
      <c r="A274" s="11">
        <v>3</v>
      </c>
      <c r="B274" s="38" t="s">
        <v>931</v>
      </c>
      <c r="C274" s="38" t="s">
        <v>932</v>
      </c>
      <c r="D274" s="14">
        <v>4</v>
      </c>
      <c r="E274" s="119">
        <v>50000</v>
      </c>
      <c r="F274" s="75">
        <f>E274*D274</f>
        <v>200000</v>
      </c>
      <c r="G274" s="39" t="s">
        <v>813</v>
      </c>
      <c r="H274" s="38" t="s">
        <v>729</v>
      </c>
      <c r="I274" s="38" t="s">
        <v>933</v>
      </c>
      <c r="J274" s="74">
        <v>1</v>
      </c>
      <c r="K274" s="75">
        <f>E274*J274</f>
        <v>50000</v>
      </c>
      <c r="L274" s="14">
        <v>1</v>
      </c>
      <c r="M274" s="75">
        <f>E274*L274</f>
        <v>50000</v>
      </c>
      <c r="N274" s="14">
        <v>1</v>
      </c>
      <c r="O274" s="75">
        <f>E274*N274</f>
        <v>50000</v>
      </c>
      <c r="P274" s="14">
        <v>1</v>
      </c>
      <c r="Q274" s="75">
        <f>E274*P274</f>
        <v>50000</v>
      </c>
      <c r="R274" s="14"/>
    </row>
    <row r="275" ht="15.75" spans="1:18">
      <c r="A275" s="11">
        <v>5</v>
      </c>
      <c r="B275" s="38" t="s">
        <v>934</v>
      </c>
      <c r="C275" s="11" t="s">
        <v>783</v>
      </c>
      <c r="D275" s="14">
        <v>500</v>
      </c>
      <c r="E275" s="14">
        <v>700</v>
      </c>
      <c r="F275" s="56">
        <v>350000</v>
      </c>
      <c r="G275" s="13" t="s">
        <v>935</v>
      </c>
      <c r="H275" s="13" t="s">
        <v>729</v>
      </c>
      <c r="I275" s="30" t="s">
        <v>778</v>
      </c>
      <c r="J275" s="14">
        <v>500</v>
      </c>
      <c r="K275" s="56">
        <v>350000</v>
      </c>
      <c r="L275" s="14"/>
      <c r="M275" s="14"/>
      <c r="N275" s="14"/>
      <c r="O275" s="14"/>
      <c r="P275" s="14"/>
      <c r="Q275" s="14"/>
      <c r="R275" s="14"/>
    </row>
    <row r="276" ht="15.75" spans="1:18">
      <c r="A276" s="11"/>
      <c r="B276" s="32"/>
      <c r="C276" s="32"/>
      <c r="D276" s="150"/>
      <c r="E276" s="150"/>
      <c r="F276" s="14"/>
      <c r="G276" s="13"/>
      <c r="H276" s="14"/>
      <c r="I276" s="152"/>
      <c r="J276" s="73"/>
      <c r="K276" s="73"/>
      <c r="L276" s="73"/>
      <c r="M276" s="73"/>
      <c r="N276" s="73"/>
      <c r="O276" s="73"/>
      <c r="P276" s="73"/>
      <c r="Q276" s="73"/>
      <c r="R276" s="73"/>
    </row>
    <row r="277" ht="15.75" spans="1:18">
      <c r="A277" s="11"/>
      <c r="B277" s="12" t="s">
        <v>22</v>
      </c>
      <c r="C277" s="12"/>
      <c r="D277" s="117"/>
      <c r="E277" s="117"/>
      <c r="F277" s="117">
        <f>SUM(F272:F276)</f>
        <v>1430000</v>
      </c>
      <c r="G277" s="46"/>
      <c r="H277" s="14"/>
      <c r="I277" s="152"/>
      <c r="J277" s="14"/>
      <c r="K277" s="14"/>
      <c r="L277" s="14"/>
      <c r="M277" s="14"/>
      <c r="N277" s="14"/>
      <c r="O277" s="14"/>
      <c r="P277" s="14"/>
      <c r="Q277" s="14"/>
      <c r="R277" s="14"/>
    </row>
    <row r="278" ht="15.75" spans="1:18">
      <c r="A278" s="11"/>
      <c r="B278" s="11"/>
      <c r="C278" s="11"/>
      <c r="D278" s="119"/>
      <c r="E278" s="119"/>
      <c r="F278" s="14"/>
      <c r="G278" s="13"/>
      <c r="H278" s="14"/>
      <c r="I278" s="152"/>
      <c r="J278" s="14"/>
      <c r="K278" s="14"/>
      <c r="L278" s="14"/>
      <c r="M278" s="14"/>
      <c r="N278" s="14"/>
      <c r="O278" s="14"/>
      <c r="P278" s="14"/>
      <c r="Q278" s="14"/>
      <c r="R278" s="14"/>
    </row>
    <row r="279" ht="15.75" spans="1:18">
      <c r="A279" s="11"/>
      <c r="B279" s="11"/>
      <c r="C279" s="11"/>
      <c r="D279" s="14"/>
      <c r="E279" s="14"/>
      <c r="F279" s="14"/>
      <c r="G279" s="13"/>
      <c r="H279" s="11"/>
      <c r="I279" s="152"/>
      <c r="J279" s="14"/>
      <c r="K279" s="14"/>
      <c r="L279" s="14"/>
      <c r="M279" s="14"/>
      <c r="N279" s="14"/>
      <c r="O279" s="14"/>
      <c r="P279" s="14"/>
      <c r="Q279" s="14"/>
      <c r="R279" s="14"/>
    </row>
    <row r="280" ht="15.75" spans="1:18">
      <c r="A280" s="12">
        <v>12</v>
      </c>
      <c r="B280" s="12" t="s">
        <v>744</v>
      </c>
      <c r="C280" s="11"/>
      <c r="D280" s="14"/>
      <c r="E280" s="14"/>
      <c r="F280" s="14"/>
      <c r="G280" s="13"/>
      <c r="H280" s="13"/>
      <c r="I280" s="30"/>
      <c r="J280" s="14"/>
      <c r="K280" s="14"/>
      <c r="L280" s="14"/>
      <c r="M280" s="14"/>
      <c r="N280" s="14"/>
      <c r="O280" s="14"/>
      <c r="P280" s="14"/>
      <c r="Q280" s="14"/>
      <c r="R280" s="14"/>
    </row>
    <row r="281" ht="15.75" spans="1:18">
      <c r="A281" s="11">
        <v>1</v>
      </c>
      <c r="B281" s="151" t="s">
        <v>224</v>
      </c>
      <c r="C281" s="11"/>
      <c r="D281" s="14">
        <v>500</v>
      </c>
      <c r="E281" s="14">
        <v>12</v>
      </c>
      <c r="F281" s="14">
        <f t="shared" ref="F281:F304" si="10">D281*E281</f>
        <v>6000</v>
      </c>
      <c r="G281" s="30" t="s">
        <v>25</v>
      </c>
      <c r="H281" s="152" t="s">
        <v>896</v>
      </c>
      <c r="I281" s="30" t="s">
        <v>778</v>
      </c>
      <c r="J281" s="152">
        <v>12</v>
      </c>
      <c r="K281" s="71">
        <v>6000</v>
      </c>
      <c r="L281" s="71"/>
      <c r="M281" s="71"/>
      <c r="N281" s="71"/>
      <c r="O281" s="71"/>
      <c r="P281" s="71"/>
      <c r="Q281" s="71"/>
      <c r="R281" s="71"/>
    </row>
    <row r="282" ht="15.75" spans="1:18">
      <c r="A282" s="11">
        <v>2</v>
      </c>
      <c r="B282" s="151" t="s">
        <v>225</v>
      </c>
      <c r="C282" s="11"/>
      <c r="D282" s="14">
        <v>40</v>
      </c>
      <c r="E282" s="14">
        <v>80</v>
      </c>
      <c r="F282" s="14">
        <f t="shared" si="10"/>
        <v>3200</v>
      </c>
      <c r="G282" s="30" t="s">
        <v>25</v>
      </c>
      <c r="H282" s="152" t="s">
        <v>896</v>
      </c>
      <c r="I282" s="30" t="s">
        <v>778</v>
      </c>
      <c r="J282" s="152">
        <v>40</v>
      </c>
      <c r="K282" s="71">
        <v>3200</v>
      </c>
      <c r="L282" s="71"/>
      <c r="M282" s="71"/>
      <c r="N282" s="71"/>
      <c r="O282" s="71"/>
      <c r="P282" s="71"/>
      <c r="Q282" s="71"/>
      <c r="R282" s="71"/>
    </row>
    <row r="283" ht="15.75" spans="1:18">
      <c r="A283" s="11">
        <v>3</v>
      </c>
      <c r="B283" s="151" t="s">
        <v>226</v>
      </c>
      <c r="C283" s="11"/>
      <c r="D283" s="14">
        <v>500</v>
      </c>
      <c r="E283" s="14">
        <v>10</v>
      </c>
      <c r="F283" s="14">
        <f t="shared" si="10"/>
        <v>5000</v>
      </c>
      <c r="G283" s="30" t="s">
        <v>25</v>
      </c>
      <c r="H283" s="152" t="s">
        <v>896</v>
      </c>
      <c r="I283" s="30" t="s">
        <v>778</v>
      </c>
      <c r="J283" s="152">
        <v>500</v>
      </c>
      <c r="K283" s="71">
        <v>5000</v>
      </c>
      <c r="L283" s="71"/>
      <c r="M283" s="71"/>
      <c r="N283" s="71"/>
      <c r="O283" s="71"/>
      <c r="P283" s="71"/>
      <c r="Q283" s="71"/>
      <c r="R283" s="71"/>
    </row>
    <row r="284" ht="15.75" spans="1:18">
      <c r="A284" s="11">
        <v>4</v>
      </c>
      <c r="B284" s="151" t="s">
        <v>227</v>
      </c>
      <c r="C284" s="11"/>
      <c r="D284" s="14">
        <v>80</v>
      </c>
      <c r="E284" s="14">
        <v>174</v>
      </c>
      <c r="F284" s="14">
        <f t="shared" si="10"/>
        <v>13920</v>
      </c>
      <c r="G284" s="30" t="s">
        <v>25</v>
      </c>
      <c r="H284" s="152" t="s">
        <v>896</v>
      </c>
      <c r="I284" s="30" t="s">
        <v>778</v>
      </c>
      <c r="J284" s="152"/>
      <c r="K284" s="71">
        <v>3480</v>
      </c>
      <c r="L284" s="71"/>
      <c r="M284" s="71">
        <v>3480</v>
      </c>
      <c r="N284" s="71"/>
      <c r="O284" s="71">
        <v>3480</v>
      </c>
      <c r="P284" s="71"/>
      <c r="Q284" s="71">
        <v>3480</v>
      </c>
      <c r="R284" s="71"/>
    </row>
    <row r="285" ht="15.75" spans="1:18">
      <c r="A285" s="11">
        <v>5</v>
      </c>
      <c r="B285" s="151" t="s">
        <v>228</v>
      </c>
      <c r="C285" s="11"/>
      <c r="D285" s="14">
        <v>48</v>
      </c>
      <c r="E285" s="14">
        <v>60</v>
      </c>
      <c r="F285" s="14">
        <f t="shared" si="10"/>
        <v>2880</v>
      </c>
      <c r="G285" s="30" t="s">
        <v>25</v>
      </c>
      <c r="H285" s="152" t="s">
        <v>896</v>
      </c>
      <c r="I285" s="30" t="s">
        <v>778</v>
      </c>
      <c r="J285" s="152"/>
      <c r="K285" s="71">
        <v>720</v>
      </c>
      <c r="L285" s="71"/>
      <c r="M285" s="71">
        <v>720</v>
      </c>
      <c r="N285" s="71"/>
      <c r="O285" s="71">
        <v>720</v>
      </c>
      <c r="P285" s="71"/>
      <c r="Q285" s="71">
        <v>720</v>
      </c>
      <c r="R285" s="71"/>
    </row>
    <row r="286" ht="15.75" spans="1:18">
      <c r="A286" s="11">
        <v>6</v>
      </c>
      <c r="B286" s="151" t="s">
        <v>229</v>
      </c>
      <c r="C286" s="11"/>
      <c r="D286" s="14">
        <v>96</v>
      </c>
      <c r="E286" s="14">
        <v>262</v>
      </c>
      <c r="F286" s="14">
        <f t="shared" si="10"/>
        <v>25152</v>
      </c>
      <c r="G286" s="30" t="s">
        <v>25</v>
      </c>
      <c r="H286" s="152" t="s">
        <v>896</v>
      </c>
      <c r="I286" s="30" t="s">
        <v>778</v>
      </c>
      <c r="J286" s="152"/>
      <c r="K286" s="71">
        <v>6288</v>
      </c>
      <c r="L286" s="71"/>
      <c r="M286" s="71">
        <v>6288</v>
      </c>
      <c r="N286" s="71"/>
      <c r="O286" s="71">
        <v>6288</v>
      </c>
      <c r="P286" s="71"/>
      <c r="Q286" s="71">
        <v>6288</v>
      </c>
      <c r="R286" s="71"/>
    </row>
    <row r="287" ht="15.75" spans="1:18">
      <c r="A287" s="11">
        <v>7</v>
      </c>
      <c r="B287" s="151" t="s">
        <v>230</v>
      </c>
      <c r="C287" s="11"/>
      <c r="D287" s="14">
        <v>48</v>
      </c>
      <c r="E287" s="14">
        <v>225</v>
      </c>
      <c r="F287" s="14">
        <f t="shared" si="10"/>
        <v>10800</v>
      </c>
      <c r="G287" s="30" t="s">
        <v>25</v>
      </c>
      <c r="H287" s="152" t="s">
        <v>896</v>
      </c>
      <c r="I287" s="30" t="s">
        <v>778</v>
      </c>
      <c r="J287" s="152"/>
      <c r="K287" s="71">
        <v>2700</v>
      </c>
      <c r="L287" s="71"/>
      <c r="M287" s="71">
        <v>2700</v>
      </c>
      <c r="N287" s="71"/>
      <c r="O287" s="71">
        <v>2700</v>
      </c>
      <c r="P287" s="71"/>
      <c r="Q287" s="71">
        <v>2700</v>
      </c>
      <c r="R287" s="71"/>
    </row>
    <row r="288" ht="15.75" spans="1:18">
      <c r="A288" s="11">
        <v>8</v>
      </c>
      <c r="B288" s="151" t="s">
        <v>231</v>
      </c>
      <c r="C288" s="11"/>
      <c r="D288" s="14">
        <v>40</v>
      </c>
      <c r="E288" s="14">
        <v>331</v>
      </c>
      <c r="F288" s="14">
        <f t="shared" si="10"/>
        <v>13240</v>
      </c>
      <c r="G288" s="30" t="s">
        <v>25</v>
      </c>
      <c r="H288" s="152" t="s">
        <v>896</v>
      </c>
      <c r="I288" s="30" t="s">
        <v>778</v>
      </c>
      <c r="J288" s="152"/>
      <c r="K288" s="71">
        <v>3310</v>
      </c>
      <c r="L288" s="71"/>
      <c r="M288" s="71">
        <v>3310</v>
      </c>
      <c r="N288" s="71"/>
      <c r="O288" s="71">
        <v>3310</v>
      </c>
      <c r="P288" s="71"/>
      <c r="Q288" s="71">
        <v>3310</v>
      </c>
      <c r="R288" s="71"/>
    </row>
    <row r="289" ht="15.75" spans="1:18">
      <c r="A289" s="11">
        <v>9</v>
      </c>
      <c r="B289" s="151" t="s">
        <v>232</v>
      </c>
      <c r="C289" s="11"/>
      <c r="D289" s="14">
        <v>48</v>
      </c>
      <c r="E289" s="14">
        <v>225</v>
      </c>
      <c r="F289" s="14">
        <f t="shared" si="10"/>
        <v>10800</v>
      </c>
      <c r="G289" s="30" t="s">
        <v>25</v>
      </c>
      <c r="H289" s="152" t="s">
        <v>896</v>
      </c>
      <c r="I289" s="30" t="s">
        <v>778</v>
      </c>
      <c r="J289" s="152"/>
      <c r="K289" s="71">
        <v>2700</v>
      </c>
      <c r="L289" s="71"/>
      <c r="M289" s="71">
        <v>2700</v>
      </c>
      <c r="N289" s="71"/>
      <c r="O289" s="71">
        <v>2700</v>
      </c>
      <c r="P289" s="71"/>
      <c r="Q289" s="71">
        <v>2700</v>
      </c>
      <c r="R289" s="71"/>
    </row>
    <row r="290" ht="15.75" spans="1:18">
      <c r="A290" s="11">
        <v>10</v>
      </c>
      <c r="B290" s="151" t="s">
        <v>233</v>
      </c>
      <c r="C290" s="11"/>
      <c r="D290" s="14">
        <v>48</v>
      </c>
      <c r="E290" s="14">
        <v>42</v>
      </c>
      <c r="F290" s="14">
        <f t="shared" si="10"/>
        <v>2016</v>
      </c>
      <c r="G290" s="30" t="s">
        <v>25</v>
      </c>
      <c r="H290" s="152" t="s">
        <v>896</v>
      </c>
      <c r="I290" s="30" t="s">
        <v>778</v>
      </c>
      <c r="J290" s="152"/>
      <c r="K290" s="71">
        <v>504</v>
      </c>
      <c r="L290" s="71"/>
      <c r="M290" s="71">
        <v>504</v>
      </c>
      <c r="N290" s="71"/>
      <c r="O290" s="71">
        <v>504</v>
      </c>
      <c r="P290" s="71"/>
      <c r="Q290" s="71">
        <v>504</v>
      </c>
      <c r="R290" s="71"/>
    </row>
    <row r="291" ht="15.75" spans="1:18">
      <c r="A291" s="11">
        <v>11</v>
      </c>
      <c r="B291" s="151" t="s">
        <v>234</v>
      </c>
      <c r="C291" s="11"/>
      <c r="D291" s="14">
        <v>96</v>
      </c>
      <c r="E291" s="14">
        <v>83</v>
      </c>
      <c r="F291" s="33">
        <f t="shared" si="10"/>
        <v>7968</v>
      </c>
      <c r="G291" s="30" t="s">
        <v>25</v>
      </c>
      <c r="H291" s="152" t="s">
        <v>896</v>
      </c>
      <c r="I291" s="30" t="s">
        <v>778</v>
      </c>
      <c r="J291" s="152"/>
      <c r="K291" s="71">
        <v>1992</v>
      </c>
      <c r="L291" s="71"/>
      <c r="M291" s="71">
        <v>1992</v>
      </c>
      <c r="N291" s="71"/>
      <c r="O291" s="71">
        <v>1992</v>
      </c>
      <c r="P291" s="71"/>
      <c r="Q291" s="71">
        <v>1992</v>
      </c>
      <c r="R291" s="71"/>
    </row>
    <row r="292" ht="15.75" spans="1:18">
      <c r="A292" s="11">
        <v>12</v>
      </c>
      <c r="B292" s="151" t="s">
        <v>235</v>
      </c>
      <c r="C292" s="11"/>
      <c r="D292" s="14">
        <v>48</v>
      </c>
      <c r="E292" s="14">
        <v>60</v>
      </c>
      <c r="F292" s="33">
        <f t="shared" si="10"/>
        <v>2880</v>
      </c>
      <c r="G292" s="30" t="s">
        <v>25</v>
      </c>
      <c r="H292" s="152" t="s">
        <v>896</v>
      </c>
      <c r="I292" s="30" t="s">
        <v>778</v>
      </c>
      <c r="J292" s="152"/>
      <c r="K292" s="71">
        <v>720</v>
      </c>
      <c r="L292" s="71"/>
      <c r="M292" s="71">
        <v>720</v>
      </c>
      <c r="N292" s="71"/>
      <c r="O292" s="71">
        <v>720</v>
      </c>
      <c r="P292" s="71"/>
      <c r="Q292" s="71">
        <v>720</v>
      </c>
      <c r="R292" s="71"/>
    </row>
    <row r="293" ht="15.75" spans="1:18">
      <c r="A293" s="11">
        <v>13</v>
      </c>
      <c r="B293" s="151" t="s">
        <v>236</v>
      </c>
      <c r="C293" s="11"/>
      <c r="D293" s="14">
        <v>120</v>
      </c>
      <c r="E293" s="14">
        <v>40</v>
      </c>
      <c r="F293" s="33">
        <f t="shared" si="10"/>
        <v>4800</v>
      </c>
      <c r="G293" s="30" t="s">
        <v>25</v>
      </c>
      <c r="H293" s="152" t="s">
        <v>896</v>
      </c>
      <c r="I293" s="30" t="s">
        <v>778</v>
      </c>
      <c r="J293" s="152"/>
      <c r="K293" s="71">
        <v>1200</v>
      </c>
      <c r="L293" s="71"/>
      <c r="M293" s="71">
        <v>1200</v>
      </c>
      <c r="N293" s="71"/>
      <c r="O293" s="71">
        <v>1200</v>
      </c>
      <c r="P293" s="71"/>
      <c r="Q293" s="71">
        <v>1200</v>
      </c>
      <c r="R293" s="71"/>
    </row>
    <row r="294" ht="15.75" spans="1:18">
      <c r="A294" s="11">
        <v>14</v>
      </c>
      <c r="B294" s="151" t="s">
        <v>237</v>
      </c>
      <c r="C294" s="11"/>
      <c r="D294" s="14">
        <v>10</v>
      </c>
      <c r="E294" s="14">
        <v>640</v>
      </c>
      <c r="F294" s="33">
        <f t="shared" si="10"/>
        <v>6400</v>
      </c>
      <c r="G294" s="30" t="s">
        <v>25</v>
      </c>
      <c r="H294" s="152" t="s">
        <v>896</v>
      </c>
      <c r="I294" s="30" t="s">
        <v>778</v>
      </c>
      <c r="J294" s="152"/>
      <c r="K294" s="71">
        <v>1600</v>
      </c>
      <c r="L294" s="71"/>
      <c r="M294" s="71">
        <v>1600</v>
      </c>
      <c r="N294" s="71"/>
      <c r="O294" s="71">
        <v>1600</v>
      </c>
      <c r="P294" s="71"/>
      <c r="Q294" s="71">
        <v>1600</v>
      </c>
      <c r="R294" s="71"/>
    </row>
    <row r="295" ht="15.75" spans="1:18">
      <c r="A295" s="11">
        <v>15</v>
      </c>
      <c r="B295" s="151" t="s">
        <v>238</v>
      </c>
      <c r="C295" s="11"/>
      <c r="D295" s="14">
        <v>200</v>
      </c>
      <c r="E295" s="14">
        <v>538</v>
      </c>
      <c r="F295" s="14">
        <f t="shared" si="10"/>
        <v>107600</v>
      </c>
      <c r="G295" s="30" t="s">
        <v>25</v>
      </c>
      <c r="H295" s="152" t="s">
        <v>896</v>
      </c>
      <c r="I295" s="30" t="s">
        <v>778</v>
      </c>
      <c r="J295" s="152"/>
      <c r="K295" s="71">
        <v>26900</v>
      </c>
      <c r="L295" s="71"/>
      <c r="M295" s="71">
        <v>26900</v>
      </c>
      <c r="N295" s="71"/>
      <c r="O295" s="71">
        <v>26900</v>
      </c>
      <c r="P295" s="71"/>
      <c r="Q295" s="71">
        <v>26900</v>
      </c>
      <c r="R295" s="71"/>
    </row>
    <row r="296" ht="15.75" spans="1:18">
      <c r="A296" s="11">
        <v>16</v>
      </c>
      <c r="B296" s="151" t="s">
        <v>239</v>
      </c>
      <c r="C296" s="11"/>
      <c r="D296" s="14">
        <v>96</v>
      </c>
      <c r="E296" s="14">
        <v>36</v>
      </c>
      <c r="F296" s="33">
        <f t="shared" si="10"/>
        <v>3456</v>
      </c>
      <c r="G296" s="30" t="s">
        <v>25</v>
      </c>
      <c r="H296" s="152" t="s">
        <v>896</v>
      </c>
      <c r="I296" s="30" t="s">
        <v>778</v>
      </c>
      <c r="J296" s="152"/>
      <c r="K296" s="71">
        <v>864</v>
      </c>
      <c r="L296" s="71"/>
      <c r="M296" s="71">
        <v>864</v>
      </c>
      <c r="N296" s="71"/>
      <c r="O296" s="71">
        <v>864</v>
      </c>
      <c r="P296" s="71"/>
      <c r="Q296" s="71">
        <v>864</v>
      </c>
      <c r="R296" s="71"/>
    </row>
    <row r="297" ht="15.75" spans="1:18">
      <c r="A297" s="11">
        <v>17</v>
      </c>
      <c r="B297" s="151" t="s">
        <v>240</v>
      </c>
      <c r="C297" s="11"/>
      <c r="D297" s="14">
        <v>480</v>
      </c>
      <c r="E297" s="14">
        <v>89</v>
      </c>
      <c r="F297" s="33">
        <f t="shared" si="10"/>
        <v>42720</v>
      </c>
      <c r="G297" s="30" t="s">
        <v>25</v>
      </c>
      <c r="H297" s="152" t="s">
        <v>896</v>
      </c>
      <c r="I297" s="30" t="s">
        <v>778</v>
      </c>
      <c r="J297" s="152"/>
      <c r="K297" s="71">
        <v>10680</v>
      </c>
      <c r="L297" s="71"/>
      <c r="M297" s="71">
        <v>10680</v>
      </c>
      <c r="N297" s="71"/>
      <c r="O297" s="71">
        <v>10680</v>
      </c>
      <c r="P297" s="71"/>
      <c r="Q297" s="71">
        <v>10680</v>
      </c>
      <c r="R297" s="71"/>
    </row>
    <row r="298" ht="15.75" spans="1:18">
      <c r="A298" s="11">
        <v>18</v>
      </c>
      <c r="B298" s="151" t="s">
        <v>241</v>
      </c>
      <c r="C298" s="11"/>
      <c r="D298" s="14">
        <v>96</v>
      </c>
      <c r="E298" s="14">
        <v>36</v>
      </c>
      <c r="F298" s="33">
        <f t="shared" si="10"/>
        <v>3456</v>
      </c>
      <c r="G298" s="30" t="s">
        <v>25</v>
      </c>
      <c r="H298" s="152" t="s">
        <v>896</v>
      </c>
      <c r="I298" s="30" t="s">
        <v>778</v>
      </c>
      <c r="J298" s="152"/>
      <c r="K298" s="71">
        <v>864</v>
      </c>
      <c r="L298" s="71"/>
      <c r="M298" s="71">
        <v>864</v>
      </c>
      <c r="N298" s="71"/>
      <c r="O298" s="71">
        <v>864</v>
      </c>
      <c r="P298" s="71"/>
      <c r="Q298" s="71">
        <v>864</v>
      </c>
      <c r="R298" s="71"/>
    </row>
    <row r="299" ht="15.75" spans="1:18">
      <c r="A299" s="11">
        <v>19</v>
      </c>
      <c r="B299" s="28" t="s">
        <v>242</v>
      </c>
      <c r="C299" s="11"/>
      <c r="D299" s="14">
        <v>4</v>
      </c>
      <c r="E299" s="14">
        <v>960</v>
      </c>
      <c r="F299" s="33">
        <f t="shared" si="10"/>
        <v>3840</v>
      </c>
      <c r="G299" s="30" t="s">
        <v>25</v>
      </c>
      <c r="H299" s="152" t="s">
        <v>896</v>
      </c>
      <c r="I299" s="30" t="s">
        <v>778</v>
      </c>
      <c r="J299" s="152">
        <v>1</v>
      </c>
      <c r="K299" s="71">
        <v>960</v>
      </c>
      <c r="L299" s="71">
        <v>1</v>
      </c>
      <c r="M299" s="71">
        <v>960</v>
      </c>
      <c r="N299" s="71">
        <v>1</v>
      </c>
      <c r="O299" s="71">
        <v>960</v>
      </c>
      <c r="P299" s="71">
        <v>1</v>
      </c>
      <c r="Q299" s="71">
        <v>960</v>
      </c>
      <c r="R299" s="71"/>
    </row>
    <row r="300" ht="15.75" spans="1:18">
      <c r="A300" s="11">
        <v>20</v>
      </c>
      <c r="B300" s="32" t="s">
        <v>256</v>
      </c>
      <c r="C300" s="11"/>
      <c r="D300" s="37">
        <v>150</v>
      </c>
      <c r="E300" s="153">
        <v>180</v>
      </c>
      <c r="F300" s="153">
        <f t="shared" si="10"/>
        <v>27000</v>
      </c>
      <c r="G300" s="13" t="s">
        <v>42</v>
      </c>
      <c r="H300" s="152" t="s">
        <v>896</v>
      </c>
      <c r="I300" s="30" t="s">
        <v>778</v>
      </c>
      <c r="J300" s="152">
        <v>150</v>
      </c>
      <c r="K300" s="77">
        <v>27000</v>
      </c>
      <c r="L300" s="71"/>
      <c r="M300" s="71"/>
      <c r="N300" s="71"/>
      <c r="O300" s="71"/>
      <c r="P300" s="71"/>
      <c r="Q300" s="71"/>
      <c r="R300" s="71"/>
    </row>
    <row r="301" ht="15.75" spans="1:18">
      <c r="A301" s="11">
        <v>21</v>
      </c>
      <c r="B301" s="32" t="s">
        <v>257</v>
      </c>
      <c r="C301" s="11"/>
      <c r="D301" s="37">
        <v>6</v>
      </c>
      <c r="E301" s="33">
        <v>450</v>
      </c>
      <c r="F301" s="119">
        <f t="shared" si="10"/>
        <v>2700</v>
      </c>
      <c r="G301" s="13" t="s">
        <v>42</v>
      </c>
      <c r="H301" s="152" t="s">
        <v>896</v>
      </c>
      <c r="I301" s="30" t="s">
        <v>778</v>
      </c>
      <c r="J301" s="152">
        <v>6</v>
      </c>
      <c r="K301" s="71">
        <v>2700</v>
      </c>
      <c r="L301" s="71"/>
      <c r="M301" s="71"/>
      <c r="N301" s="71"/>
      <c r="O301" s="71"/>
      <c r="P301" s="71"/>
      <c r="Q301" s="71"/>
      <c r="R301" s="71"/>
    </row>
    <row r="302" ht="15.75" spans="1:18">
      <c r="A302" s="11">
        <v>22</v>
      </c>
      <c r="B302" s="32" t="s">
        <v>258</v>
      </c>
      <c r="C302" s="11"/>
      <c r="D302" s="37">
        <v>300</v>
      </c>
      <c r="E302" s="150">
        <v>20</v>
      </c>
      <c r="F302" s="150">
        <f t="shared" si="10"/>
        <v>6000</v>
      </c>
      <c r="G302" s="13" t="s">
        <v>42</v>
      </c>
      <c r="H302" s="152" t="s">
        <v>896</v>
      </c>
      <c r="I302" s="30" t="s">
        <v>778</v>
      </c>
      <c r="J302" s="152">
        <v>300</v>
      </c>
      <c r="K302" s="73">
        <v>6000</v>
      </c>
      <c r="L302" s="71"/>
      <c r="M302" s="71"/>
      <c r="N302" s="71"/>
      <c r="O302" s="71"/>
      <c r="P302" s="71"/>
      <c r="Q302" s="71"/>
      <c r="R302" s="71"/>
    </row>
    <row r="303" ht="15.75" spans="1:18">
      <c r="A303" s="11">
        <v>23</v>
      </c>
      <c r="B303" s="32" t="s">
        <v>259</v>
      </c>
      <c r="C303" s="11"/>
      <c r="D303" s="127">
        <v>300</v>
      </c>
      <c r="E303" s="150">
        <v>10</v>
      </c>
      <c r="F303" s="150">
        <f t="shared" si="10"/>
        <v>3000</v>
      </c>
      <c r="G303" s="13" t="s">
        <v>42</v>
      </c>
      <c r="H303" s="152" t="s">
        <v>896</v>
      </c>
      <c r="I303" s="30" t="s">
        <v>778</v>
      </c>
      <c r="J303" s="152">
        <v>300</v>
      </c>
      <c r="K303" s="73">
        <v>3000</v>
      </c>
      <c r="L303" s="71"/>
      <c r="M303" s="71"/>
      <c r="N303" s="71"/>
      <c r="O303" s="71"/>
      <c r="P303" s="71"/>
      <c r="Q303" s="71"/>
      <c r="R303" s="71"/>
    </row>
    <row r="304" ht="15.75" spans="1:18">
      <c r="A304" s="11">
        <v>24</v>
      </c>
      <c r="B304" s="32" t="s">
        <v>260</v>
      </c>
      <c r="C304" s="11"/>
      <c r="D304" s="37">
        <v>2</v>
      </c>
      <c r="E304" s="14">
        <v>3000</v>
      </c>
      <c r="F304" s="119">
        <f t="shared" si="10"/>
        <v>6000</v>
      </c>
      <c r="G304" s="13" t="s">
        <v>42</v>
      </c>
      <c r="H304" s="152" t="s">
        <v>896</v>
      </c>
      <c r="I304" s="30" t="s">
        <v>778</v>
      </c>
      <c r="J304" s="152">
        <v>2</v>
      </c>
      <c r="K304" s="14">
        <v>6000</v>
      </c>
      <c r="L304" s="71"/>
      <c r="M304" s="71"/>
      <c r="N304" s="71"/>
      <c r="O304" s="71"/>
      <c r="P304" s="71"/>
      <c r="Q304" s="71"/>
      <c r="R304" s="71"/>
    </row>
    <row r="305" ht="15.75" spans="1:18">
      <c r="A305" s="11">
        <v>25</v>
      </c>
      <c r="B305" s="38" t="s">
        <v>936</v>
      </c>
      <c r="C305" s="38" t="s">
        <v>932</v>
      </c>
      <c r="D305" s="14">
        <v>4</v>
      </c>
      <c r="E305" s="119">
        <v>20000</v>
      </c>
      <c r="F305" s="75">
        <f>E305*D305</f>
        <v>80000</v>
      </c>
      <c r="G305" s="39" t="s">
        <v>813</v>
      </c>
      <c r="H305" s="38"/>
      <c r="I305" s="38" t="s">
        <v>933</v>
      </c>
      <c r="J305" s="74">
        <v>1</v>
      </c>
      <c r="K305" s="75">
        <f>E305*J305</f>
        <v>20000</v>
      </c>
      <c r="L305" s="14">
        <v>1</v>
      </c>
      <c r="M305" s="75">
        <f>E305*L305</f>
        <v>20000</v>
      </c>
      <c r="N305" s="14">
        <v>1</v>
      </c>
      <c r="O305" s="75">
        <f>E305*N305</f>
        <v>20000</v>
      </c>
      <c r="P305" s="14">
        <v>1</v>
      </c>
      <c r="Q305" s="75">
        <f>E305*P305</f>
        <v>20000</v>
      </c>
      <c r="R305" s="71"/>
    </row>
    <row r="306" ht="15.75" spans="1:18">
      <c r="A306" s="11">
        <v>26</v>
      </c>
      <c r="B306" s="41" t="s">
        <v>238</v>
      </c>
      <c r="C306" s="41" t="s">
        <v>937</v>
      </c>
      <c r="D306" s="42">
        <v>6</v>
      </c>
      <c r="E306" s="134">
        <v>535</v>
      </c>
      <c r="F306" s="135">
        <v>3210</v>
      </c>
      <c r="G306" s="31" t="s">
        <v>37</v>
      </c>
      <c r="H306" s="41" t="s">
        <v>729</v>
      </c>
      <c r="I306" s="41" t="s">
        <v>778</v>
      </c>
      <c r="J306" s="76">
        <v>1</v>
      </c>
      <c r="K306" s="72">
        <v>535</v>
      </c>
      <c r="L306" s="42">
        <v>2</v>
      </c>
      <c r="M306" s="72">
        <v>1070</v>
      </c>
      <c r="N306" s="42">
        <v>2</v>
      </c>
      <c r="O306" s="72">
        <v>1070</v>
      </c>
      <c r="P306" s="42">
        <v>1</v>
      </c>
      <c r="Q306" s="72">
        <v>535</v>
      </c>
      <c r="R306" s="71"/>
    </row>
    <row r="307" ht="15.75" spans="1:18">
      <c r="A307" s="11">
        <v>27</v>
      </c>
      <c r="B307" s="41" t="s">
        <v>938</v>
      </c>
      <c r="C307" s="41" t="s">
        <v>799</v>
      </c>
      <c r="D307" s="94">
        <v>6</v>
      </c>
      <c r="E307" s="134">
        <v>250</v>
      </c>
      <c r="F307" s="135">
        <v>1500</v>
      </c>
      <c r="G307" s="31" t="s">
        <v>37</v>
      </c>
      <c r="H307" s="41" t="s">
        <v>729</v>
      </c>
      <c r="I307" s="41" t="s">
        <v>778</v>
      </c>
      <c r="J307" s="76">
        <v>3</v>
      </c>
      <c r="K307" s="72">
        <v>750</v>
      </c>
      <c r="L307" s="42"/>
      <c r="M307" s="72"/>
      <c r="N307" s="42">
        <v>3</v>
      </c>
      <c r="O307" s="72">
        <v>750</v>
      </c>
      <c r="P307" s="42"/>
      <c r="Q307" s="72"/>
      <c r="R307" s="71"/>
    </row>
    <row r="308" ht="15.75" spans="1:18">
      <c r="A308" s="11">
        <v>28</v>
      </c>
      <c r="B308" s="41" t="s">
        <v>939</v>
      </c>
      <c r="C308" s="41" t="s">
        <v>940</v>
      </c>
      <c r="D308" s="94">
        <v>4</v>
      </c>
      <c r="E308" s="134">
        <v>500</v>
      </c>
      <c r="F308" s="135">
        <v>2000</v>
      </c>
      <c r="G308" s="31" t="s">
        <v>37</v>
      </c>
      <c r="H308" s="41" t="s">
        <v>729</v>
      </c>
      <c r="I308" s="41" t="s">
        <v>778</v>
      </c>
      <c r="J308" s="76">
        <v>1</v>
      </c>
      <c r="K308" s="72">
        <v>500</v>
      </c>
      <c r="L308" s="42">
        <v>1</v>
      </c>
      <c r="M308" s="72">
        <v>500</v>
      </c>
      <c r="N308" s="42">
        <v>1</v>
      </c>
      <c r="O308" s="72">
        <v>500</v>
      </c>
      <c r="P308" s="42">
        <v>1</v>
      </c>
      <c r="Q308" s="72">
        <v>500</v>
      </c>
      <c r="R308" s="71"/>
    </row>
    <row r="309" ht="15.75" spans="1:18">
      <c r="A309" s="11">
        <v>29</v>
      </c>
      <c r="B309" s="41" t="s">
        <v>941</v>
      </c>
      <c r="C309" s="41" t="s">
        <v>799</v>
      </c>
      <c r="D309" s="94">
        <v>2</v>
      </c>
      <c r="E309" s="134">
        <v>330</v>
      </c>
      <c r="F309" s="135">
        <v>660</v>
      </c>
      <c r="G309" s="31" t="s">
        <v>37</v>
      </c>
      <c r="H309" s="41" t="s">
        <v>729</v>
      </c>
      <c r="I309" s="41" t="s">
        <v>778</v>
      </c>
      <c r="J309" s="76">
        <v>1</v>
      </c>
      <c r="K309" s="72">
        <v>330</v>
      </c>
      <c r="L309" s="42"/>
      <c r="M309" s="72"/>
      <c r="N309" s="42">
        <v>1</v>
      </c>
      <c r="O309" s="72">
        <v>330</v>
      </c>
      <c r="P309" s="42"/>
      <c r="Q309" s="72"/>
      <c r="R309" s="71"/>
    </row>
    <row r="310" ht="15.75" spans="1:18">
      <c r="A310" s="11">
        <v>30</v>
      </c>
      <c r="B310" s="41" t="s">
        <v>942</v>
      </c>
      <c r="C310" s="41" t="s">
        <v>940</v>
      </c>
      <c r="D310" s="94">
        <v>4</v>
      </c>
      <c r="E310" s="134">
        <v>350</v>
      </c>
      <c r="F310" s="135">
        <v>1400</v>
      </c>
      <c r="G310" s="31" t="s">
        <v>37</v>
      </c>
      <c r="H310" s="41" t="s">
        <v>729</v>
      </c>
      <c r="I310" s="41" t="s">
        <v>778</v>
      </c>
      <c r="J310" s="76">
        <v>1</v>
      </c>
      <c r="K310" s="72">
        <v>350</v>
      </c>
      <c r="L310" s="42">
        <v>1</v>
      </c>
      <c r="M310" s="72">
        <v>350</v>
      </c>
      <c r="N310" s="42">
        <v>1</v>
      </c>
      <c r="O310" s="72">
        <v>350</v>
      </c>
      <c r="P310" s="42">
        <v>1</v>
      </c>
      <c r="Q310" s="72">
        <v>350</v>
      </c>
      <c r="R310" s="71"/>
    </row>
    <row r="311" ht="15.75" spans="1:18">
      <c r="A311" s="11">
        <v>31</v>
      </c>
      <c r="B311" s="41" t="s">
        <v>943</v>
      </c>
      <c r="C311" s="41" t="s">
        <v>799</v>
      </c>
      <c r="D311" s="94">
        <v>6</v>
      </c>
      <c r="E311" s="134">
        <v>175</v>
      </c>
      <c r="F311" s="135">
        <v>1050</v>
      </c>
      <c r="G311" s="31" t="s">
        <v>37</v>
      </c>
      <c r="H311" s="41" t="s">
        <v>729</v>
      </c>
      <c r="I311" s="41" t="s">
        <v>778</v>
      </c>
      <c r="J311" s="76">
        <v>2</v>
      </c>
      <c r="K311" s="72">
        <v>350</v>
      </c>
      <c r="L311" s="42">
        <v>2</v>
      </c>
      <c r="M311" s="72">
        <v>350</v>
      </c>
      <c r="N311" s="42">
        <v>2</v>
      </c>
      <c r="O311" s="72">
        <v>350</v>
      </c>
      <c r="P311" s="42"/>
      <c r="Q311" s="72"/>
      <c r="R311" s="71"/>
    </row>
    <row r="312" ht="15.75" spans="1:18">
      <c r="A312" s="11">
        <v>32</v>
      </c>
      <c r="B312" s="41" t="s">
        <v>944</v>
      </c>
      <c r="C312" s="41" t="s">
        <v>799</v>
      </c>
      <c r="D312" s="94">
        <v>6</v>
      </c>
      <c r="E312" s="134">
        <v>70</v>
      </c>
      <c r="F312" s="135">
        <v>420</v>
      </c>
      <c r="G312" s="31" t="s">
        <v>37</v>
      </c>
      <c r="H312" s="41" t="s">
        <v>729</v>
      </c>
      <c r="I312" s="41" t="s">
        <v>778</v>
      </c>
      <c r="J312" s="76">
        <v>2</v>
      </c>
      <c r="K312" s="72">
        <v>140</v>
      </c>
      <c r="L312" s="42">
        <v>2</v>
      </c>
      <c r="M312" s="72">
        <v>140</v>
      </c>
      <c r="N312" s="42">
        <v>2</v>
      </c>
      <c r="O312" s="72">
        <v>140</v>
      </c>
      <c r="P312" s="42"/>
      <c r="Q312" s="72"/>
      <c r="R312" s="71"/>
    </row>
    <row r="313" ht="15.75" spans="1:18">
      <c r="A313" s="11">
        <v>33</v>
      </c>
      <c r="B313" s="41" t="s">
        <v>945</v>
      </c>
      <c r="C313" s="41" t="s">
        <v>940</v>
      </c>
      <c r="D313" s="94">
        <v>2</v>
      </c>
      <c r="E313" s="134">
        <v>350</v>
      </c>
      <c r="F313" s="135">
        <v>700</v>
      </c>
      <c r="G313" s="31" t="s">
        <v>37</v>
      </c>
      <c r="H313" s="41" t="s">
        <v>729</v>
      </c>
      <c r="I313" s="41" t="s">
        <v>778</v>
      </c>
      <c r="J313" s="76">
        <v>1</v>
      </c>
      <c r="K313" s="72">
        <v>350</v>
      </c>
      <c r="L313" s="42"/>
      <c r="M313" s="72"/>
      <c r="N313" s="42">
        <v>1</v>
      </c>
      <c r="O313" s="72">
        <v>350</v>
      </c>
      <c r="P313" s="42"/>
      <c r="Q313" s="72"/>
      <c r="R313" s="71"/>
    </row>
    <row r="314" ht="15.75" spans="1:18">
      <c r="A314" s="57">
        <v>34</v>
      </c>
      <c r="B314" s="58" t="s">
        <v>946</v>
      </c>
      <c r="C314" s="92" t="s">
        <v>947</v>
      </c>
      <c r="D314" s="60">
        <v>8</v>
      </c>
      <c r="E314" s="154">
        <v>2500</v>
      </c>
      <c r="F314" s="132">
        <f t="shared" ref="F314:F357" si="11">D314*E314</f>
        <v>20000</v>
      </c>
      <c r="G314" s="39" t="s">
        <v>822</v>
      </c>
      <c r="H314" s="92" t="s">
        <v>729</v>
      </c>
      <c r="I314" s="38" t="s">
        <v>948</v>
      </c>
      <c r="J314" s="14">
        <v>2</v>
      </c>
      <c r="K314" s="14">
        <v>5000</v>
      </c>
      <c r="L314" s="14">
        <v>2</v>
      </c>
      <c r="M314" s="14">
        <v>5000</v>
      </c>
      <c r="N314" s="14">
        <v>2</v>
      </c>
      <c r="O314" s="14">
        <v>5000</v>
      </c>
      <c r="P314" s="14">
        <v>2</v>
      </c>
      <c r="Q314" s="14">
        <v>5000</v>
      </c>
      <c r="R314" s="14"/>
    </row>
    <row r="315" ht="15.75" spans="1:18">
      <c r="A315" s="57">
        <v>35</v>
      </c>
      <c r="B315" s="58" t="s">
        <v>949</v>
      </c>
      <c r="C315" s="92" t="s">
        <v>950</v>
      </c>
      <c r="D315" s="60">
        <v>4</v>
      </c>
      <c r="E315" s="154">
        <v>2000</v>
      </c>
      <c r="F315" s="132">
        <f t="shared" si="11"/>
        <v>8000</v>
      </c>
      <c r="G315" s="39" t="s">
        <v>822</v>
      </c>
      <c r="H315" s="92" t="s">
        <v>729</v>
      </c>
      <c r="I315" s="38" t="s">
        <v>948</v>
      </c>
      <c r="J315" s="14">
        <v>4</v>
      </c>
      <c r="K315" s="14">
        <v>8000</v>
      </c>
      <c r="L315" s="14"/>
      <c r="M315" s="14"/>
      <c r="N315" s="14"/>
      <c r="O315" s="14"/>
      <c r="P315" s="14"/>
      <c r="Q315" s="14"/>
      <c r="R315" s="14"/>
    </row>
    <row r="316" ht="15.75" spans="1:18">
      <c r="A316" s="57">
        <v>36</v>
      </c>
      <c r="B316" s="58" t="s">
        <v>945</v>
      </c>
      <c r="C316" s="92" t="s">
        <v>950</v>
      </c>
      <c r="D316" s="60">
        <v>2</v>
      </c>
      <c r="E316" s="154">
        <v>700</v>
      </c>
      <c r="F316" s="132">
        <f t="shared" si="11"/>
        <v>1400</v>
      </c>
      <c r="G316" s="39" t="s">
        <v>822</v>
      </c>
      <c r="H316" s="92" t="s">
        <v>729</v>
      </c>
      <c r="I316" s="38" t="s">
        <v>948</v>
      </c>
      <c r="J316" s="14">
        <v>2</v>
      </c>
      <c r="K316" s="14">
        <v>1400</v>
      </c>
      <c r="L316" s="14"/>
      <c r="M316" s="14"/>
      <c r="N316" s="14"/>
      <c r="O316" s="14"/>
      <c r="P316" s="14"/>
      <c r="Q316" s="14"/>
      <c r="R316" s="14"/>
    </row>
    <row r="317" ht="15.75" spans="1:18">
      <c r="A317" s="57">
        <v>37</v>
      </c>
      <c r="B317" s="58" t="s">
        <v>951</v>
      </c>
      <c r="C317" s="92" t="s">
        <v>952</v>
      </c>
      <c r="D317" s="60">
        <v>2</v>
      </c>
      <c r="E317" s="154">
        <v>800</v>
      </c>
      <c r="F317" s="132">
        <f t="shared" si="11"/>
        <v>1600</v>
      </c>
      <c r="G317" s="39" t="s">
        <v>822</v>
      </c>
      <c r="H317" s="92" t="s">
        <v>729</v>
      </c>
      <c r="I317" s="38" t="s">
        <v>948</v>
      </c>
      <c r="J317" s="14">
        <v>1</v>
      </c>
      <c r="K317" s="14">
        <v>800</v>
      </c>
      <c r="L317" s="14">
        <v>1</v>
      </c>
      <c r="M317" s="14">
        <v>800</v>
      </c>
      <c r="N317" s="14"/>
      <c r="O317" s="14"/>
      <c r="P317" s="14"/>
      <c r="Q317" s="14"/>
      <c r="R317" s="14"/>
    </row>
    <row r="318" ht="15.75" spans="1:18">
      <c r="A318" s="57">
        <v>38</v>
      </c>
      <c r="B318" s="58" t="s">
        <v>953</v>
      </c>
      <c r="C318" s="92" t="s">
        <v>952</v>
      </c>
      <c r="D318" s="60">
        <v>2</v>
      </c>
      <c r="E318" s="154">
        <v>800</v>
      </c>
      <c r="F318" s="132">
        <f t="shared" si="11"/>
        <v>1600</v>
      </c>
      <c r="G318" s="39" t="s">
        <v>822</v>
      </c>
      <c r="H318" s="92" t="s">
        <v>729</v>
      </c>
      <c r="I318" s="38" t="s">
        <v>948</v>
      </c>
      <c r="J318" s="14"/>
      <c r="K318" s="14"/>
      <c r="L318" s="14">
        <v>2</v>
      </c>
      <c r="M318" s="14">
        <v>1600</v>
      </c>
      <c r="N318" s="14"/>
      <c r="O318" s="14"/>
      <c r="P318" s="14"/>
      <c r="Q318" s="14"/>
      <c r="R318" s="14"/>
    </row>
    <row r="319" ht="15.75" spans="1:18">
      <c r="A319" s="57">
        <v>39</v>
      </c>
      <c r="B319" s="58" t="s">
        <v>941</v>
      </c>
      <c r="C319" s="92" t="s">
        <v>825</v>
      </c>
      <c r="D319" s="60">
        <v>3</v>
      </c>
      <c r="E319" s="154">
        <v>1000</v>
      </c>
      <c r="F319" s="132">
        <f t="shared" si="11"/>
        <v>3000</v>
      </c>
      <c r="G319" s="39" t="s">
        <v>822</v>
      </c>
      <c r="H319" s="92" t="s">
        <v>729</v>
      </c>
      <c r="I319" s="38" t="s">
        <v>948</v>
      </c>
      <c r="J319" s="14"/>
      <c r="K319" s="14"/>
      <c r="L319" s="14">
        <v>3</v>
      </c>
      <c r="M319" s="14">
        <v>3000</v>
      </c>
      <c r="N319" s="14"/>
      <c r="O319" s="14"/>
      <c r="P319" s="14"/>
      <c r="Q319" s="14"/>
      <c r="R319" s="14"/>
    </row>
    <row r="320" ht="15.75" spans="1:18">
      <c r="A320" s="57">
        <v>41</v>
      </c>
      <c r="B320" s="58" t="s">
        <v>954</v>
      </c>
      <c r="C320" s="92" t="s">
        <v>825</v>
      </c>
      <c r="D320" s="60">
        <v>3</v>
      </c>
      <c r="E320" s="154">
        <v>1500</v>
      </c>
      <c r="F320" s="132">
        <f t="shared" si="11"/>
        <v>4500</v>
      </c>
      <c r="G320" s="39" t="s">
        <v>822</v>
      </c>
      <c r="H320" s="92" t="s">
        <v>729</v>
      </c>
      <c r="I320" s="38" t="s">
        <v>948</v>
      </c>
      <c r="J320" s="14"/>
      <c r="K320" s="14"/>
      <c r="L320" s="14">
        <v>3</v>
      </c>
      <c r="M320" s="14">
        <v>4500</v>
      </c>
      <c r="N320" s="14"/>
      <c r="O320" s="14"/>
      <c r="P320" s="14"/>
      <c r="Q320" s="14"/>
      <c r="R320" s="14"/>
    </row>
    <row r="321" ht="15.75" spans="1:18">
      <c r="A321" s="57">
        <v>42</v>
      </c>
      <c r="B321" s="58" t="s">
        <v>955</v>
      </c>
      <c r="C321" s="92" t="s">
        <v>952</v>
      </c>
      <c r="D321" s="60">
        <v>2</v>
      </c>
      <c r="E321" s="154">
        <v>2500</v>
      </c>
      <c r="F321" s="132">
        <f t="shared" si="11"/>
        <v>5000</v>
      </c>
      <c r="G321" s="39" t="s">
        <v>822</v>
      </c>
      <c r="H321" s="92" t="s">
        <v>729</v>
      </c>
      <c r="I321" s="38" t="s">
        <v>948</v>
      </c>
      <c r="J321" s="14"/>
      <c r="K321" s="14"/>
      <c r="L321" s="14">
        <v>2</v>
      </c>
      <c r="M321" s="14">
        <v>5000</v>
      </c>
      <c r="N321" s="14"/>
      <c r="O321" s="14"/>
      <c r="P321" s="14"/>
      <c r="Q321" s="14"/>
      <c r="R321" s="14"/>
    </row>
    <row r="322" ht="15.75" spans="1:18">
      <c r="A322" s="57">
        <v>43</v>
      </c>
      <c r="B322" s="58" t="s">
        <v>956</v>
      </c>
      <c r="C322" s="92" t="s">
        <v>952</v>
      </c>
      <c r="D322" s="60">
        <v>2</v>
      </c>
      <c r="E322" s="154">
        <v>3000</v>
      </c>
      <c r="F322" s="132">
        <f t="shared" si="11"/>
        <v>6000</v>
      </c>
      <c r="G322" s="39" t="s">
        <v>822</v>
      </c>
      <c r="H322" s="92" t="s">
        <v>729</v>
      </c>
      <c r="I322" s="38" t="s">
        <v>948</v>
      </c>
      <c r="J322" s="14"/>
      <c r="K322" s="14"/>
      <c r="L322" s="14">
        <v>2</v>
      </c>
      <c r="M322" s="14">
        <v>6000</v>
      </c>
      <c r="N322" s="14"/>
      <c r="O322" s="14"/>
      <c r="P322" s="14"/>
      <c r="Q322" s="14"/>
      <c r="R322" s="14"/>
    </row>
    <row r="323" ht="15.75" spans="1:18">
      <c r="A323" s="57">
        <v>44</v>
      </c>
      <c r="B323" s="58" t="s">
        <v>942</v>
      </c>
      <c r="C323" s="92" t="s">
        <v>940</v>
      </c>
      <c r="D323" s="60">
        <v>5</v>
      </c>
      <c r="E323" s="154">
        <v>800</v>
      </c>
      <c r="F323" s="132">
        <f t="shared" si="11"/>
        <v>4000</v>
      </c>
      <c r="G323" s="39" t="s">
        <v>822</v>
      </c>
      <c r="H323" s="92" t="s">
        <v>729</v>
      </c>
      <c r="I323" s="38" t="s">
        <v>948</v>
      </c>
      <c r="J323" s="14">
        <v>5</v>
      </c>
      <c r="K323" s="14">
        <v>4000</v>
      </c>
      <c r="L323" s="14"/>
      <c r="M323" s="14"/>
      <c r="N323" s="14"/>
      <c r="O323" s="14"/>
      <c r="P323" s="14"/>
      <c r="Q323" s="14"/>
      <c r="R323" s="14"/>
    </row>
    <row r="324" ht="15.75" spans="1:18">
      <c r="A324" s="57">
        <v>45</v>
      </c>
      <c r="B324" s="58" t="s">
        <v>957</v>
      </c>
      <c r="C324" s="92" t="s">
        <v>825</v>
      </c>
      <c r="D324" s="60">
        <v>10</v>
      </c>
      <c r="E324" s="154">
        <v>600</v>
      </c>
      <c r="F324" s="132">
        <f t="shared" si="11"/>
        <v>6000</v>
      </c>
      <c r="G324" s="39" t="s">
        <v>822</v>
      </c>
      <c r="H324" s="92" t="s">
        <v>729</v>
      </c>
      <c r="I324" s="38" t="s">
        <v>948</v>
      </c>
      <c r="J324" s="14">
        <v>10</v>
      </c>
      <c r="K324" s="14">
        <v>6000</v>
      </c>
      <c r="L324" s="14"/>
      <c r="M324" s="14"/>
      <c r="N324" s="14"/>
      <c r="O324" s="14"/>
      <c r="P324" s="14"/>
      <c r="Q324" s="14"/>
      <c r="R324" s="14"/>
    </row>
    <row r="325" ht="15.75" spans="1:18">
      <c r="A325" s="57">
        <v>46</v>
      </c>
      <c r="B325" s="58" t="s">
        <v>958</v>
      </c>
      <c r="C325" s="92" t="s">
        <v>825</v>
      </c>
      <c r="D325" s="60">
        <v>4</v>
      </c>
      <c r="E325" s="154">
        <v>15000</v>
      </c>
      <c r="F325" s="132">
        <f t="shared" si="11"/>
        <v>60000</v>
      </c>
      <c r="G325" s="39" t="s">
        <v>822</v>
      </c>
      <c r="H325" s="92" t="s">
        <v>729</v>
      </c>
      <c r="I325" s="38" t="s">
        <v>948</v>
      </c>
      <c r="J325" s="14">
        <v>1</v>
      </c>
      <c r="K325" s="14">
        <v>15000</v>
      </c>
      <c r="L325" s="14">
        <v>1</v>
      </c>
      <c r="M325" s="14">
        <v>15000</v>
      </c>
      <c r="N325" s="14">
        <v>1</v>
      </c>
      <c r="O325" s="14">
        <v>15000</v>
      </c>
      <c r="P325" s="14">
        <v>1</v>
      </c>
      <c r="Q325" s="14">
        <v>15000</v>
      </c>
      <c r="R325" s="14"/>
    </row>
    <row r="326" ht="15.75" spans="1:18">
      <c r="A326" s="57">
        <v>47</v>
      </c>
      <c r="B326" s="58" t="s">
        <v>959</v>
      </c>
      <c r="C326" s="92" t="s">
        <v>952</v>
      </c>
      <c r="D326" s="60">
        <v>1</v>
      </c>
      <c r="E326" s="154">
        <v>1500</v>
      </c>
      <c r="F326" s="132">
        <f t="shared" si="11"/>
        <v>1500</v>
      </c>
      <c r="G326" s="39" t="s">
        <v>822</v>
      </c>
      <c r="H326" s="92" t="s">
        <v>729</v>
      </c>
      <c r="I326" s="38" t="s">
        <v>948</v>
      </c>
      <c r="J326" s="14">
        <v>1</v>
      </c>
      <c r="K326" s="14">
        <v>1500</v>
      </c>
      <c r="L326" s="14"/>
      <c r="M326" s="14"/>
      <c r="N326" s="14"/>
      <c r="O326" s="14"/>
      <c r="P326" s="14"/>
      <c r="Q326" s="14"/>
      <c r="R326" s="14"/>
    </row>
    <row r="327" ht="15.75" spans="1:18">
      <c r="A327" s="57">
        <v>48</v>
      </c>
      <c r="B327" s="58" t="s">
        <v>960</v>
      </c>
      <c r="C327" s="92" t="s">
        <v>952</v>
      </c>
      <c r="D327" s="60">
        <v>3</v>
      </c>
      <c r="E327" s="154">
        <v>1500</v>
      </c>
      <c r="F327" s="132">
        <f t="shared" si="11"/>
        <v>4500</v>
      </c>
      <c r="G327" s="39" t="s">
        <v>822</v>
      </c>
      <c r="H327" s="92" t="s">
        <v>729</v>
      </c>
      <c r="I327" s="38" t="s">
        <v>948</v>
      </c>
      <c r="J327" s="73">
        <v>1</v>
      </c>
      <c r="K327" s="73">
        <v>1500</v>
      </c>
      <c r="L327" s="73">
        <v>1</v>
      </c>
      <c r="M327" s="73">
        <v>1500</v>
      </c>
      <c r="N327" s="73">
        <v>1</v>
      </c>
      <c r="O327" s="73">
        <v>1500</v>
      </c>
      <c r="P327" s="73"/>
      <c r="Q327" s="73"/>
      <c r="R327" s="73"/>
    </row>
    <row r="328" ht="15.75" spans="1:18">
      <c r="A328" s="57">
        <v>49</v>
      </c>
      <c r="B328" s="58" t="s">
        <v>961</v>
      </c>
      <c r="C328" s="92" t="s">
        <v>952</v>
      </c>
      <c r="D328" s="60">
        <v>3</v>
      </c>
      <c r="E328" s="154">
        <v>3000</v>
      </c>
      <c r="F328" s="132">
        <f t="shared" si="11"/>
        <v>9000</v>
      </c>
      <c r="G328" s="39" t="s">
        <v>822</v>
      </c>
      <c r="H328" s="92" t="s">
        <v>729</v>
      </c>
      <c r="I328" s="38" t="s">
        <v>948</v>
      </c>
      <c r="J328" s="77">
        <v>3</v>
      </c>
      <c r="K328" s="77">
        <v>3000</v>
      </c>
      <c r="L328" s="77">
        <v>1</v>
      </c>
      <c r="M328" s="77">
        <v>3000</v>
      </c>
      <c r="N328" s="77">
        <v>1</v>
      </c>
      <c r="O328" s="77">
        <v>3000</v>
      </c>
      <c r="P328" s="77"/>
      <c r="Q328" s="77"/>
      <c r="R328" s="91"/>
    </row>
    <row r="329" ht="15.75" spans="1:18">
      <c r="A329" s="57">
        <v>50</v>
      </c>
      <c r="B329" s="58" t="s">
        <v>962</v>
      </c>
      <c r="C329" s="92" t="s">
        <v>952</v>
      </c>
      <c r="D329" s="60">
        <v>2</v>
      </c>
      <c r="E329" s="154">
        <v>1000</v>
      </c>
      <c r="F329" s="132">
        <f t="shared" si="11"/>
        <v>2000</v>
      </c>
      <c r="G329" s="39" t="s">
        <v>822</v>
      </c>
      <c r="H329" s="92" t="s">
        <v>729</v>
      </c>
      <c r="I329" s="38" t="s">
        <v>948</v>
      </c>
      <c r="J329" s="77">
        <v>2</v>
      </c>
      <c r="K329" s="77">
        <v>2000</v>
      </c>
      <c r="L329" s="77"/>
      <c r="M329" s="77"/>
      <c r="N329" s="91"/>
      <c r="O329" s="91"/>
      <c r="P329" s="91"/>
      <c r="Q329" s="91"/>
      <c r="R329" s="14"/>
    </row>
    <row r="330" ht="15.75" spans="1:18">
      <c r="A330" s="57">
        <v>51</v>
      </c>
      <c r="B330" s="58" t="s">
        <v>963</v>
      </c>
      <c r="C330" s="92" t="s">
        <v>952</v>
      </c>
      <c r="D330" s="60">
        <v>2</v>
      </c>
      <c r="E330" s="154">
        <v>800</v>
      </c>
      <c r="F330" s="132">
        <f t="shared" si="11"/>
        <v>1600</v>
      </c>
      <c r="G330" s="39" t="s">
        <v>822</v>
      </c>
      <c r="H330" s="92" t="s">
        <v>729</v>
      </c>
      <c r="I330" s="38" t="s">
        <v>948</v>
      </c>
      <c r="J330" s="77">
        <v>2</v>
      </c>
      <c r="K330" s="77">
        <v>800</v>
      </c>
      <c r="L330" s="77"/>
      <c r="M330" s="77"/>
      <c r="N330" s="77"/>
      <c r="O330" s="77">
        <v>800</v>
      </c>
      <c r="P330" s="77"/>
      <c r="Q330" s="77"/>
      <c r="R330" s="91"/>
    </row>
    <row r="331" ht="15.75" spans="1:18">
      <c r="A331" s="11">
        <v>52</v>
      </c>
      <c r="B331" s="129" t="s">
        <v>245</v>
      </c>
      <c r="C331" s="11" t="s">
        <v>919</v>
      </c>
      <c r="D331" s="130">
        <v>6</v>
      </c>
      <c r="E331" s="78">
        <v>12000</v>
      </c>
      <c r="F331" s="150">
        <f t="shared" si="11"/>
        <v>72000</v>
      </c>
      <c r="G331" s="155" t="s">
        <v>104</v>
      </c>
      <c r="H331" s="156" t="s">
        <v>729</v>
      </c>
      <c r="I331" s="156" t="s">
        <v>778</v>
      </c>
      <c r="J331" s="130"/>
      <c r="K331" s="138"/>
      <c r="L331" s="78">
        <v>3</v>
      </c>
      <c r="M331" s="138">
        <f t="shared" ref="M331:M357" si="12">E331*L331</f>
        <v>36000</v>
      </c>
      <c r="N331" s="131"/>
      <c r="O331" s="75"/>
      <c r="P331" s="139">
        <v>3</v>
      </c>
      <c r="Q331" s="75">
        <f t="shared" ref="Q331:Q357" si="13">E331*P331</f>
        <v>36000</v>
      </c>
      <c r="R331" s="91"/>
    </row>
    <row r="332" ht="15.75" spans="1:18">
      <c r="A332" s="11">
        <v>53</v>
      </c>
      <c r="B332" s="129" t="s">
        <v>246</v>
      </c>
      <c r="C332" s="11" t="s">
        <v>919</v>
      </c>
      <c r="D332" s="130">
        <v>4</v>
      </c>
      <c r="E332" s="78">
        <v>10250</v>
      </c>
      <c r="F332" s="150">
        <f t="shared" si="11"/>
        <v>41000</v>
      </c>
      <c r="G332" s="155" t="s">
        <v>104</v>
      </c>
      <c r="H332" s="156" t="s">
        <v>729</v>
      </c>
      <c r="I332" s="156" t="s">
        <v>778</v>
      </c>
      <c r="J332" s="130"/>
      <c r="K332" s="138"/>
      <c r="L332" s="78">
        <v>2</v>
      </c>
      <c r="M332" s="138">
        <f t="shared" si="12"/>
        <v>20500</v>
      </c>
      <c r="N332" s="131"/>
      <c r="O332" s="75"/>
      <c r="P332" s="139">
        <v>2</v>
      </c>
      <c r="Q332" s="75">
        <f t="shared" si="13"/>
        <v>20500</v>
      </c>
      <c r="R332" s="91"/>
    </row>
    <row r="333" ht="15.75" spans="1:18">
      <c r="A333" s="11">
        <v>54</v>
      </c>
      <c r="B333" s="129" t="s">
        <v>964</v>
      </c>
      <c r="C333" s="11" t="s">
        <v>947</v>
      </c>
      <c r="D333" s="130">
        <v>14</v>
      </c>
      <c r="E333" s="78">
        <v>800</v>
      </c>
      <c r="F333" s="150">
        <f t="shared" si="11"/>
        <v>11200</v>
      </c>
      <c r="G333" s="155" t="s">
        <v>104</v>
      </c>
      <c r="H333" s="156" t="s">
        <v>729</v>
      </c>
      <c r="I333" s="156" t="s">
        <v>778</v>
      </c>
      <c r="J333" s="130"/>
      <c r="K333" s="138"/>
      <c r="L333" s="78">
        <v>7</v>
      </c>
      <c r="M333" s="138">
        <f t="shared" si="12"/>
        <v>5600</v>
      </c>
      <c r="N333" s="131"/>
      <c r="O333" s="75"/>
      <c r="P333" s="139">
        <v>7</v>
      </c>
      <c r="Q333" s="75">
        <f t="shared" si="13"/>
        <v>5600</v>
      </c>
      <c r="R333" s="91"/>
    </row>
    <row r="334" ht="15.75" spans="1:18">
      <c r="A334" s="11">
        <v>55</v>
      </c>
      <c r="B334" s="129" t="s">
        <v>965</v>
      </c>
      <c r="C334" s="11" t="s">
        <v>947</v>
      </c>
      <c r="D334" s="130">
        <v>12</v>
      </c>
      <c r="E334" s="78">
        <v>4000</v>
      </c>
      <c r="F334" s="150">
        <f t="shared" si="11"/>
        <v>48000</v>
      </c>
      <c r="G334" s="155" t="s">
        <v>104</v>
      </c>
      <c r="H334" s="156" t="s">
        <v>729</v>
      </c>
      <c r="I334" s="156" t="s">
        <v>778</v>
      </c>
      <c r="J334" s="130"/>
      <c r="K334" s="138"/>
      <c r="L334" s="78">
        <v>6</v>
      </c>
      <c r="M334" s="138">
        <f t="shared" si="12"/>
        <v>24000</v>
      </c>
      <c r="N334" s="131"/>
      <c r="O334" s="75"/>
      <c r="P334" s="139">
        <v>6</v>
      </c>
      <c r="Q334" s="75">
        <f t="shared" si="13"/>
        <v>24000</v>
      </c>
      <c r="R334" s="91"/>
    </row>
    <row r="335" ht="15.75" spans="1:18">
      <c r="A335" s="11">
        <v>56</v>
      </c>
      <c r="B335" s="129" t="s">
        <v>966</v>
      </c>
      <c r="C335" s="11" t="s">
        <v>967</v>
      </c>
      <c r="D335" s="130">
        <v>8</v>
      </c>
      <c r="E335" s="78">
        <v>600</v>
      </c>
      <c r="F335" s="150">
        <f t="shared" si="11"/>
        <v>4800</v>
      </c>
      <c r="G335" s="155" t="s">
        <v>104</v>
      </c>
      <c r="H335" s="156" t="s">
        <v>729</v>
      </c>
      <c r="I335" s="156" t="s">
        <v>778</v>
      </c>
      <c r="J335" s="130"/>
      <c r="K335" s="138"/>
      <c r="L335" s="78">
        <v>4</v>
      </c>
      <c r="M335" s="138">
        <f t="shared" si="12"/>
        <v>2400</v>
      </c>
      <c r="N335" s="131"/>
      <c r="O335" s="75"/>
      <c r="P335" s="139">
        <v>4</v>
      </c>
      <c r="Q335" s="75">
        <f t="shared" si="13"/>
        <v>2400</v>
      </c>
      <c r="R335" s="91"/>
    </row>
    <row r="336" ht="15.75" spans="1:18">
      <c r="A336" s="11">
        <v>57</v>
      </c>
      <c r="B336" s="129" t="s">
        <v>968</v>
      </c>
      <c r="C336" s="11" t="s">
        <v>967</v>
      </c>
      <c r="D336" s="130">
        <v>2</v>
      </c>
      <c r="E336" s="78">
        <v>720</v>
      </c>
      <c r="F336" s="150">
        <f t="shared" si="11"/>
        <v>1440</v>
      </c>
      <c r="G336" s="155" t="s">
        <v>104</v>
      </c>
      <c r="H336" s="156" t="s">
        <v>729</v>
      </c>
      <c r="I336" s="156" t="s">
        <v>778</v>
      </c>
      <c r="J336" s="130"/>
      <c r="K336" s="138"/>
      <c r="L336" s="78">
        <v>1</v>
      </c>
      <c r="M336" s="138">
        <f t="shared" si="12"/>
        <v>720</v>
      </c>
      <c r="N336" s="131"/>
      <c r="O336" s="75"/>
      <c r="P336" s="139">
        <v>1</v>
      </c>
      <c r="Q336" s="75">
        <f t="shared" si="13"/>
        <v>720</v>
      </c>
      <c r="R336" s="91"/>
    </row>
    <row r="337" ht="15.75" spans="1:18">
      <c r="A337" s="11">
        <v>58</v>
      </c>
      <c r="B337" s="129" t="s">
        <v>969</v>
      </c>
      <c r="C337" s="11" t="s">
        <v>967</v>
      </c>
      <c r="D337" s="130">
        <v>6</v>
      </c>
      <c r="E337" s="78">
        <v>1440</v>
      </c>
      <c r="F337" s="150">
        <f t="shared" si="11"/>
        <v>8640</v>
      </c>
      <c r="G337" s="155" t="s">
        <v>104</v>
      </c>
      <c r="H337" s="156" t="s">
        <v>729</v>
      </c>
      <c r="I337" s="156" t="s">
        <v>778</v>
      </c>
      <c r="J337" s="130"/>
      <c r="K337" s="138"/>
      <c r="L337" s="78">
        <v>3</v>
      </c>
      <c r="M337" s="138">
        <f t="shared" si="12"/>
        <v>4320</v>
      </c>
      <c r="N337" s="131"/>
      <c r="O337" s="75"/>
      <c r="P337" s="139">
        <v>3</v>
      </c>
      <c r="Q337" s="75">
        <f t="shared" si="13"/>
        <v>4320</v>
      </c>
      <c r="R337" s="91"/>
    </row>
    <row r="338" ht="15.75" spans="1:18">
      <c r="A338" s="11">
        <v>59</v>
      </c>
      <c r="B338" s="129" t="s">
        <v>970</v>
      </c>
      <c r="C338" s="11" t="s">
        <v>967</v>
      </c>
      <c r="D338" s="130">
        <v>6</v>
      </c>
      <c r="E338" s="78">
        <v>1440</v>
      </c>
      <c r="F338" s="150">
        <f t="shared" si="11"/>
        <v>8640</v>
      </c>
      <c r="G338" s="155" t="s">
        <v>104</v>
      </c>
      <c r="H338" s="156" t="s">
        <v>729</v>
      </c>
      <c r="I338" s="156" t="s">
        <v>778</v>
      </c>
      <c r="J338" s="130"/>
      <c r="K338" s="138"/>
      <c r="L338" s="78">
        <v>3</v>
      </c>
      <c r="M338" s="138">
        <f t="shared" si="12"/>
        <v>4320</v>
      </c>
      <c r="N338" s="131"/>
      <c r="O338" s="75"/>
      <c r="P338" s="139">
        <v>3</v>
      </c>
      <c r="Q338" s="75">
        <f t="shared" si="13"/>
        <v>4320</v>
      </c>
      <c r="R338" s="91"/>
    </row>
    <row r="339" ht="15.75" spans="1:18">
      <c r="A339" s="11">
        <v>60</v>
      </c>
      <c r="B339" s="129" t="s">
        <v>971</v>
      </c>
      <c r="C339" s="11" t="s">
        <v>972</v>
      </c>
      <c r="D339" s="130">
        <v>6</v>
      </c>
      <c r="E339" s="78">
        <v>700</v>
      </c>
      <c r="F339" s="150">
        <f t="shared" si="11"/>
        <v>4200</v>
      </c>
      <c r="G339" s="155" t="s">
        <v>104</v>
      </c>
      <c r="H339" s="156" t="s">
        <v>729</v>
      </c>
      <c r="I339" s="156" t="s">
        <v>778</v>
      </c>
      <c r="J339" s="130"/>
      <c r="K339" s="138"/>
      <c r="L339" s="78">
        <v>3</v>
      </c>
      <c r="M339" s="138">
        <f t="shared" si="12"/>
        <v>2100</v>
      </c>
      <c r="N339" s="131"/>
      <c r="O339" s="75"/>
      <c r="P339" s="139">
        <v>3</v>
      </c>
      <c r="Q339" s="75">
        <f t="shared" si="13"/>
        <v>2100</v>
      </c>
      <c r="R339" s="91"/>
    </row>
    <row r="340" ht="15.75" spans="1:18">
      <c r="A340" s="11">
        <v>61</v>
      </c>
      <c r="B340" s="129" t="s">
        <v>973</v>
      </c>
      <c r="C340" s="11" t="s">
        <v>967</v>
      </c>
      <c r="D340" s="130">
        <v>6</v>
      </c>
      <c r="E340" s="78">
        <v>180</v>
      </c>
      <c r="F340" s="150">
        <f t="shared" si="11"/>
        <v>1080</v>
      </c>
      <c r="G340" s="155" t="s">
        <v>104</v>
      </c>
      <c r="H340" s="156" t="s">
        <v>729</v>
      </c>
      <c r="I340" s="156" t="s">
        <v>778</v>
      </c>
      <c r="J340" s="130"/>
      <c r="K340" s="138"/>
      <c r="L340" s="78">
        <v>3</v>
      </c>
      <c r="M340" s="138">
        <f t="shared" si="12"/>
        <v>540</v>
      </c>
      <c r="N340" s="131"/>
      <c r="O340" s="75"/>
      <c r="P340" s="139">
        <v>3</v>
      </c>
      <c r="Q340" s="75">
        <f t="shared" si="13"/>
        <v>540</v>
      </c>
      <c r="R340" s="91"/>
    </row>
    <row r="341" ht="15.75" spans="1:18">
      <c r="A341" s="11">
        <v>62</v>
      </c>
      <c r="B341" s="129" t="s">
        <v>974</v>
      </c>
      <c r="C341" s="11" t="s">
        <v>967</v>
      </c>
      <c r="D341" s="130">
        <v>4</v>
      </c>
      <c r="E341" s="78">
        <v>700</v>
      </c>
      <c r="F341" s="150">
        <f t="shared" si="11"/>
        <v>2800</v>
      </c>
      <c r="G341" s="155" t="s">
        <v>104</v>
      </c>
      <c r="H341" s="156" t="s">
        <v>729</v>
      </c>
      <c r="I341" s="156" t="s">
        <v>778</v>
      </c>
      <c r="J341" s="130"/>
      <c r="K341" s="138"/>
      <c r="L341" s="78">
        <v>2</v>
      </c>
      <c r="M341" s="138">
        <f t="shared" si="12"/>
        <v>1400</v>
      </c>
      <c r="N341" s="131"/>
      <c r="O341" s="75"/>
      <c r="P341" s="139">
        <v>2</v>
      </c>
      <c r="Q341" s="75">
        <f t="shared" si="13"/>
        <v>1400</v>
      </c>
      <c r="R341" s="91"/>
    </row>
    <row r="342" ht="15.75" spans="1:18">
      <c r="A342" s="11">
        <v>63</v>
      </c>
      <c r="B342" s="129" t="s">
        <v>975</v>
      </c>
      <c r="C342" s="11" t="s">
        <v>972</v>
      </c>
      <c r="D342" s="130">
        <v>6</v>
      </c>
      <c r="E342" s="78">
        <v>350</v>
      </c>
      <c r="F342" s="150">
        <f t="shared" si="11"/>
        <v>2100</v>
      </c>
      <c r="G342" s="155" t="s">
        <v>104</v>
      </c>
      <c r="H342" s="156" t="s">
        <v>729</v>
      </c>
      <c r="I342" s="156" t="s">
        <v>778</v>
      </c>
      <c r="J342" s="130"/>
      <c r="K342" s="138"/>
      <c r="L342" s="78">
        <v>3</v>
      </c>
      <c r="M342" s="138">
        <f t="shared" si="12"/>
        <v>1050</v>
      </c>
      <c r="N342" s="131"/>
      <c r="O342" s="75"/>
      <c r="P342" s="139">
        <v>3</v>
      </c>
      <c r="Q342" s="75">
        <f t="shared" si="13"/>
        <v>1050</v>
      </c>
      <c r="R342" s="91"/>
    </row>
    <row r="343" ht="15.75" spans="1:18">
      <c r="A343" s="11">
        <v>64</v>
      </c>
      <c r="B343" s="129" t="s">
        <v>976</v>
      </c>
      <c r="C343" s="11" t="s">
        <v>972</v>
      </c>
      <c r="D343" s="130">
        <v>6</v>
      </c>
      <c r="E343" s="78">
        <v>300</v>
      </c>
      <c r="F343" s="150">
        <f t="shared" si="11"/>
        <v>1800</v>
      </c>
      <c r="G343" s="155" t="s">
        <v>104</v>
      </c>
      <c r="H343" s="156" t="s">
        <v>729</v>
      </c>
      <c r="I343" s="156" t="s">
        <v>778</v>
      </c>
      <c r="J343" s="130"/>
      <c r="K343" s="138"/>
      <c r="L343" s="78">
        <v>3</v>
      </c>
      <c r="M343" s="138">
        <f t="shared" si="12"/>
        <v>900</v>
      </c>
      <c r="N343" s="131"/>
      <c r="O343" s="75"/>
      <c r="P343" s="139">
        <v>3</v>
      </c>
      <c r="Q343" s="75">
        <f t="shared" si="13"/>
        <v>900</v>
      </c>
      <c r="R343" s="91"/>
    </row>
    <row r="344" ht="15.75" spans="1:18">
      <c r="A344" s="11">
        <v>65</v>
      </c>
      <c r="B344" s="129" t="s">
        <v>977</v>
      </c>
      <c r="C344" s="11" t="s">
        <v>972</v>
      </c>
      <c r="D344" s="130">
        <v>6</v>
      </c>
      <c r="E344" s="78">
        <v>500</v>
      </c>
      <c r="F344" s="150">
        <f t="shared" si="11"/>
        <v>3000</v>
      </c>
      <c r="G344" s="155" t="s">
        <v>104</v>
      </c>
      <c r="H344" s="156" t="s">
        <v>729</v>
      </c>
      <c r="I344" s="156" t="s">
        <v>778</v>
      </c>
      <c r="J344" s="130"/>
      <c r="K344" s="138"/>
      <c r="L344" s="78">
        <v>3</v>
      </c>
      <c r="M344" s="138">
        <f t="shared" si="12"/>
        <v>1500</v>
      </c>
      <c r="N344" s="131"/>
      <c r="O344" s="75"/>
      <c r="P344" s="139">
        <v>3</v>
      </c>
      <c r="Q344" s="75">
        <f t="shared" si="13"/>
        <v>1500</v>
      </c>
      <c r="R344" s="91"/>
    </row>
    <row r="345" ht="15.75" spans="1:18">
      <c r="A345" s="11">
        <v>66</v>
      </c>
      <c r="B345" s="129" t="s">
        <v>978</v>
      </c>
      <c r="C345" s="11" t="s">
        <v>919</v>
      </c>
      <c r="D345" s="130">
        <v>12</v>
      </c>
      <c r="E345" s="78">
        <v>250</v>
      </c>
      <c r="F345" s="150">
        <f t="shared" si="11"/>
        <v>3000</v>
      </c>
      <c r="G345" s="155" t="s">
        <v>104</v>
      </c>
      <c r="H345" s="156" t="s">
        <v>729</v>
      </c>
      <c r="I345" s="156" t="s">
        <v>778</v>
      </c>
      <c r="J345" s="130"/>
      <c r="K345" s="138"/>
      <c r="L345" s="78">
        <v>6</v>
      </c>
      <c r="M345" s="138">
        <f t="shared" si="12"/>
        <v>1500</v>
      </c>
      <c r="N345" s="131"/>
      <c r="O345" s="75"/>
      <c r="P345" s="139">
        <v>6</v>
      </c>
      <c r="Q345" s="75">
        <f t="shared" si="13"/>
        <v>1500</v>
      </c>
      <c r="R345" s="91"/>
    </row>
    <row r="346" ht="15.75" spans="1:18">
      <c r="A346" s="11">
        <v>67</v>
      </c>
      <c r="B346" s="129" t="s">
        <v>979</v>
      </c>
      <c r="C346" s="11" t="s">
        <v>972</v>
      </c>
      <c r="D346" s="130">
        <v>12</v>
      </c>
      <c r="E346" s="78">
        <v>400</v>
      </c>
      <c r="F346" s="150">
        <f t="shared" si="11"/>
        <v>4800</v>
      </c>
      <c r="G346" s="155" t="s">
        <v>104</v>
      </c>
      <c r="H346" s="156" t="s">
        <v>729</v>
      </c>
      <c r="I346" s="156" t="s">
        <v>778</v>
      </c>
      <c r="J346" s="130"/>
      <c r="K346" s="138"/>
      <c r="L346" s="78">
        <v>6</v>
      </c>
      <c r="M346" s="138">
        <f t="shared" si="12"/>
        <v>2400</v>
      </c>
      <c r="N346" s="131"/>
      <c r="O346" s="75"/>
      <c r="P346" s="139">
        <v>6</v>
      </c>
      <c r="Q346" s="75">
        <f t="shared" si="13"/>
        <v>2400</v>
      </c>
      <c r="R346" s="91"/>
    </row>
    <row r="347" ht="15.75" spans="1:18">
      <c r="A347" s="11">
        <v>68</v>
      </c>
      <c r="B347" s="129" t="s">
        <v>980</v>
      </c>
      <c r="C347" s="11" t="s">
        <v>967</v>
      </c>
      <c r="D347" s="130">
        <v>2</v>
      </c>
      <c r="E347" s="78">
        <v>840</v>
      </c>
      <c r="F347" s="150">
        <f t="shared" si="11"/>
        <v>1680</v>
      </c>
      <c r="G347" s="155" t="s">
        <v>104</v>
      </c>
      <c r="H347" s="156" t="s">
        <v>729</v>
      </c>
      <c r="I347" s="156" t="s">
        <v>778</v>
      </c>
      <c r="J347" s="130"/>
      <c r="K347" s="138"/>
      <c r="L347" s="78">
        <v>1</v>
      </c>
      <c r="M347" s="138">
        <f t="shared" si="12"/>
        <v>840</v>
      </c>
      <c r="N347" s="131"/>
      <c r="O347" s="75"/>
      <c r="P347" s="139">
        <v>1</v>
      </c>
      <c r="Q347" s="75">
        <f t="shared" si="13"/>
        <v>840</v>
      </c>
      <c r="R347" s="91"/>
    </row>
    <row r="348" ht="15.75" spans="1:18">
      <c r="A348" s="11">
        <v>69</v>
      </c>
      <c r="B348" s="129" t="s">
        <v>981</v>
      </c>
      <c r="C348" s="11" t="s">
        <v>967</v>
      </c>
      <c r="D348" s="130">
        <v>2</v>
      </c>
      <c r="E348" s="78">
        <v>750</v>
      </c>
      <c r="F348" s="150">
        <f t="shared" si="11"/>
        <v>1500</v>
      </c>
      <c r="G348" s="155" t="s">
        <v>104</v>
      </c>
      <c r="H348" s="156" t="s">
        <v>729</v>
      </c>
      <c r="I348" s="156" t="s">
        <v>778</v>
      </c>
      <c r="J348" s="130"/>
      <c r="K348" s="138"/>
      <c r="L348" s="78">
        <v>1</v>
      </c>
      <c r="M348" s="138">
        <f t="shared" si="12"/>
        <v>750</v>
      </c>
      <c r="N348" s="131"/>
      <c r="O348" s="75"/>
      <c r="P348" s="139">
        <v>1</v>
      </c>
      <c r="Q348" s="75">
        <f t="shared" si="13"/>
        <v>750</v>
      </c>
      <c r="R348" s="91"/>
    </row>
    <row r="349" ht="15.75" spans="1:18">
      <c r="A349" s="11">
        <v>70</v>
      </c>
      <c r="B349" s="129" t="s">
        <v>982</v>
      </c>
      <c r="C349" s="11" t="s">
        <v>972</v>
      </c>
      <c r="D349" s="130">
        <v>4</v>
      </c>
      <c r="E349" s="78">
        <v>550</v>
      </c>
      <c r="F349" s="150">
        <f t="shared" si="11"/>
        <v>2200</v>
      </c>
      <c r="G349" s="155" t="s">
        <v>104</v>
      </c>
      <c r="H349" s="156" t="s">
        <v>729</v>
      </c>
      <c r="I349" s="156" t="s">
        <v>778</v>
      </c>
      <c r="J349" s="130"/>
      <c r="K349" s="138"/>
      <c r="L349" s="78">
        <v>2</v>
      </c>
      <c r="M349" s="138">
        <f t="shared" si="12"/>
        <v>1100</v>
      </c>
      <c r="N349" s="131"/>
      <c r="O349" s="75"/>
      <c r="P349" s="139">
        <v>2</v>
      </c>
      <c r="Q349" s="75">
        <f t="shared" si="13"/>
        <v>1100</v>
      </c>
      <c r="R349" s="91"/>
    </row>
    <row r="350" ht="15.75" spans="1:18">
      <c r="A350" s="11">
        <v>71</v>
      </c>
      <c r="B350" s="129" t="s">
        <v>983</v>
      </c>
      <c r="C350" s="11" t="s">
        <v>972</v>
      </c>
      <c r="D350" s="130">
        <v>6</v>
      </c>
      <c r="E350" s="78">
        <v>350</v>
      </c>
      <c r="F350" s="150">
        <f t="shared" si="11"/>
        <v>2100</v>
      </c>
      <c r="G350" s="155" t="s">
        <v>104</v>
      </c>
      <c r="H350" s="156" t="s">
        <v>729</v>
      </c>
      <c r="I350" s="156" t="s">
        <v>778</v>
      </c>
      <c r="J350" s="130"/>
      <c r="K350" s="138"/>
      <c r="L350" s="78">
        <v>3</v>
      </c>
      <c r="M350" s="138">
        <f t="shared" si="12"/>
        <v>1050</v>
      </c>
      <c r="N350" s="131"/>
      <c r="O350" s="75"/>
      <c r="P350" s="139">
        <v>3</v>
      </c>
      <c r="Q350" s="75">
        <f t="shared" si="13"/>
        <v>1050</v>
      </c>
      <c r="R350" s="73"/>
    </row>
    <row r="351" ht="15.75" spans="1:18">
      <c r="A351" s="11">
        <v>72</v>
      </c>
      <c r="B351" s="129" t="s">
        <v>984</v>
      </c>
      <c r="C351" s="11" t="s">
        <v>972</v>
      </c>
      <c r="D351" s="130">
        <v>6</v>
      </c>
      <c r="E351" s="78">
        <v>240</v>
      </c>
      <c r="F351" s="150">
        <f t="shared" si="11"/>
        <v>1440</v>
      </c>
      <c r="G351" s="155" t="s">
        <v>104</v>
      </c>
      <c r="H351" s="156" t="s">
        <v>729</v>
      </c>
      <c r="I351" s="156" t="s">
        <v>778</v>
      </c>
      <c r="J351" s="130"/>
      <c r="K351" s="138"/>
      <c r="L351" s="78">
        <v>3</v>
      </c>
      <c r="M351" s="138">
        <f t="shared" si="12"/>
        <v>720</v>
      </c>
      <c r="N351" s="131"/>
      <c r="O351" s="75"/>
      <c r="P351" s="139">
        <v>3</v>
      </c>
      <c r="Q351" s="75">
        <f t="shared" si="13"/>
        <v>720</v>
      </c>
      <c r="R351" s="91"/>
    </row>
    <row r="352" ht="15.75" spans="1:18">
      <c r="A352" s="11">
        <v>73</v>
      </c>
      <c r="B352" s="129" t="s">
        <v>985</v>
      </c>
      <c r="C352" s="11" t="s">
        <v>947</v>
      </c>
      <c r="D352" s="130">
        <v>4</v>
      </c>
      <c r="E352" s="78">
        <v>600</v>
      </c>
      <c r="F352" s="150">
        <f t="shared" si="11"/>
        <v>2400</v>
      </c>
      <c r="G352" s="155" t="s">
        <v>104</v>
      </c>
      <c r="H352" s="156" t="s">
        <v>729</v>
      </c>
      <c r="I352" s="156" t="s">
        <v>778</v>
      </c>
      <c r="J352" s="130"/>
      <c r="K352" s="138"/>
      <c r="L352" s="78">
        <v>2</v>
      </c>
      <c r="M352" s="138">
        <f t="shared" si="12"/>
        <v>1200</v>
      </c>
      <c r="N352" s="131"/>
      <c r="O352" s="75"/>
      <c r="P352" s="139">
        <v>2</v>
      </c>
      <c r="Q352" s="75">
        <f t="shared" si="13"/>
        <v>1200</v>
      </c>
      <c r="R352" s="73"/>
    </row>
    <row r="353" ht="15.75" spans="1:18">
      <c r="A353" s="11">
        <v>74</v>
      </c>
      <c r="B353" s="129" t="s">
        <v>986</v>
      </c>
      <c r="C353" s="11" t="s">
        <v>972</v>
      </c>
      <c r="D353" s="130">
        <v>4</v>
      </c>
      <c r="E353" s="78">
        <v>350</v>
      </c>
      <c r="F353" s="150">
        <f t="shared" si="11"/>
        <v>1400</v>
      </c>
      <c r="G353" s="155" t="s">
        <v>104</v>
      </c>
      <c r="H353" s="156" t="s">
        <v>729</v>
      </c>
      <c r="I353" s="156" t="s">
        <v>778</v>
      </c>
      <c r="J353" s="130"/>
      <c r="K353" s="138"/>
      <c r="L353" s="78">
        <v>2</v>
      </c>
      <c r="M353" s="138">
        <f t="shared" si="12"/>
        <v>700</v>
      </c>
      <c r="N353" s="131"/>
      <c r="O353" s="75"/>
      <c r="P353" s="139">
        <v>2</v>
      </c>
      <c r="Q353" s="75">
        <f t="shared" si="13"/>
        <v>700</v>
      </c>
      <c r="R353" s="91"/>
    </row>
    <row r="354" ht="15.75" spans="1:18">
      <c r="A354" s="11">
        <v>75</v>
      </c>
      <c r="B354" s="129" t="s">
        <v>987</v>
      </c>
      <c r="C354" s="11" t="s">
        <v>972</v>
      </c>
      <c r="D354" s="130">
        <v>2</v>
      </c>
      <c r="E354" s="78">
        <v>350</v>
      </c>
      <c r="F354" s="150">
        <f t="shared" si="11"/>
        <v>700</v>
      </c>
      <c r="G354" s="155" t="s">
        <v>104</v>
      </c>
      <c r="H354" s="156" t="s">
        <v>729</v>
      </c>
      <c r="I354" s="156" t="s">
        <v>778</v>
      </c>
      <c r="J354" s="130"/>
      <c r="K354" s="138"/>
      <c r="L354" s="78">
        <v>1</v>
      </c>
      <c r="M354" s="138">
        <f t="shared" si="12"/>
        <v>350</v>
      </c>
      <c r="N354" s="131"/>
      <c r="O354" s="75"/>
      <c r="P354" s="139">
        <v>1</v>
      </c>
      <c r="Q354" s="75">
        <f t="shared" si="13"/>
        <v>350</v>
      </c>
      <c r="R354" s="71"/>
    </row>
    <row r="355" ht="15.75" spans="1:18">
      <c r="A355" s="11">
        <v>76</v>
      </c>
      <c r="B355" s="129" t="s">
        <v>988</v>
      </c>
      <c r="C355" s="11" t="s">
        <v>921</v>
      </c>
      <c r="D355" s="130">
        <v>10</v>
      </c>
      <c r="E355" s="78">
        <v>350</v>
      </c>
      <c r="F355" s="150">
        <f t="shared" si="11"/>
        <v>3500</v>
      </c>
      <c r="G355" s="155" t="s">
        <v>104</v>
      </c>
      <c r="H355" s="156" t="s">
        <v>729</v>
      </c>
      <c r="I355" s="156" t="s">
        <v>778</v>
      </c>
      <c r="J355" s="130"/>
      <c r="K355" s="138"/>
      <c r="L355" s="78">
        <v>5</v>
      </c>
      <c r="M355" s="138">
        <f t="shared" si="12"/>
        <v>1750</v>
      </c>
      <c r="N355" s="131"/>
      <c r="O355" s="75"/>
      <c r="P355" s="139">
        <v>5</v>
      </c>
      <c r="Q355" s="75">
        <f t="shared" si="13"/>
        <v>1750</v>
      </c>
      <c r="R355" s="14"/>
    </row>
    <row r="356" ht="15.75" spans="1:18">
      <c r="A356" s="11">
        <v>77</v>
      </c>
      <c r="B356" s="129" t="s">
        <v>989</v>
      </c>
      <c r="C356" s="11" t="s">
        <v>921</v>
      </c>
      <c r="D356" s="130">
        <v>12</v>
      </c>
      <c r="E356" s="78">
        <v>450</v>
      </c>
      <c r="F356" s="150">
        <f t="shared" si="11"/>
        <v>5400</v>
      </c>
      <c r="G356" s="155" t="s">
        <v>104</v>
      </c>
      <c r="H356" s="156" t="s">
        <v>729</v>
      </c>
      <c r="I356" s="156" t="s">
        <v>778</v>
      </c>
      <c r="J356" s="130"/>
      <c r="K356" s="138"/>
      <c r="L356" s="78">
        <v>6</v>
      </c>
      <c r="M356" s="138">
        <f t="shared" si="12"/>
        <v>2700</v>
      </c>
      <c r="N356" s="131"/>
      <c r="O356" s="75"/>
      <c r="P356" s="139">
        <v>6</v>
      </c>
      <c r="Q356" s="75">
        <f t="shared" si="13"/>
        <v>2700</v>
      </c>
      <c r="R356" s="91"/>
    </row>
    <row r="357" ht="15.75" spans="1:18">
      <c r="A357" s="11">
        <v>78</v>
      </c>
      <c r="B357" s="129" t="s">
        <v>990</v>
      </c>
      <c r="C357" s="11" t="s">
        <v>921</v>
      </c>
      <c r="D357" s="130">
        <v>10</v>
      </c>
      <c r="E357" s="78">
        <v>700</v>
      </c>
      <c r="F357" s="150">
        <f t="shared" si="11"/>
        <v>7000</v>
      </c>
      <c r="G357" s="155" t="s">
        <v>104</v>
      </c>
      <c r="H357" s="156" t="s">
        <v>729</v>
      </c>
      <c r="I357" s="156" t="s">
        <v>778</v>
      </c>
      <c r="J357" s="130"/>
      <c r="K357" s="138"/>
      <c r="L357" s="78">
        <v>5</v>
      </c>
      <c r="M357" s="138">
        <f t="shared" si="12"/>
        <v>3500</v>
      </c>
      <c r="N357" s="131"/>
      <c r="O357" s="75"/>
      <c r="P357" s="139">
        <v>5</v>
      </c>
      <c r="Q357" s="75">
        <f t="shared" si="13"/>
        <v>3500</v>
      </c>
      <c r="R357" s="14"/>
    </row>
    <row r="358" ht="15.75" spans="1:18">
      <c r="A358" s="11">
        <v>79</v>
      </c>
      <c r="B358" s="19" t="s">
        <v>991</v>
      </c>
      <c r="C358" s="11"/>
      <c r="D358" s="20" t="s">
        <v>992</v>
      </c>
      <c r="E358" s="20">
        <v>500</v>
      </c>
      <c r="F358" s="20">
        <v>1000</v>
      </c>
      <c r="G358" s="22" t="s">
        <v>40</v>
      </c>
      <c r="H358" s="38" t="s">
        <v>729</v>
      </c>
      <c r="I358" s="38" t="s">
        <v>778</v>
      </c>
      <c r="J358" s="20">
        <v>6</v>
      </c>
      <c r="K358" s="75">
        <v>250</v>
      </c>
      <c r="L358" s="20">
        <v>6</v>
      </c>
      <c r="M358" s="75">
        <v>250</v>
      </c>
      <c r="N358" s="20">
        <v>6</v>
      </c>
      <c r="O358" s="75">
        <v>250</v>
      </c>
      <c r="P358" s="20">
        <v>6</v>
      </c>
      <c r="Q358" s="75">
        <v>250</v>
      </c>
      <c r="R358" s="14"/>
    </row>
    <row r="359" ht="15.75" spans="1:18">
      <c r="A359" s="11">
        <v>80</v>
      </c>
      <c r="B359" s="19" t="s">
        <v>993</v>
      </c>
      <c r="C359" s="11"/>
      <c r="D359" s="20" t="s">
        <v>219</v>
      </c>
      <c r="E359" s="20">
        <v>1000</v>
      </c>
      <c r="F359" s="20">
        <v>12000</v>
      </c>
      <c r="G359" s="22" t="s">
        <v>40</v>
      </c>
      <c r="H359" s="38" t="s">
        <v>729</v>
      </c>
      <c r="I359" s="38" t="s">
        <v>778</v>
      </c>
      <c r="J359" s="20">
        <v>3</v>
      </c>
      <c r="K359" s="75">
        <v>3000</v>
      </c>
      <c r="L359" s="20">
        <v>3</v>
      </c>
      <c r="M359" s="75">
        <v>3000</v>
      </c>
      <c r="N359" s="20">
        <v>3</v>
      </c>
      <c r="O359" s="75">
        <v>3000</v>
      </c>
      <c r="P359" s="20"/>
      <c r="Q359" s="75">
        <v>3000</v>
      </c>
      <c r="R359" s="14"/>
    </row>
    <row r="360" ht="15.75" spans="1:18">
      <c r="A360" s="11">
        <v>81</v>
      </c>
      <c r="B360" s="19" t="s">
        <v>994</v>
      </c>
      <c r="C360" s="11"/>
      <c r="D360" s="20">
        <v>5</v>
      </c>
      <c r="E360" s="20">
        <v>150</v>
      </c>
      <c r="F360" s="20">
        <v>750</v>
      </c>
      <c r="G360" s="22" t="s">
        <v>40</v>
      </c>
      <c r="H360" s="38" t="s">
        <v>729</v>
      </c>
      <c r="I360" s="38" t="s">
        <v>778</v>
      </c>
      <c r="J360" s="20">
        <v>2</v>
      </c>
      <c r="K360" s="75">
        <v>300</v>
      </c>
      <c r="L360" s="20">
        <v>2</v>
      </c>
      <c r="M360" s="75">
        <v>300</v>
      </c>
      <c r="N360" s="20">
        <v>1</v>
      </c>
      <c r="O360" s="75">
        <v>150</v>
      </c>
      <c r="P360" s="20"/>
      <c r="Q360" s="75"/>
      <c r="R360" s="14"/>
    </row>
    <row r="361" ht="15.75" spans="1:18">
      <c r="A361" s="11">
        <v>82</v>
      </c>
      <c r="B361" s="19" t="s">
        <v>241</v>
      </c>
      <c r="C361" s="11"/>
      <c r="D361" s="20">
        <v>6</v>
      </c>
      <c r="E361" s="20">
        <v>150</v>
      </c>
      <c r="F361" s="20">
        <v>900</v>
      </c>
      <c r="G361" s="22" t="s">
        <v>40</v>
      </c>
      <c r="H361" s="38" t="s">
        <v>729</v>
      </c>
      <c r="I361" s="38" t="s">
        <v>778</v>
      </c>
      <c r="J361" s="20">
        <v>2</v>
      </c>
      <c r="K361" s="75">
        <v>300</v>
      </c>
      <c r="L361" s="20">
        <v>2</v>
      </c>
      <c r="M361" s="75">
        <v>300</v>
      </c>
      <c r="N361" s="20">
        <v>2</v>
      </c>
      <c r="O361" s="75">
        <v>300</v>
      </c>
      <c r="P361" s="20"/>
      <c r="Q361" s="75"/>
      <c r="R361" s="14"/>
    </row>
    <row r="362" ht="15.75" spans="1:18">
      <c r="A362" s="11">
        <v>83</v>
      </c>
      <c r="B362" s="19" t="s">
        <v>995</v>
      </c>
      <c r="C362" s="11"/>
      <c r="D362" s="20">
        <v>24</v>
      </c>
      <c r="E362" s="20">
        <v>30</v>
      </c>
      <c r="F362" s="20">
        <v>720</v>
      </c>
      <c r="G362" s="22" t="s">
        <v>40</v>
      </c>
      <c r="H362" s="38" t="s">
        <v>729</v>
      </c>
      <c r="I362" s="38" t="s">
        <v>778</v>
      </c>
      <c r="J362" s="20">
        <v>6</v>
      </c>
      <c r="K362" s="75">
        <v>180</v>
      </c>
      <c r="L362" s="20">
        <v>6</v>
      </c>
      <c r="M362" s="75">
        <v>180</v>
      </c>
      <c r="N362" s="20">
        <v>6</v>
      </c>
      <c r="O362" s="75">
        <v>180</v>
      </c>
      <c r="P362" s="20">
        <v>6</v>
      </c>
      <c r="Q362" s="75">
        <v>180</v>
      </c>
      <c r="R362" s="14"/>
    </row>
    <row r="363" ht="15.75" spans="1:18">
      <c r="A363" s="11">
        <v>84</v>
      </c>
      <c r="B363" s="19" t="s">
        <v>945</v>
      </c>
      <c r="C363" s="11"/>
      <c r="D363" s="20">
        <v>12</v>
      </c>
      <c r="E363" s="20">
        <v>30</v>
      </c>
      <c r="F363" s="20">
        <v>360</v>
      </c>
      <c r="G363" s="22" t="s">
        <v>40</v>
      </c>
      <c r="H363" s="38" t="s">
        <v>729</v>
      </c>
      <c r="I363" s="38" t="s">
        <v>778</v>
      </c>
      <c r="J363" s="20">
        <v>12</v>
      </c>
      <c r="K363" s="75">
        <v>360</v>
      </c>
      <c r="L363" s="20"/>
      <c r="M363" s="75"/>
      <c r="N363" s="20"/>
      <c r="O363" s="75"/>
      <c r="P363" s="20"/>
      <c r="Q363" s="75"/>
      <c r="R363" s="14"/>
    </row>
    <row r="364" ht="15.75" spans="1:18">
      <c r="A364" s="11">
        <v>85</v>
      </c>
      <c r="B364" s="19" t="s">
        <v>996</v>
      </c>
      <c r="C364" s="11"/>
      <c r="D364" s="20">
        <v>6</v>
      </c>
      <c r="E364" s="20">
        <v>20</v>
      </c>
      <c r="F364" s="20">
        <v>120</v>
      </c>
      <c r="G364" s="22" t="s">
        <v>40</v>
      </c>
      <c r="H364" s="38" t="s">
        <v>729</v>
      </c>
      <c r="I364" s="38" t="s">
        <v>778</v>
      </c>
      <c r="J364" s="20">
        <v>6</v>
      </c>
      <c r="K364" s="75">
        <v>120</v>
      </c>
      <c r="L364" s="20"/>
      <c r="M364" s="75"/>
      <c r="N364" s="20"/>
      <c r="O364" s="75"/>
      <c r="P364" s="20"/>
      <c r="Q364" s="75"/>
      <c r="R364" s="14"/>
    </row>
    <row r="365" ht="15.75" spans="1:18">
      <c r="A365" s="11">
        <v>86</v>
      </c>
      <c r="B365" s="19" t="s">
        <v>975</v>
      </c>
      <c r="C365" s="11"/>
      <c r="D365" s="20" t="s">
        <v>997</v>
      </c>
      <c r="E365" s="20">
        <v>160</v>
      </c>
      <c r="F365" s="20">
        <v>480</v>
      </c>
      <c r="G365" s="22" t="s">
        <v>40</v>
      </c>
      <c r="H365" s="38" t="s">
        <v>729</v>
      </c>
      <c r="I365" s="38" t="s">
        <v>778</v>
      </c>
      <c r="J365" s="20">
        <v>3</v>
      </c>
      <c r="K365" s="75">
        <v>480</v>
      </c>
      <c r="L365" s="20"/>
      <c r="M365" s="75"/>
      <c r="N365" s="20"/>
      <c r="O365" s="75"/>
      <c r="P365" s="20"/>
      <c r="Q365" s="75"/>
      <c r="R365" s="14"/>
    </row>
    <row r="366" ht="15.75" spans="1:18">
      <c r="A366" s="11">
        <v>87</v>
      </c>
      <c r="B366" s="19" t="s">
        <v>998</v>
      </c>
      <c r="C366" s="11"/>
      <c r="D366" s="20">
        <v>12</v>
      </c>
      <c r="E366" s="20">
        <v>100</v>
      </c>
      <c r="F366" s="20">
        <v>1200</v>
      </c>
      <c r="G366" s="22" t="s">
        <v>40</v>
      </c>
      <c r="H366" s="38" t="s">
        <v>729</v>
      </c>
      <c r="I366" s="38" t="s">
        <v>778</v>
      </c>
      <c r="J366" s="20">
        <v>12</v>
      </c>
      <c r="K366" s="75">
        <v>1200</v>
      </c>
      <c r="L366" s="20"/>
      <c r="M366" s="75"/>
      <c r="N366" s="20"/>
      <c r="O366" s="75"/>
      <c r="P366" s="20"/>
      <c r="Q366" s="75"/>
      <c r="R366" s="14"/>
    </row>
    <row r="367" ht="15.75" spans="1:18">
      <c r="A367" s="11">
        <v>88</v>
      </c>
      <c r="B367" s="19" t="s">
        <v>999</v>
      </c>
      <c r="C367" s="11"/>
      <c r="D367" s="20">
        <v>2</v>
      </c>
      <c r="E367" s="20">
        <v>400</v>
      </c>
      <c r="F367" s="20">
        <v>800</v>
      </c>
      <c r="G367" s="22" t="s">
        <v>40</v>
      </c>
      <c r="H367" s="38" t="s">
        <v>729</v>
      </c>
      <c r="I367" s="38" t="s">
        <v>778</v>
      </c>
      <c r="J367" s="20">
        <v>2</v>
      </c>
      <c r="K367" s="75">
        <v>800</v>
      </c>
      <c r="L367" s="20"/>
      <c r="M367" s="75"/>
      <c r="N367" s="20"/>
      <c r="O367" s="75"/>
      <c r="P367" s="20"/>
      <c r="Q367" s="75"/>
      <c r="R367" s="14"/>
    </row>
    <row r="368" ht="15.75" spans="1:18">
      <c r="A368" s="11">
        <v>89</v>
      </c>
      <c r="B368" s="19" t="s">
        <v>1000</v>
      </c>
      <c r="C368" s="11"/>
      <c r="D368" s="20">
        <v>12</v>
      </c>
      <c r="E368" s="20">
        <v>1000</v>
      </c>
      <c r="F368" s="20">
        <v>1000</v>
      </c>
      <c r="G368" s="22" t="s">
        <v>40</v>
      </c>
      <c r="H368" s="38" t="s">
        <v>729</v>
      </c>
      <c r="I368" s="38" t="s">
        <v>778</v>
      </c>
      <c r="J368" s="20"/>
      <c r="K368" s="75"/>
      <c r="L368" s="20"/>
      <c r="M368" s="75"/>
      <c r="N368" s="20"/>
      <c r="O368" s="75"/>
      <c r="P368" s="20">
        <v>3</v>
      </c>
      <c r="Q368" s="75">
        <v>1000</v>
      </c>
      <c r="R368" s="14"/>
    </row>
    <row r="369" ht="15.75" spans="1:18">
      <c r="A369" s="11">
        <v>90</v>
      </c>
      <c r="B369" s="19" t="s">
        <v>1001</v>
      </c>
      <c r="C369" s="11"/>
      <c r="D369" s="20">
        <v>3</v>
      </c>
      <c r="E369" s="20">
        <v>60</v>
      </c>
      <c r="F369" s="20">
        <v>180</v>
      </c>
      <c r="G369" s="22" t="s">
        <v>40</v>
      </c>
      <c r="H369" s="38" t="s">
        <v>729</v>
      </c>
      <c r="I369" s="38" t="s">
        <v>778</v>
      </c>
      <c r="J369" s="20"/>
      <c r="K369" s="75"/>
      <c r="L369" s="20">
        <v>3</v>
      </c>
      <c r="M369" s="75">
        <v>180</v>
      </c>
      <c r="N369" s="20"/>
      <c r="O369" s="75"/>
      <c r="P369" s="20"/>
      <c r="Q369" s="75"/>
      <c r="R369" s="14"/>
    </row>
    <row r="370" ht="15.75" spans="1:18">
      <c r="A370" s="11">
        <v>91</v>
      </c>
      <c r="B370" s="19" t="s">
        <v>1002</v>
      </c>
      <c r="C370" s="11"/>
      <c r="D370" s="20">
        <v>6</v>
      </c>
      <c r="E370" s="20">
        <v>100</v>
      </c>
      <c r="F370" s="20">
        <v>600</v>
      </c>
      <c r="G370" s="22" t="s">
        <v>40</v>
      </c>
      <c r="H370" s="38" t="s">
        <v>729</v>
      </c>
      <c r="I370" s="38" t="s">
        <v>778</v>
      </c>
      <c r="J370" s="20"/>
      <c r="K370" s="75"/>
      <c r="L370" s="20">
        <v>6</v>
      </c>
      <c r="M370" s="75">
        <v>600</v>
      </c>
      <c r="N370" s="20"/>
      <c r="O370" s="75"/>
      <c r="P370" s="20"/>
      <c r="Q370" s="75"/>
      <c r="R370" s="14"/>
    </row>
    <row r="371" ht="15.75" spans="1:18">
      <c r="A371" s="11">
        <v>92</v>
      </c>
      <c r="B371" s="19" t="s">
        <v>1003</v>
      </c>
      <c r="C371" s="11"/>
      <c r="D371" s="20">
        <v>6</v>
      </c>
      <c r="E371" s="20">
        <v>50</v>
      </c>
      <c r="F371" s="20">
        <v>300</v>
      </c>
      <c r="G371" s="22" t="s">
        <v>40</v>
      </c>
      <c r="H371" s="38" t="s">
        <v>729</v>
      </c>
      <c r="I371" s="38" t="s">
        <v>778</v>
      </c>
      <c r="J371" s="20"/>
      <c r="K371" s="75"/>
      <c r="L371" s="20">
        <v>6</v>
      </c>
      <c r="M371" s="75">
        <v>300</v>
      </c>
      <c r="N371" s="20"/>
      <c r="O371" s="75"/>
      <c r="P371" s="20"/>
      <c r="Q371" s="75"/>
      <c r="R371" s="14"/>
    </row>
    <row r="372" ht="15.75" spans="1:18">
      <c r="A372" s="11">
        <v>93</v>
      </c>
      <c r="B372" s="19" t="s">
        <v>1004</v>
      </c>
      <c r="C372" s="11"/>
      <c r="D372" s="20">
        <v>6</v>
      </c>
      <c r="E372" s="20">
        <v>500</v>
      </c>
      <c r="F372" s="20">
        <v>500</v>
      </c>
      <c r="G372" s="22" t="s">
        <v>40</v>
      </c>
      <c r="H372" s="38" t="s">
        <v>729</v>
      </c>
      <c r="I372" s="38" t="s">
        <v>778</v>
      </c>
      <c r="J372" s="20"/>
      <c r="K372" s="75"/>
      <c r="L372" s="20">
        <v>6</v>
      </c>
      <c r="M372" s="75">
        <v>500</v>
      </c>
      <c r="N372" s="20"/>
      <c r="O372" s="75"/>
      <c r="P372" s="20"/>
      <c r="Q372" s="75"/>
      <c r="R372" s="14"/>
    </row>
    <row r="373" ht="15.75" spans="1:18">
      <c r="A373" s="11">
        <v>94</v>
      </c>
      <c r="B373" s="19" t="s">
        <v>1005</v>
      </c>
      <c r="C373" s="11"/>
      <c r="D373" s="20">
        <v>2</v>
      </c>
      <c r="E373" s="20">
        <v>500</v>
      </c>
      <c r="F373" s="20">
        <v>100</v>
      </c>
      <c r="G373" s="22" t="s">
        <v>40</v>
      </c>
      <c r="H373" s="38" t="s">
        <v>729</v>
      </c>
      <c r="I373" s="38" t="s">
        <v>778</v>
      </c>
      <c r="J373" s="20"/>
      <c r="K373" s="75"/>
      <c r="L373" s="20">
        <v>2</v>
      </c>
      <c r="M373" s="75">
        <v>100</v>
      </c>
      <c r="N373" s="20"/>
      <c r="O373" s="75"/>
      <c r="P373" s="20"/>
      <c r="Q373" s="75"/>
      <c r="R373" s="14"/>
    </row>
    <row r="374" ht="15.75" spans="1:18">
      <c r="A374" s="11">
        <v>95</v>
      </c>
      <c r="B374" s="19" t="s">
        <v>1006</v>
      </c>
      <c r="C374" s="11"/>
      <c r="D374" s="20">
        <v>12</v>
      </c>
      <c r="E374" s="20">
        <v>400</v>
      </c>
      <c r="F374" s="20">
        <v>4800</v>
      </c>
      <c r="G374" s="22" t="s">
        <v>40</v>
      </c>
      <c r="H374" s="38" t="s">
        <v>729</v>
      </c>
      <c r="I374" s="38" t="s">
        <v>778</v>
      </c>
      <c r="J374" s="20"/>
      <c r="K374" s="75"/>
      <c r="L374" s="20">
        <v>12</v>
      </c>
      <c r="M374" s="75">
        <v>4800</v>
      </c>
      <c r="N374" s="20"/>
      <c r="O374" s="75"/>
      <c r="P374" s="20"/>
      <c r="Q374" s="75"/>
      <c r="R374" s="14"/>
    </row>
    <row r="375" ht="15.75" spans="1:18">
      <c r="A375" s="11">
        <v>96</v>
      </c>
      <c r="B375" s="19" t="s">
        <v>1007</v>
      </c>
      <c r="C375" s="11"/>
      <c r="D375" s="20">
        <v>6</v>
      </c>
      <c r="E375" s="20">
        <v>200</v>
      </c>
      <c r="F375" s="20">
        <v>1200</v>
      </c>
      <c r="G375" s="22" t="s">
        <v>40</v>
      </c>
      <c r="H375" s="38" t="s">
        <v>729</v>
      </c>
      <c r="I375" s="38" t="s">
        <v>778</v>
      </c>
      <c r="J375" s="20"/>
      <c r="K375" s="75"/>
      <c r="L375" s="20">
        <v>6</v>
      </c>
      <c r="M375" s="75">
        <v>1200</v>
      </c>
      <c r="N375" s="20"/>
      <c r="O375" s="75"/>
      <c r="P375" s="20"/>
      <c r="Q375" s="75"/>
      <c r="R375" s="14"/>
    </row>
    <row r="376" ht="15.75" spans="1:18">
      <c r="A376" s="11">
        <v>97</v>
      </c>
      <c r="B376" s="19" t="s">
        <v>1008</v>
      </c>
      <c r="C376" s="11"/>
      <c r="D376" s="20">
        <v>6</v>
      </c>
      <c r="E376" s="20">
        <v>300</v>
      </c>
      <c r="F376" s="20">
        <v>1800</v>
      </c>
      <c r="G376" s="19" t="s">
        <v>40</v>
      </c>
      <c r="H376" s="38" t="s">
        <v>729</v>
      </c>
      <c r="I376" s="38" t="s">
        <v>778</v>
      </c>
      <c r="J376" s="20"/>
      <c r="K376" s="75"/>
      <c r="L376" s="20">
        <v>6</v>
      </c>
      <c r="M376" s="75">
        <v>1800</v>
      </c>
      <c r="N376" s="20"/>
      <c r="O376" s="75"/>
      <c r="P376" s="20"/>
      <c r="Q376" s="75"/>
      <c r="R376" s="14"/>
    </row>
    <row r="377" ht="15.75" spans="1:18">
      <c r="A377" s="11">
        <v>98</v>
      </c>
      <c r="B377" s="19" t="s">
        <v>1009</v>
      </c>
      <c r="C377" s="11"/>
      <c r="D377" s="20">
        <v>6</v>
      </c>
      <c r="E377" s="20">
        <v>250</v>
      </c>
      <c r="F377" s="20">
        <v>1300</v>
      </c>
      <c r="G377" s="19" t="s">
        <v>40</v>
      </c>
      <c r="H377" s="38" t="s">
        <v>729</v>
      </c>
      <c r="I377" s="38" t="s">
        <v>778</v>
      </c>
      <c r="J377" s="20"/>
      <c r="K377" s="75"/>
      <c r="L377" s="20">
        <v>6</v>
      </c>
      <c r="M377" s="75">
        <v>1300</v>
      </c>
      <c r="N377" s="20"/>
      <c r="O377" s="75"/>
      <c r="P377" s="20"/>
      <c r="Q377" s="75"/>
      <c r="R377" s="14"/>
    </row>
    <row r="378" ht="15.75" spans="1:18">
      <c r="A378" s="11">
        <v>99</v>
      </c>
      <c r="B378" s="19" t="s">
        <v>1010</v>
      </c>
      <c r="C378" s="11"/>
      <c r="D378" s="20">
        <v>12</v>
      </c>
      <c r="E378" s="20">
        <v>150</v>
      </c>
      <c r="F378" s="20">
        <v>1800</v>
      </c>
      <c r="G378" s="19" t="s">
        <v>40</v>
      </c>
      <c r="H378" s="38" t="s">
        <v>729</v>
      </c>
      <c r="I378" s="38" t="s">
        <v>778</v>
      </c>
      <c r="J378" s="20">
        <v>3</v>
      </c>
      <c r="K378" s="75"/>
      <c r="L378" s="20">
        <v>12</v>
      </c>
      <c r="M378" s="75">
        <v>1800</v>
      </c>
      <c r="N378" s="20"/>
      <c r="O378" s="75"/>
      <c r="P378" s="20"/>
      <c r="Q378" s="75"/>
      <c r="R378" s="14"/>
    </row>
    <row r="379" ht="15.75" spans="1:18">
      <c r="A379" s="11">
        <v>100</v>
      </c>
      <c r="B379" s="19" t="s">
        <v>1011</v>
      </c>
      <c r="C379" s="157"/>
      <c r="D379" s="104">
        <v>6</v>
      </c>
      <c r="E379" s="104">
        <v>10250</v>
      </c>
      <c r="F379" s="104">
        <v>61500</v>
      </c>
      <c r="G379" s="103" t="s">
        <v>33</v>
      </c>
      <c r="H379" s="156" t="s">
        <v>729</v>
      </c>
      <c r="I379" s="156" t="s">
        <v>778</v>
      </c>
      <c r="J379" s="104">
        <v>3</v>
      </c>
      <c r="K379" s="138">
        <v>30750</v>
      </c>
      <c r="L379" s="78"/>
      <c r="M379" s="138"/>
      <c r="N379" s="104">
        <v>3</v>
      </c>
      <c r="O379" s="138">
        <v>30750</v>
      </c>
      <c r="P379" s="139"/>
      <c r="Q379" s="75"/>
      <c r="R379" s="14"/>
    </row>
    <row r="380" ht="15.75" spans="1:18">
      <c r="A380" s="11">
        <v>101</v>
      </c>
      <c r="B380" s="19" t="s">
        <v>1012</v>
      </c>
      <c r="C380" s="157"/>
      <c r="D380" s="77">
        <v>14</v>
      </c>
      <c r="E380" s="78">
        <v>800</v>
      </c>
      <c r="F380" s="150">
        <v>11200</v>
      </c>
      <c r="G380" s="103" t="s">
        <v>33</v>
      </c>
      <c r="H380" s="156" t="s">
        <v>729</v>
      </c>
      <c r="I380" s="156" t="s">
        <v>778</v>
      </c>
      <c r="J380" s="104">
        <v>7</v>
      </c>
      <c r="K380" s="138">
        <v>5600</v>
      </c>
      <c r="L380" s="78"/>
      <c r="M380" s="138"/>
      <c r="N380" s="104">
        <v>7</v>
      </c>
      <c r="O380" s="138">
        <v>5600</v>
      </c>
      <c r="P380" s="139"/>
      <c r="Q380" s="75"/>
      <c r="R380" s="14"/>
    </row>
    <row r="381" ht="15.75" spans="1:18">
      <c r="A381" s="11">
        <v>102</v>
      </c>
      <c r="B381" s="19" t="s">
        <v>1013</v>
      </c>
      <c r="C381" s="157"/>
      <c r="D381" s="77">
        <v>8</v>
      </c>
      <c r="E381" s="78">
        <v>600</v>
      </c>
      <c r="F381" s="150">
        <v>4800</v>
      </c>
      <c r="G381" s="103" t="s">
        <v>33</v>
      </c>
      <c r="H381" s="156" t="s">
        <v>729</v>
      </c>
      <c r="I381" s="156" t="s">
        <v>778</v>
      </c>
      <c r="J381" s="104">
        <v>4</v>
      </c>
      <c r="K381" s="138">
        <v>2400</v>
      </c>
      <c r="L381" s="78"/>
      <c r="M381" s="138"/>
      <c r="N381" s="104">
        <v>4</v>
      </c>
      <c r="O381" s="138">
        <v>2400</v>
      </c>
      <c r="P381" s="139"/>
      <c r="Q381" s="75"/>
      <c r="R381" s="14"/>
    </row>
    <row r="382" ht="15.75" spans="1:18">
      <c r="A382" s="11">
        <v>103</v>
      </c>
      <c r="B382" s="19" t="s">
        <v>248</v>
      </c>
      <c r="C382" s="157"/>
      <c r="D382" s="77">
        <v>6</v>
      </c>
      <c r="E382" s="78">
        <v>1440</v>
      </c>
      <c r="F382" s="150">
        <v>8640</v>
      </c>
      <c r="G382" s="103" t="s">
        <v>33</v>
      </c>
      <c r="H382" s="156" t="s">
        <v>729</v>
      </c>
      <c r="I382" s="156" t="s">
        <v>778</v>
      </c>
      <c r="J382" s="104">
        <v>3</v>
      </c>
      <c r="K382" s="138">
        <v>4320</v>
      </c>
      <c r="L382" s="78"/>
      <c r="M382" s="138"/>
      <c r="N382" s="104">
        <v>3</v>
      </c>
      <c r="O382" s="138">
        <v>4320</v>
      </c>
      <c r="P382" s="139"/>
      <c r="Q382" s="75"/>
      <c r="R382" s="14"/>
    </row>
    <row r="383" ht="15.75" spans="1:18">
      <c r="A383" s="11">
        <v>104</v>
      </c>
      <c r="B383" s="19" t="s">
        <v>249</v>
      </c>
      <c r="C383" s="157"/>
      <c r="D383" s="77">
        <v>6</v>
      </c>
      <c r="E383" s="78">
        <v>1440</v>
      </c>
      <c r="F383" s="150">
        <v>8640</v>
      </c>
      <c r="G383" s="103" t="s">
        <v>33</v>
      </c>
      <c r="H383" s="156" t="s">
        <v>729</v>
      </c>
      <c r="I383" s="156" t="s">
        <v>778</v>
      </c>
      <c r="J383" s="104">
        <v>3</v>
      </c>
      <c r="K383" s="138">
        <v>4320</v>
      </c>
      <c r="L383" s="78"/>
      <c r="M383" s="138"/>
      <c r="N383" s="104">
        <v>3</v>
      </c>
      <c r="O383" s="138">
        <v>4320</v>
      </c>
      <c r="P383" s="139"/>
      <c r="Q383" s="75"/>
      <c r="R383" s="14"/>
    </row>
    <row r="384" ht="15.75" spans="1:18">
      <c r="A384" s="11">
        <v>104</v>
      </c>
      <c r="B384" s="19" t="s">
        <v>1014</v>
      </c>
      <c r="C384" s="157"/>
      <c r="D384" s="77">
        <v>6</v>
      </c>
      <c r="E384" s="78">
        <v>700</v>
      </c>
      <c r="F384" s="150">
        <v>4200</v>
      </c>
      <c r="G384" s="103" t="s">
        <v>33</v>
      </c>
      <c r="H384" s="156" t="s">
        <v>729</v>
      </c>
      <c r="I384" s="156" t="s">
        <v>778</v>
      </c>
      <c r="J384" s="104">
        <v>3</v>
      </c>
      <c r="K384" s="138">
        <v>2100</v>
      </c>
      <c r="L384" s="78"/>
      <c r="M384" s="138"/>
      <c r="N384" s="104">
        <v>3</v>
      </c>
      <c r="O384" s="138">
        <v>2100</v>
      </c>
      <c r="P384" s="139"/>
      <c r="Q384" s="75"/>
      <c r="R384" s="14"/>
    </row>
    <row r="385" ht="15.75" spans="1:18">
      <c r="A385" s="11">
        <v>106</v>
      </c>
      <c r="B385" s="19" t="s">
        <v>1015</v>
      </c>
      <c r="C385" s="157"/>
      <c r="D385" s="77">
        <v>6</v>
      </c>
      <c r="E385" s="78">
        <v>180</v>
      </c>
      <c r="F385" s="150">
        <v>1080</v>
      </c>
      <c r="G385" s="103" t="s">
        <v>33</v>
      </c>
      <c r="H385" s="156" t="s">
        <v>729</v>
      </c>
      <c r="I385" s="156" t="s">
        <v>778</v>
      </c>
      <c r="J385" s="104">
        <v>3</v>
      </c>
      <c r="K385" s="138">
        <v>540</v>
      </c>
      <c r="L385" s="78"/>
      <c r="M385" s="138"/>
      <c r="N385" s="104">
        <v>3</v>
      </c>
      <c r="O385" s="138">
        <v>540</v>
      </c>
      <c r="P385" s="139"/>
      <c r="Q385" s="75"/>
      <c r="R385" s="14"/>
    </row>
    <row r="386" ht="15.75" spans="1:18">
      <c r="A386" s="11">
        <v>107</v>
      </c>
      <c r="B386" s="19" t="s">
        <v>1016</v>
      </c>
      <c r="C386" s="157"/>
      <c r="D386" s="77">
        <v>4</v>
      </c>
      <c r="E386" s="78">
        <v>700</v>
      </c>
      <c r="F386" s="150">
        <v>2800</v>
      </c>
      <c r="G386" s="103" t="s">
        <v>33</v>
      </c>
      <c r="H386" s="156" t="s">
        <v>729</v>
      </c>
      <c r="I386" s="156" t="s">
        <v>778</v>
      </c>
      <c r="J386" s="104">
        <v>2</v>
      </c>
      <c r="K386" s="138">
        <v>1400</v>
      </c>
      <c r="L386" s="78"/>
      <c r="M386" s="138"/>
      <c r="N386" s="104">
        <v>2</v>
      </c>
      <c r="O386" s="138">
        <v>1400</v>
      </c>
      <c r="P386" s="139"/>
      <c r="Q386" s="75"/>
      <c r="R386" s="14"/>
    </row>
    <row r="387" ht="15.75" spans="1:18">
      <c r="A387" s="11">
        <v>108</v>
      </c>
      <c r="B387" s="19" t="s">
        <v>1017</v>
      </c>
      <c r="C387" s="157"/>
      <c r="D387" s="77">
        <v>6</v>
      </c>
      <c r="E387" s="78">
        <v>350</v>
      </c>
      <c r="F387" s="150">
        <v>2100</v>
      </c>
      <c r="G387" s="103" t="s">
        <v>33</v>
      </c>
      <c r="H387" s="156" t="s">
        <v>729</v>
      </c>
      <c r="I387" s="156" t="s">
        <v>778</v>
      </c>
      <c r="J387" s="104">
        <v>3</v>
      </c>
      <c r="K387" s="138">
        <v>1050</v>
      </c>
      <c r="L387" s="78"/>
      <c r="M387" s="138"/>
      <c r="N387" s="104">
        <v>3</v>
      </c>
      <c r="O387" s="138">
        <v>1050</v>
      </c>
      <c r="P387" s="139"/>
      <c r="Q387" s="75"/>
      <c r="R387" s="14"/>
    </row>
    <row r="388" ht="15.75" spans="1:18">
      <c r="A388" s="11">
        <v>109</v>
      </c>
      <c r="B388" s="19" t="s">
        <v>1018</v>
      </c>
      <c r="C388" s="157"/>
      <c r="D388" s="77">
        <v>6</v>
      </c>
      <c r="E388" s="78">
        <v>300</v>
      </c>
      <c r="F388" s="150">
        <v>1800</v>
      </c>
      <c r="G388" s="103" t="s">
        <v>33</v>
      </c>
      <c r="H388" s="156" t="s">
        <v>729</v>
      </c>
      <c r="I388" s="156" t="s">
        <v>778</v>
      </c>
      <c r="J388" s="104">
        <v>3</v>
      </c>
      <c r="K388" s="138">
        <v>900</v>
      </c>
      <c r="L388" s="78"/>
      <c r="M388" s="138"/>
      <c r="N388" s="104">
        <v>3</v>
      </c>
      <c r="O388" s="138">
        <v>900</v>
      </c>
      <c r="P388" s="139"/>
      <c r="Q388" s="75"/>
      <c r="R388" s="14"/>
    </row>
    <row r="389" ht="15.75" spans="1:18">
      <c r="A389" s="11">
        <v>110</v>
      </c>
      <c r="B389" s="19" t="s">
        <v>1019</v>
      </c>
      <c r="C389" s="157"/>
      <c r="D389" s="77">
        <v>6</v>
      </c>
      <c r="E389" s="78">
        <v>500</v>
      </c>
      <c r="F389" s="150">
        <v>3000</v>
      </c>
      <c r="G389" s="103" t="s">
        <v>33</v>
      </c>
      <c r="H389" s="156" t="s">
        <v>729</v>
      </c>
      <c r="I389" s="156" t="s">
        <v>778</v>
      </c>
      <c r="J389" s="104">
        <v>3</v>
      </c>
      <c r="K389" s="138">
        <v>1500</v>
      </c>
      <c r="L389" s="78"/>
      <c r="M389" s="138"/>
      <c r="N389" s="104">
        <v>3</v>
      </c>
      <c r="O389" s="138">
        <v>1500</v>
      </c>
      <c r="P389" s="139"/>
      <c r="Q389" s="75"/>
      <c r="R389" s="14"/>
    </row>
    <row r="390" ht="15.75" spans="1:18">
      <c r="A390" s="11">
        <v>111</v>
      </c>
      <c r="B390" s="19" t="s">
        <v>1020</v>
      </c>
      <c r="C390" s="157"/>
      <c r="D390" s="77">
        <v>12</v>
      </c>
      <c r="E390" s="78">
        <v>250</v>
      </c>
      <c r="F390" s="150">
        <v>3000</v>
      </c>
      <c r="G390" s="103" t="s">
        <v>33</v>
      </c>
      <c r="H390" s="156" t="s">
        <v>729</v>
      </c>
      <c r="I390" s="156" t="s">
        <v>778</v>
      </c>
      <c r="J390" s="104">
        <v>6</v>
      </c>
      <c r="K390" s="138">
        <v>1500</v>
      </c>
      <c r="L390" s="78"/>
      <c r="M390" s="138"/>
      <c r="N390" s="104">
        <v>6</v>
      </c>
      <c r="O390" s="138">
        <v>1500</v>
      </c>
      <c r="P390" s="139"/>
      <c r="Q390" s="75"/>
      <c r="R390" s="14"/>
    </row>
    <row r="391" ht="15.75" spans="1:18">
      <c r="A391" s="11">
        <v>112</v>
      </c>
      <c r="B391" s="19" t="s">
        <v>1021</v>
      </c>
      <c r="C391" s="157"/>
      <c r="D391" s="77">
        <v>12</v>
      </c>
      <c r="E391" s="78">
        <v>400</v>
      </c>
      <c r="F391" s="150">
        <v>4800</v>
      </c>
      <c r="G391" s="103" t="s">
        <v>33</v>
      </c>
      <c r="H391" s="156" t="s">
        <v>729</v>
      </c>
      <c r="I391" s="156" t="s">
        <v>778</v>
      </c>
      <c r="J391" s="104">
        <v>6</v>
      </c>
      <c r="K391" s="138">
        <v>2400</v>
      </c>
      <c r="L391" s="78"/>
      <c r="M391" s="138"/>
      <c r="N391" s="104">
        <v>6</v>
      </c>
      <c r="O391" s="138">
        <v>2400</v>
      </c>
      <c r="P391" s="139"/>
      <c r="Q391" s="75"/>
      <c r="R391" s="14"/>
    </row>
    <row r="392" ht="15.75" spans="1:18">
      <c r="A392" s="11">
        <v>113</v>
      </c>
      <c r="B392" s="19" t="s">
        <v>1022</v>
      </c>
      <c r="C392" s="157"/>
      <c r="D392" s="77">
        <v>2</v>
      </c>
      <c r="E392" s="78">
        <v>840</v>
      </c>
      <c r="F392" s="150">
        <v>1680</v>
      </c>
      <c r="G392" s="103" t="s">
        <v>33</v>
      </c>
      <c r="H392" s="156" t="s">
        <v>729</v>
      </c>
      <c r="I392" s="156" t="s">
        <v>778</v>
      </c>
      <c r="J392" s="104">
        <v>1</v>
      </c>
      <c r="K392" s="138">
        <v>840</v>
      </c>
      <c r="L392" s="78"/>
      <c r="M392" s="138"/>
      <c r="N392" s="104">
        <v>1</v>
      </c>
      <c r="O392" s="138">
        <v>840</v>
      </c>
      <c r="P392" s="139"/>
      <c r="Q392" s="75"/>
      <c r="R392" s="14"/>
    </row>
    <row r="393" ht="15.75" spans="1:18">
      <c r="A393" s="11">
        <v>114</v>
      </c>
      <c r="B393" s="19" t="s">
        <v>1023</v>
      </c>
      <c r="C393" s="157"/>
      <c r="D393" s="77">
        <v>2</v>
      </c>
      <c r="E393" s="78">
        <v>750</v>
      </c>
      <c r="F393" s="150">
        <v>1500</v>
      </c>
      <c r="G393" s="103" t="s">
        <v>33</v>
      </c>
      <c r="H393" s="156" t="s">
        <v>729</v>
      </c>
      <c r="I393" s="156" t="s">
        <v>778</v>
      </c>
      <c r="J393" s="104">
        <v>1</v>
      </c>
      <c r="K393" s="138">
        <v>750</v>
      </c>
      <c r="L393" s="78"/>
      <c r="M393" s="138"/>
      <c r="N393" s="104">
        <v>1</v>
      </c>
      <c r="O393" s="138">
        <v>750</v>
      </c>
      <c r="P393" s="139"/>
      <c r="Q393" s="75"/>
      <c r="R393" s="14"/>
    </row>
    <row r="394" ht="15.75" spans="1:18">
      <c r="A394" s="11">
        <v>114</v>
      </c>
      <c r="B394" s="19" t="s">
        <v>1024</v>
      </c>
      <c r="C394" s="157"/>
      <c r="D394" s="77">
        <v>4</v>
      </c>
      <c r="E394" s="78">
        <v>550</v>
      </c>
      <c r="F394" s="150">
        <v>2200</v>
      </c>
      <c r="G394" s="103" t="s">
        <v>33</v>
      </c>
      <c r="H394" s="156" t="s">
        <v>729</v>
      </c>
      <c r="I394" s="156" t="s">
        <v>778</v>
      </c>
      <c r="J394" s="104">
        <v>2</v>
      </c>
      <c r="K394" s="138">
        <v>1100</v>
      </c>
      <c r="L394" s="78"/>
      <c r="M394" s="138"/>
      <c r="N394" s="104">
        <v>2</v>
      </c>
      <c r="O394" s="138">
        <v>1100</v>
      </c>
      <c r="P394" s="139"/>
      <c r="Q394" s="75"/>
      <c r="R394" s="14"/>
    </row>
    <row r="395" ht="15.75" spans="1:18">
      <c r="A395" s="11">
        <v>116</v>
      </c>
      <c r="B395" s="19" t="s">
        <v>1025</v>
      </c>
      <c r="C395" s="157"/>
      <c r="D395" s="77">
        <v>6</v>
      </c>
      <c r="E395" s="78">
        <v>350</v>
      </c>
      <c r="F395" s="150">
        <v>2100</v>
      </c>
      <c r="G395" s="103" t="s">
        <v>33</v>
      </c>
      <c r="H395" s="156" t="s">
        <v>729</v>
      </c>
      <c r="I395" s="156" t="s">
        <v>778</v>
      </c>
      <c r="J395" s="104">
        <v>3</v>
      </c>
      <c r="K395" s="138">
        <v>1050</v>
      </c>
      <c r="L395" s="78"/>
      <c r="M395" s="138"/>
      <c r="N395" s="104">
        <v>3</v>
      </c>
      <c r="O395" s="138">
        <v>1050</v>
      </c>
      <c r="P395" s="139"/>
      <c r="Q395" s="75"/>
      <c r="R395" s="14"/>
    </row>
    <row r="396" ht="15.75" spans="1:18">
      <c r="A396" s="11">
        <v>117</v>
      </c>
      <c r="B396" s="19" t="s">
        <v>1026</v>
      </c>
      <c r="C396" s="157"/>
      <c r="D396" s="77">
        <v>6</v>
      </c>
      <c r="E396" s="78">
        <v>240</v>
      </c>
      <c r="F396" s="150">
        <v>1440</v>
      </c>
      <c r="G396" s="103" t="s">
        <v>33</v>
      </c>
      <c r="H396" s="156" t="s">
        <v>729</v>
      </c>
      <c r="I396" s="156" t="s">
        <v>778</v>
      </c>
      <c r="J396" s="104">
        <v>3</v>
      </c>
      <c r="K396" s="138">
        <v>720</v>
      </c>
      <c r="L396" s="78"/>
      <c r="M396" s="138"/>
      <c r="N396" s="104">
        <v>3</v>
      </c>
      <c r="O396" s="138">
        <v>720</v>
      </c>
      <c r="P396" s="139"/>
      <c r="Q396" s="75"/>
      <c r="R396" s="14"/>
    </row>
    <row r="397" ht="15.75" spans="1:18">
      <c r="A397" s="11">
        <v>118</v>
      </c>
      <c r="B397" s="19" t="s">
        <v>1027</v>
      </c>
      <c r="C397" s="157"/>
      <c r="D397" s="77">
        <v>4</v>
      </c>
      <c r="E397" s="78">
        <v>600</v>
      </c>
      <c r="F397" s="150">
        <v>2400</v>
      </c>
      <c r="G397" s="103" t="s">
        <v>33</v>
      </c>
      <c r="H397" s="156" t="s">
        <v>729</v>
      </c>
      <c r="I397" s="156" t="s">
        <v>778</v>
      </c>
      <c r="J397" s="104">
        <v>2</v>
      </c>
      <c r="K397" s="138">
        <v>1200</v>
      </c>
      <c r="L397" s="78"/>
      <c r="M397" s="138"/>
      <c r="N397" s="104">
        <v>2</v>
      </c>
      <c r="O397" s="138">
        <v>1200</v>
      </c>
      <c r="P397" s="139"/>
      <c r="Q397" s="75"/>
      <c r="R397" s="14"/>
    </row>
    <row r="398" ht="15.75" spans="1:18">
      <c r="A398" s="11">
        <v>119</v>
      </c>
      <c r="B398" s="19" t="s">
        <v>250</v>
      </c>
      <c r="C398" s="157"/>
      <c r="D398" s="77">
        <v>4</v>
      </c>
      <c r="E398" s="78">
        <v>350</v>
      </c>
      <c r="F398" s="150">
        <v>1400</v>
      </c>
      <c r="G398" s="103" t="s">
        <v>33</v>
      </c>
      <c r="H398" s="156" t="s">
        <v>729</v>
      </c>
      <c r="I398" s="156" t="s">
        <v>778</v>
      </c>
      <c r="J398" s="104">
        <v>2</v>
      </c>
      <c r="K398" s="138">
        <v>700</v>
      </c>
      <c r="L398" s="78"/>
      <c r="M398" s="138"/>
      <c r="N398" s="104">
        <v>2</v>
      </c>
      <c r="O398" s="138">
        <v>700</v>
      </c>
      <c r="P398" s="139"/>
      <c r="Q398" s="75"/>
      <c r="R398" s="14"/>
    </row>
    <row r="399" ht="15.75" spans="1:18">
      <c r="A399" s="11">
        <v>120</v>
      </c>
      <c r="B399" s="19" t="s">
        <v>1028</v>
      </c>
      <c r="C399" s="157"/>
      <c r="D399" s="77">
        <v>2</v>
      </c>
      <c r="E399" s="78">
        <v>350</v>
      </c>
      <c r="F399" s="150">
        <v>700</v>
      </c>
      <c r="G399" s="103" t="s">
        <v>33</v>
      </c>
      <c r="H399" s="156" t="s">
        <v>729</v>
      </c>
      <c r="I399" s="156" t="s">
        <v>778</v>
      </c>
      <c r="J399" s="104">
        <v>1</v>
      </c>
      <c r="K399" s="138">
        <v>350</v>
      </c>
      <c r="L399" s="78"/>
      <c r="M399" s="138"/>
      <c r="N399" s="104">
        <v>1</v>
      </c>
      <c r="O399" s="138">
        <v>350</v>
      </c>
      <c r="P399" s="139"/>
      <c r="Q399" s="75"/>
      <c r="R399" s="14"/>
    </row>
    <row r="400" ht="15.75" spans="1:18">
      <c r="A400" s="11"/>
      <c r="B400" s="129"/>
      <c r="C400" s="157"/>
      <c r="D400" s="157"/>
      <c r="E400" s="78"/>
      <c r="F400" s="150"/>
      <c r="G400" s="103"/>
      <c r="H400" s="156"/>
      <c r="I400" s="156"/>
      <c r="J400" s="157"/>
      <c r="K400" s="166"/>
      <c r="L400" s="167"/>
      <c r="M400" s="166"/>
      <c r="N400" s="167"/>
      <c r="O400" s="166"/>
      <c r="P400" s="168"/>
      <c r="Q400" s="55"/>
      <c r="R400" s="11"/>
    </row>
    <row r="401" ht="15.75" spans="1:18">
      <c r="A401" s="12"/>
      <c r="B401" s="116" t="s">
        <v>22</v>
      </c>
      <c r="C401" s="145"/>
      <c r="D401" s="158"/>
      <c r="E401" s="159"/>
      <c r="F401" s="160">
        <f>SUM(F281:F400)</f>
        <v>962178</v>
      </c>
      <c r="G401" s="77"/>
      <c r="H401" s="77"/>
      <c r="I401" s="77"/>
      <c r="J401" s="157"/>
      <c r="K401" s="157"/>
      <c r="L401" s="157"/>
      <c r="M401" s="157"/>
      <c r="N401" s="157"/>
      <c r="O401" s="157"/>
      <c r="P401" s="157"/>
      <c r="Q401" s="157"/>
      <c r="R401" s="91"/>
    </row>
    <row r="402" ht="15.75" spans="1:18">
      <c r="A402" s="11"/>
      <c r="B402" s="11"/>
      <c r="C402" s="11"/>
      <c r="D402" s="11"/>
      <c r="E402" s="14"/>
      <c r="F402" s="14"/>
      <c r="G402" s="11"/>
      <c r="H402" s="11"/>
      <c r="I402" s="11"/>
      <c r="J402" s="11"/>
      <c r="K402" s="11"/>
      <c r="L402" s="11"/>
      <c r="M402" s="11"/>
      <c r="N402" s="11"/>
      <c r="O402" s="11"/>
      <c r="P402" s="11"/>
      <c r="Q402" s="11"/>
      <c r="R402" s="11"/>
    </row>
    <row r="403" ht="15.75" spans="1:18">
      <c r="A403" s="12">
        <v>13</v>
      </c>
      <c r="B403" s="12" t="s">
        <v>745</v>
      </c>
      <c r="C403" s="11"/>
      <c r="D403" s="11"/>
      <c r="E403" s="14"/>
      <c r="F403" s="14"/>
      <c r="G403" s="13"/>
      <c r="H403" s="11"/>
      <c r="I403" s="11"/>
      <c r="J403" s="11"/>
      <c r="K403" s="11"/>
      <c r="L403" s="11"/>
      <c r="M403" s="11"/>
      <c r="N403" s="11"/>
      <c r="O403" s="11"/>
      <c r="P403" s="11"/>
      <c r="Q403" s="11"/>
      <c r="R403" s="11"/>
    </row>
    <row r="404" ht="15.75" spans="1:18">
      <c r="A404" s="11">
        <v>1</v>
      </c>
      <c r="B404" s="38" t="s">
        <v>1029</v>
      </c>
      <c r="C404" s="38"/>
      <c r="D404" s="14">
        <v>6</v>
      </c>
      <c r="E404" s="161">
        <v>20000</v>
      </c>
      <c r="F404" s="132">
        <v>120000</v>
      </c>
      <c r="G404" s="38" t="s">
        <v>25</v>
      </c>
      <c r="H404" s="38" t="s">
        <v>1030</v>
      </c>
      <c r="I404" s="38" t="s">
        <v>778</v>
      </c>
      <c r="J404" s="81">
        <v>6</v>
      </c>
      <c r="K404" s="75">
        <v>120000</v>
      </c>
      <c r="L404" s="83"/>
      <c r="M404" s="75"/>
      <c r="N404" s="83"/>
      <c r="O404" s="75"/>
      <c r="P404" s="83"/>
      <c r="Q404" s="75"/>
      <c r="R404" s="71"/>
    </row>
    <row r="405" ht="15.75" spans="1:18">
      <c r="A405" s="11">
        <v>2</v>
      </c>
      <c r="B405" s="32" t="s">
        <v>264</v>
      </c>
      <c r="C405" s="11" t="s">
        <v>1031</v>
      </c>
      <c r="D405" s="37">
        <v>2</v>
      </c>
      <c r="E405" s="14">
        <v>10000</v>
      </c>
      <c r="F405" s="119">
        <f>D405*E405</f>
        <v>20000</v>
      </c>
      <c r="G405" s="13" t="s">
        <v>42</v>
      </c>
      <c r="H405" s="30" t="s">
        <v>729</v>
      </c>
      <c r="I405" s="30" t="s">
        <v>778</v>
      </c>
      <c r="J405" s="14"/>
      <c r="K405" s="56">
        <v>20000</v>
      </c>
      <c r="L405" s="14"/>
      <c r="M405" s="14"/>
      <c r="N405" s="14"/>
      <c r="O405" s="14"/>
      <c r="P405" s="14"/>
      <c r="Q405" s="14"/>
      <c r="R405" s="14"/>
    </row>
    <row r="406" ht="15.75" spans="1:18">
      <c r="A406" s="11">
        <v>3</v>
      </c>
      <c r="B406" s="38" t="s">
        <v>1032</v>
      </c>
      <c r="C406" s="38" t="s">
        <v>1033</v>
      </c>
      <c r="D406" s="14">
        <v>1</v>
      </c>
      <c r="E406" s="119">
        <v>35000</v>
      </c>
      <c r="F406" s="75">
        <f>E406*D406</f>
        <v>35000</v>
      </c>
      <c r="G406" s="38" t="s">
        <v>813</v>
      </c>
      <c r="H406" s="38"/>
      <c r="I406" s="38" t="s">
        <v>778</v>
      </c>
      <c r="J406" s="74">
        <v>1</v>
      </c>
      <c r="K406" s="75">
        <f>E406*J406</f>
        <v>35000</v>
      </c>
      <c r="L406" s="14"/>
      <c r="M406" s="75">
        <f>E406*L406</f>
        <v>0</v>
      </c>
      <c r="N406" s="14"/>
      <c r="O406" s="75">
        <f>E406*N406</f>
        <v>0</v>
      </c>
      <c r="P406" s="14"/>
      <c r="Q406" s="75">
        <f>E406*P406</f>
        <v>0</v>
      </c>
      <c r="R406" s="14"/>
    </row>
    <row r="407" ht="31.5" spans="1:18">
      <c r="A407" s="11"/>
      <c r="B407" s="38" t="s">
        <v>1034</v>
      </c>
      <c r="C407" s="38"/>
      <c r="D407" s="13"/>
      <c r="E407" s="119">
        <v>500000</v>
      </c>
      <c r="F407" s="75">
        <v>500000</v>
      </c>
      <c r="G407" s="38" t="s">
        <v>1035</v>
      </c>
      <c r="H407" s="38" t="s">
        <v>729</v>
      </c>
      <c r="I407" s="38" t="s">
        <v>778</v>
      </c>
      <c r="J407" s="74"/>
      <c r="K407" s="75">
        <v>500000</v>
      </c>
      <c r="L407" s="14"/>
      <c r="M407" s="75"/>
      <c r="N407" s="14"/>
      <c r="O407" s="75"/>
      <c r="P407" s="14"/>
      <c r="Q407" s="75"/>
      <c r="R407" s="14"/>
    </row>
    <row r="408" ht="31.5" spans="1:18">
      <c r="A408" s="11"/>
      <c r="B408" s="38" t="s">
        <v>1036</v>
      </c>
      <c r="C408" s="38" t="s">
        <v>1031</v>
      </c>
      <c r="D408" s="13"/>
      <c r="E408" s="119"/>
      <c r="F408" s="75">
        <v>350000</v>
      </c>
      <c r="G408" s="38" t="s">
        <v>808</v>
      </c>
      <c r="H408" s="38" t="s">
        <v>729</v>
      </c>
      <c r="I408" s="38" t="s">
        <v>778</v>
      </c>
      <c r="J408" s="74"/>
      <c r="K408" s="75">
        <v>350000</v>
      </c>
      <c r="L408" s="14"/>
      <c r="M408" s="75"/>
      <c r="N408" s="14"/>
      <c r="O408" s="75"/>
      <c r="P408" s="14"/>
      <c r="Q408" s="75"/>
      <c r="R408" s="14"/>
    </row>
    <row r="409" ht="15.75" spans="1:18">
      <c r="A409" s="11"/>
      <c r="B409" s="38" t="s">
        <v>1037</v>
      </c>
      <c r="C409" s="38" t="s">
        <v>1031</v>
      </c>
      <c r="D409" s="13"/>
      <c r="E409" s="119"/>
      <c r="F409" s="75">
        <v>950000</v>
      </c>
      <c r="G409" s="38" t="s">
        <v>882</v>
      </c>
      <c r="H409" s="38" t="s">
        <v>729</v>
      </c>
      <c r="I409" s="38" t="s">
        <v>778</v>
      </c>
      <c r="J409" s="74"/>
      <c r="K409" s="75">
        <v>950000</v>
      </c>
      <c r="L409" s="14"/>
      <c r="M409" s="75"/>
      <c r="N409" s="14"/>
      <c r="O409" s="75"/>
      <c r="P409" s="14"/>
      <c r="Q409" s="75"/>
      <c r="R409" s="14"/>
    </row>
    <row r="410" ht="15.75" spans="1:18">
      <c r="A410" s="11"/>
      <c r="B410" s="38"/>
      <c r="C410" s="38"/>
      <c r="D410" s="13"/>
      <c r="E410" s="29"/>
      <c r="F410" s="55"/>
      <c r="G410" s="38"/>
      <c r="H410" s="38"/>
      <c r="I410" s="38"/>
      <c r="J410" s="74"/>
      <c r="K410" s="75"/>
      <c r="L410" s="14"/>
      <c r="M410" s="75"/>
      <c r="N410" s="14"/>
      <c r="O410" s="75"/>
      <c r="P410" s="14"/>
      <c r="Q410" s="75"/>
      <c r="R410" s="14"/>
    </row>
    <row r="411" ht="15.75" spans="1:18">
      <c r="A411" s="12"/>
      <c r="B411" s="12" t="s">
        <v>22</v>
      </c>
      <c r="C411" s="12"/>
      <c r="D411" s="12"/>
      <c r="E411" s="26"/>
      <c r="F411" s="53">
        <f>SUM(F404:F410)</f>
        <v>1975000</v>
      </c>
      <c r="G411" s="11"/>
      <c r="H411" s="11"/>
      <c r="I411" s="11"/>
      <c r="J411" s="14"/>
      <c r="K411" s="14"/>
      <c r="L411" s="14"/>
      <c r="M411" s="14"/>
      <c r="N411" s="14"/>
      <c r="O411" s="14"/>
      <c r="P411" s="14"/>
      <c r="Q411" s="14"/>
      <c r="R411" s="14"/>
    </row>
    <row r="412" ht="15.75" spans="1:18">
      <c r="A412" s="12">
        <v>14</v>
      </c>
      <c r="B412" s="12" t="s">
        <v>1038</v>
      </c>
      <c r="C412" s="11"/>
      <c r="D412" s="11"/>
      <c r="E412" s="11"/>
      <c r="F412" s="11"/>
      <c r="G412" s="11"/>
      <c r="H412" s="11"/>
      <c r="I412" s="11"/>
      <c r="J412" s="14"/>
      <c r="K412" s="14"/>
      <c r="L412" s="14"/>
      <c r="M412" s="14"/>
      <c r="N412" s="14"/>
      <c r="O412" s="14"/>
      <c r="P412" s="14"/>
      <c r="Q412" s="14"/>
      <c r="R412" s="14"/>
    </row>
    <row r="413" ht="15.75" spans="1:18">
      <c r="A413" s="57">
        <v>1</v>
      </c>
      <c r="B413" s="92" t="s">
        <v>1039</v>
      </c>
      <c r="C413" s="92" t="s">
        <v>1040</v>
      </c>
      <c r="D413" s="60">
        <v>30</v>
      </c>
      <c r="E413" s="162">
        <v>1200</v>
      </c>
      <c r="F413" s="132">
        <f t="shared" ref="F413:F432" si="14">D413*E413</f>
        <v>36000</v>
      </c>
      <c r="G413" s="92" t="s">
        <v>822</v>
      </c>
      <c r="H413" s="92" t="s">
        <v>729</v>
      </c>
      <c r="I413" s="38" t="s">
        <v>778</v>
      </c>
      <c r="J413" s="77"/>
      <c r="K413" s="77"/>
      <c r="L413" s="77">
        <v>15</v>
      </c>
      <c r="M413" s="77">
        <v>18000</v>
      </c>
      <c r="N413" s="77"/>
      <c r="O413" s="77"/>
      <c r="P413" s="77">
        <v>15</v>
      </c>
      <c r="Q413" s="77">
        <v>18000</v>
      </c>
      <c r="R413" s="77"/>
    </row>
    <row r="414" ht="15.75" spans="1:18">
      <c r="A414" s="57">
        <v>2</v>
      </c>
      <c r="B414" s="92" t="s">
        <v>1041</v>
      </c>
      <c r="C414" s="92" t="s">
        <v>1040</v>
      </c>
      <c r="D414" s="60">
        <v>30</v>
      </c>
      <c r="E414" s="162">
        <v>1800</v>
      </c>
      <c r="F414" s="132">
        <f t="shared" si="14"/>
        <v>54000</v>
      </c>
      <c r="G414" s="92" t="s">
        <v>822</v>
      </c>
      <c r="H414" s="92" t="s">
        <v>729</v>
      </c>
      <c r="I414" s="38" t="s">
        <v>778</v>
      </c>
      <c r="J414" s="77"/>
      <c r="K414" s="77"/>
      <c r="L414" s="77">
        <v>15</v>
      </c>
      <c r="M414" s="77">
        <v>27000</v>
      </c>
      <c r="N414" s="77"/>
      <c r="O414" s="77"/>
      <c r="P414" s="77">
        <v>15</v>
      </c>
      <c r="Q414" s="77">
        <v>27000</v>
      </c>
      <c r="R414" s="77"/>
    </row>
    <row r="415" ht="15.75" spans="1:18">
      <c r="A415" s="57">
        <v>3</v>
      </c>
      <c r="B415" s="163" t="s">
        <v>1042</v>
      </c>
      <c r="C415" s="92" t="s">
        <v>1040</v>
      </c>
      <c r="D415" s="60">
        <v>50</v>
      </c>
      <c r="E415" s="162">
        <v>5000</v>
      </c>
      <c r="F415" s="132">
        <f t="shared" si="14"/>
        <v>250000</v>
      </c>
      <c r="G415" s="92" t="s">
        <v>822</v>
      </c>
      <c r="H415" s="92" t="s">
        <v>729</v>
      </c>
      <c r="I415" s="38" t="s">
        <v>778</v>
      </c>
      <c r="J415" s="77"/>
      <c r="K415" s="77"/>
      <c r="L415" s="77">
        <v>25</v>
      </c>
      <c r="M415" s="77">
        <v>125000</v>
      </c>
      <c r="N415" s="77"/>
      <c r="O415" s="77"/>
      <c r="P415" s="77">
        <v>25</v>
      </c>
      <c r="Q415" s="77">
        <v>125000</v>
      </c>
      <c r="R415" s="77"/>
    </row>
    <row r="416" ht="15.75" spans="1:18">
      <c r="A416" s="57">
        <v>4</v>
      </c>
      <c r="B416" s="163" t="s">
        <v>1043</v>
      </c>
      <c r="C416" s="92" t="s">
        <v>1040</v>
      </c>
      <c r="D416" s="60">
        <v>50</v>
      </c>
      <c r="E416" s="162">
        <v>2400</v>
      </c>
      <c r="F416" s="132">
        <f t="shared" si="14"/>
        <v>120000</v>
      </c>
      <c r="G416" s="92" t="s">
        <v>822</v>
      </c>
      <c r="H416" s="92" t="s">
        <v>729</v>
      </c>
      <c r="I416" s="38" t="s">
        <v>778</v>
      </c>
      <c r="J416" s="77"/>
      <c r="K416" s="77"/>
      <c r="L416" s="77">
        <v>25</v>
      </c>
      <c r="M416" s="77">
        <v>60000</v>
      </c>
      <c r="N416" s="77"/>
      <c r="O416" s="77"/>
      <c r="P416" s="77">
        <v>25</v>
      </c>
      <c r="Q416" s="77">
        <v>60000</v>
      </c>
      <c r="R416" s="77"/>
    </row>
    <row r="417" ht="15.75" spans="1:18">
      <c r="A417" s="57">
        <v>5</v>
      </c>
      <c r="B417" s="163" t="s">
        <v>1044</v>
      </c>
      <c r="C417" s="92" t="s">
        <v>1040</v>
      </c>
      <c r="D417" s="60">
        <v>20</v>
      </c>
      <c r="E417" s="162">
        <v>3000</v>
      </c>
      <c r="F417" s="132">
        <f t="shared" si="14"/>
        <v>60000</v>
      </c>
      <c r="G417" s="92" t="s">
        <v>822</v>
      </c>
      <c r="H417" s="92" t="s">
        <v>729</v>
      </c>
      <c r="I417" s="38" t="s">
        <v>778</v>
      </c>
      <c r="J417" s="77"/>
      <c r="K417" s="77"/>
      <c r="L417" s="77">
        <v>10</v>
      </c>
      <c r="M417" s="77">
        <v>30000</v>
      </c>
      <c r="N417" s="77"/>
      <c r="O417" s="77"/>
      <c r="P417" s="77">
        <v>10</v>
      </c>
      <c r="Q417" s="77">
        <v>30000</v>
      </c>
      <c r="R417" s="77"/>
    </row>
    <row r="418" ht="15.75" spans="1:18">
      <c r="A418" s="57">
        <v>6</v>
      </c>
      <c r="B418" s="163" t="s">
        <v>1045</v>
      </c>
      <c r="C418" s="92" t="s">
        <v>1040</v>
      </c>
      <c r="D418" s="60">
        <v>20</v>
      </c>
      <c r="E418" s="162">
        <v>1800</v>
      </c>
      <c r="F418" s="132">
        <f t="shared" si="14"/>
        <v>36000</v>
      </c>
      <c r="G418" s="92" t="s">
        <v>822</v>
      </c>
      <c r="H418" s="92" t="s">
        <v>729</v>
      </c>
      <c r="I418" s="38" t="s">
        <v>778</v>
      </c>
      <c r="J418" s="77"/>
      <c r="K418" s="77"/>
      <c r="L418" s="77">
        <v>10</v>
      </c>
      <c r="M418" s="77">
        <v>18000</v>
      </c>
      <c r="N418" s="77"/>
      <c r="O418" s="77"/>
      <c r="P418" s="77">
        <v>10</v>
      </c>
      <c r="Q418" s="77">
        <v>18000</v>
      </c>
      <c r="R418" s="77"/>
    </row>
    <row r="419" ht="15.75" spans="1:18">
      <c r="A419" s="57">
        <v>7</v>
      </c>
      <c r="B419" s="163" t="s">
        <v>1046</v>
      </c>
      <c r="C419" s="92" t="s">
        <v>1040</v>
      </c>
      <c r="D419" s="60">
        <v>30</v>
      </c>
      <c r="E419" s="162">
        <v>2400</v>
      </c>
      <c r="F419" s="132">
        <f t="shared" si="14"/>
        <v>72000</v>
      </c>
      <c r="G419" s="92" t="s">
        <v>822</v>
      </c>
      <c r="H419" s="92" t="s">
        <v>729</v>
      </c>
      <c r="I419" s="38" t="s">
        <v>778</v>
      </c>
      <c r="J419" s="77"/>
      <c r="K419" s="77"/>
      <c r="L419" s="77">
        <v>15</v>
      </c>
      <c r="M419" s="77">
        <v>36000</v>
      </c>
      <c r="N419" s="77"/>
      <c r="O419" s="77"/>
      <c r="P419" s="77">
        <v>15</v>
      </c>
      <c r="Q419" s="77">
        <v>36000</v>
      </c>
      <c r="R419" s="77"/>
    </row>
    <row r="420" ht="15.75" spans="1:18">
      <c r="A420" s="57">
        <v>8</v>
      </c>
      <c r="B420" s="163" t="s">
        <v>1047</v>
      </c>
      <c r="C420" s="92" t="s">
        <v>1040</v>
      </c>
      <c r="D420" s="60">
        <v>25</v>
      </c>
      <c r="E420" s="162">
        <v>3000</v>
      </c>
      <c r="F420" s="132">
        <f t="shared" si="14"/>
        <v>75000</v>
      </c>
      <c r="G420" s="92" t="s">
        <v>822</v>
      </c>
      <c r="H420" s="92" t="s">
        <v>729</v>
      </c>
      <c r="I420" s="38" t="s">
        <v>778</v>
      </c>
      <c r="J420" s="77"/>
      <c r="K420" s="77"/>
      <c r="L420" s="77">
        <v>10</v>
      </c>
      <c r="M420" s="77">
        <v>30000</v>
      </c>
      <c r="N420" s="77"/>
      <c r="O420" s="77"/>
      <c r="P420" s="77">
        <v>15</v>
      </c>
      <c r="Q420" s="77">
        <v>45000</v>
      </c>
      <c r="R420" s="77"/>
    </row>
    <row r="421" ht="15.75" spans="1:18">
      <c r="A421" s="57">
        <v>9</v>
      </c>
      <c r="B421" s="163" t="s">
        <v>1048</v>
      </c>
      <c r="C421" s="92" t="s">
        <v>1049</v>
      </c>
      <c r="D421" s="60">
        <v>50</v>
      </c>
      <c r="E421" s="162">
        <v>1800</v>
      </c>
      <c r="F421" s="132">
        <f t="shared" si="14"/>
        <v>90000</v>
      </c>
      <c r="G421" s="92" t="s">
        <v>822</v>
      </c>
      <c r="H421" s="92" t="s">
        <v>729</v>
      </c>
      <c r="I421" s="38" t="s">
        <v>778</v>
      </c>
      <c r="J421" s="77"/>
      <c r="K421" s="77"/>
      <c r="L421" s="77">
        <v>25</v>
      </c>
      <c r="M421" s="77">
        <v>45000</v>
      </c>
      <c r="N421" s="77"/>
      <c r="O421" s="77"/>
      <c r="P421" s="77">
        <v>25</v>
      </c>
      <c r="Q421" s="77">
        <v>45000</v>
      </c>
      <c r="R421" s="77"/>
    </row>
    <row r="422" ht="15.75" spans="1:18">
      <c r="A422" s="57">
        <v>10</v>
      </c>
      <c r="B422" s="163" t="s">
        <v>1050</v>
      </c>
      <c r="C422" s="92" t="s">
        <v>1040</v>
      </c>
      <c r="D422" s="60">
        <v>50</v>
      </c>
      <c r="E422" s="162">
        <v>300</v>
      </c>
      <c r="F422" s="132">
        <f t="shared" si="14"/>
        <v>15000</v>
      </c>
      <c r="G422" s="92" t="s">
        <v>822</v>
      </c>
      <c r="H422" s="92" t="s">
        <v>729</v>
      </c>
      <c r="I422" s="38" t="s">
        <v>778</v>
      </c>
      <c r="J422" s="77"/>
      <c r="K422" s="77"/>
      <c r="L422" s="77">
        <v>25</v>
      </c>
      <c r="M422" s="77">
        <v>7500</v>
      </c>
      <c r="N422" s="77"/>
      <c r="O422" s="77"/>
      <c r="P422" s="77">
        <v>25</v>
      </c>
      <c r="Q422" s="77">
        <v>7500</v>
      </c>
      <c r="R422" s="77"/>
    </row>
    <row r="423" ht="15.75" spans="1:18">
      <c r="A423" s="57">
        <v>11</v>
      </c>
      <c r="B423" s="163" t="s">
        <v>1051</v>
      </c>
      <c r="C423" s="92" t="s">
        <v>1040</v>
      </c>
      <c r="D423" s="60">
        <v>40</v>
      </c>
      <c r="E423" s="162">
        <v>300</v>
      </c>
      <c r="F423" s="132">
        <f t="shared" si="14"/>
        <v>12000</v>
      </c>
      <c r="G423" s="92" t="s">
        <v>822</v>
      </c>
      <c r="H423" s="92" t="s">
        <v>729</v>
      </c>
      <c r="I423" s="38" t="s">
        <v>778</v>
      </c>
      <c r="J423" s="77"/>
      <c r="K423" s="77"/>
      <c r="L423" s="77">
        <v>20</v>
      </c>
      <c r="M423" s="77">
        <v>6000</v>
      </c>
      <c r="N423" s="77"/>
      <c r="O423" s="77"/>
      <c r="P423" s="77">
        <v>20</v>
      </c>
      <c r="Q423" s="77">
        <v>6000</v>
      </c>
      <c r="R423" s="77"/>
    </row>
    <row r="424" ht="15.75" spans="1:18">
      <c r="A424" s="57">
        <v>12</v>
      </c>
      <c r="B424" s="163" t="s">
        <v>1052</v>
      </c>
      <c r="C424" s="92" t="s">
        <v>1040</v>
      </c>
      <c r="D424" s="60">
        <v>50</v>
      </c>
      <c r="E424" s="162">
        <v>200</v>
      </c>
      <c r="F424" s="132">
        <f t="shared" si="14"/>
        <v>10000</v>
      </c>
      <c r="G424" s="92" t="s">
        <v>822</v>
      </c>
      <c r="H424" s="92" t="s">
        <v>729</v>
      </c>
      <c r="I424" s="38" t="s">
        <v>778</v>
      </c>
      <c r="J424" s="77"/>
      <c r="K424" s="77"/>
      <c r="L424" s="77">
        <v>25</v>
      </c>
      <c r="M424" s="77">
        <v>5000</v>
      </c>
      <c r="N424" s="77"/>
      <c r="O424" s="77"/>
      <c r="P424" s="77">
        <v>25</v>
      </c>
      <c r="Q424" s="77">
        <v>5000</v>
      </c>
      <c r="R424" s="77"/>
    </row>
    <row r="425" ht="15.75" spans="1:18">
      <c r="A425" s="57">
        <v>13</v>
      </c>
      <c r="B425" s="163" t="s">
        <v>1053</v>
      </c>
      <c r="C425" s="92" t="s">
        <v>1040</v>
      </c>
      <c r="D425" s="60">
        <v>50</v>
      </c>
      <c r="E425" s="162">
        <v>5000</v>
      </c>
      <c r="F425" s="132">
        <f t="shared" si="14"/>
        <v>250000</v>
      </c>
      <c r="G425" s="92" t="s">
        <v>822</v>
      </c>
      <c r="H425" s="92" t="s">
        <v>729</v>
      </c>
      <c r="I425" s="38" t="s">
        <v>778</v>
      </c>
      <c r="J425" s="77"/>
      <c r="K425" s="77"/>
      <c r="L425" s="77">
        <v>25</v>
      </c>
      <c r="M425" s="77">
        <v>125000</v>
      </c>
      <c r="N425" s="77"/>
      <c r="O425" s="77"/>
      <c r="P425" s="77">
        <v>25</v>
      </c>
      <c r="Q425" s="77">
        <v>125000</v>
      </c>
      <c r="R425" s="77"/>
    </row>
    <row r="426" ht="15.75" spans="1:18">
      <c r="A426" s="57">
        <v>14</v>
      </c>
      <c r="B426" s="163" t="s">
        <v>1054</v>
      </c>
      <c r="C426" s="92" t="s">
        <v>1040</v>
      </c>
      <c r="D426" s="60">
        <v>20</v>
      </c>
      <c r="E426" s="162">
        <v>250</v>
      </c>
      <c r="F426" s="132">
        <f t="shared" si="14"/>
        <v>5000</v>
      </c>
      <c r="G426" s="92" t="s">
        <v>822</v>
      </c>
      <c r="H426" s="92" t="s">
        <v>729</v>
      </c>
      <c r="I426" s="38" t="s">
        <v>778</v>
      </c>
      <c r="J426" s="77"/>
      <c r="K426" s="77"/>
      <c r="L426" s="77">
        <v>10</v>
      </c>
      <c r="M426" s="77">
        <v>2500</v>
      </c>
      <c r="N426" s="77"/>
      <c r="O426" s="77"/>
      <c r="P426" s="77">
        <v>10</v>
      </c>
      <c r="Q426" s="77">
        <v>2500</v>
      </c>
      <c r="R426" s="77"/>
    </row>
    <row r="427" ht="15.75" spans="1:18">
      <c r="A427" s="57">
        <v>15</v>
      </c>
      <c r="B427" s="163" t="s">
        <v>1055</v>
      </c>
      <c r="C427" s="92" t="s">
        <v>1040</v>
      </c>
      <c r="D427" s="60">
        <v>10</v>
      </c>
      <c r="E427" s="162">
        <v>250</v>
      </c>
      <c r="F427" s="132">
        <f t="shared" si="14"/>
        <v>2500</v>
      </c>
      <c r="G427" s="92" t="s">
        <v>822</v>
      </c>
      <c r="H427" s="92" t="s">
        <v>729</v>
      </c>
      <c r="I427" s="38" t="s">
        <v>778</v>
      </c>
      <c r="J427" s="77"/>
      <c r="K427" s="77"/>
      <c r="L427" s="77">
        <v>10</v>
      </c>
      <c r="M427" s="77">
        <v>2500</v>
      </c>
      <c r="N427" s="77"/>
      <c r="O427" s="77"/>
      <c r="P427" s="77"/>
      <c r="Q427" s="77"/>
      <c r="R427" s="77"/>
    </row>
    <row r="428" ht="15.75" spans="1:18">
      <c r="A428" s="57">
        <v>16</v>
      </c>
      <c r="B428" s="163" t="s">
        <v>1056</v>
      </c>
      <c r="C428" s="92" t="s">
        <v>1040</v>
      </c>
      <c r="D428" s="60">
        <v>20</v>
      </c>
      <c r="E428" s="162">
        <v>250</v>
      </c>
      <c r="F428" s="132">
        <f t="shared" si="14"/>
        <v>5000</v>
      </c>
      <c r="G428" s="92" t="s">
        <v>822</v>
      </c>
      <c r="H428" s="92" t="s">
        <v>729</v>
      </c>
      <c r="I428" s="38" t="s">
        <v>778</v>
      </c>
      <c r="J428" s="77"/>
      <c r="K428" s="77"/>
      <c r="L428" s="77">
        <v>10</v>
      </c>
      <c r="M428" s="77">
        <v>2500</v>
      </c>
      <c r="N428" s="77"/>
      <c r="O428" s="77"/>
      <c r="P428" s="77">
        <v>10</v>
      </c>
      <c r="Q428" s="77">
        <v>2500</v>
      </c>
      <c r="R428" s="77"/>
    </row>
    <row r="429" ht="15.75" spans="1:18">
      <c r="A429" s="57">
        <v>17</v>
      </c>
      <c r="B429" s="163" t="s">
        <v>1057</v>
      </c>
      <c r="C429" s="92" t="s">
        <v>1040</v>
      </c>
      <c r="D429" s="60">
        <v>100</v>
      </c>
      <c r="E429" s="162">
        <v>500</v>
      </c>
      <c r="F429" s="164">
        <f t="shared" si="14"/>
        <v>50000</v>
      </c>
      <c r="G429" s="92" t="s">
        <v>822</v>
      </c>
      <c r="H429" s="92" t="s">
        <v>729</v>
      </c>
      <c r="I429" s="38" t="s">
        <v>778</v>
      </c>
      <c r="J429" s="77"/>
      <c r="K429" s="77"/>
      <c r="L429" s="77">
        <v>50</v>
      </c>
      <c r="M429" s="77">
        <v>25000</v>
      </c>
      <c r="N429" s="77"/>
      <c r="O429" s="77"/>
      <c r="P429" s="77">
        <v>50</v>
      </c>
      <c r="Q429" s="77">
        <v>25000</v>
      </c>
      <c r="R429" s="77"/>
    </row>
    <row r="430" ht="15.75" spans="1:18">
      <c r="A430" s="57">
        <v>18</v>
      </c>
      <c r="B430" s="163" t="s">
        <v>1058</v>
      </c>
      <c r="C430" s="92" t="s">
        <v>1040</v>
      </c>
      <c r="D430" s="60">
        <v>20</v>
      </c>
      <c r="E430" s="162">
        <v>7500</v>
      </c>
      <c r="F430" s="132">
        <f t="shared" si="14"/>
        <v>150000</v>
      </c>
      <c r="G430" s="92" t="s">
        <v>822</v>
      </c>
      <c r="H430" s="92" t="s">
        <v>729</v>
      </c>
      <c r="I430" s="38" t="s">
        <v>778</v>
      </c>
      <c r="J430" s="77"/>
      <c r="K430" s="77"/>
      <c r="L430" s="77">
        <v>10</v>
      </c>
      <c r="M430" s="77">
        <v>75000</v>
      </c>
      <c r="N430" s="77"/>
      <c r="O430" s="77"/>
      <c r="P430" s="77">
        <v>10</v>
      </c>
      <c r="Q430" s="77">
        <v>75000</v>
      </c>
      <c r="R430" s="77"/>
    </row>
    <row r="431" ht="15.75" spans="1:18">
      <c r="A431" s="57">
        <v>19</v>
      </c>
      <c r="B431" s="163" t="s">
        <v>1059</v>
      </c>
      <c r="C431" s="92" t="s">
        <v>1040</v>
      </c>
      <c r="D431" s="60">
        <v>20</v>
      </c>
      <c r="E431" s="162">
        <v>1500</v>
      </c>
      <c r="F431" s="132">
        <f t="shared" si="14"/>
        <v>30000</v>
      </c>
      <c r="G431" s="92" t="s">
        <v>822</v>
      </c>
      <c r="H431" s="92" t="s">
        <v>729</v>
      </c>
      <c r="I431" s="38" t="s">
        <v>778</v>
      </c>
      <c r="J431" s="77"/>
      <c r="K431" s="77"/>
      <c r="L431" s="77">
        <v>10</v>
      </c>
      <c r="M431" s="77">
        <v>15000</v>
      </c>
      <c r="N431" s="77"/>
      <c r="O431" s="77"/>
      <c r="P431" s="77">
        <v>10</v>
      </c>
      <c r="Q431" s="77">
        <v>15000</v>
      </c>
      <c r="R431" s="77"/>
    </row>
    <row r="432" ht="15.75" spans="1:18">
      <c r="A432" s="57">
        <v>20</v>
      </c>
      <c r="B432" s="163" t="s">
        <v>1060</v>
      </c>
      <c r="C432" s="92" t="s">
        <v>1040</v>
      </c>
      <c r="D432" s="60">
        <v>20</v>
      </c>
      <c r="E432" s="162">
        <v>1200</v>
      </c>
      <c r="F432" s="132">
        <f t="shared" si="14"/>
        <v>24000</v>
      </c>
      <c r="G432" s="92" t="s">
        <v>822</v>
      </c>
      <c r="H432" s="92" t="s">
        <v>729</v>
      </c>
      <c r="I432" s="38" t="s">
        <v>778</v>
      </c>
      <c r="J432" s="77"/>
      <c r="K432" s="77"/>
      <c r="L432" s="77">
        <v>10</v>
      </c>
      <c r="M432" s="77">
        <v>12000</v>
      </c>
      <c r="N432" s="77"/>
      <c r="O432" s="77"/>
      <c r="P432" s="77">
        <v>10</v>
      </c>
      <c r="Q432" s="77">
        <v>12000</v>
      </c>
      <c r="R432" s="77"/>
    </row>
    <row r="433" ht="15.75" spans="1:18">
      <c r="A433" s="11"/>
      <c r="B433" s="12" t="s">
        <v>22</v>
      </c>
      <c r="C433" s="11"/>
      <c r="D433" s="11"/>
      <c r="E433" s="11"/>
      <c r="F433" s="118">
        <f>SUM(F413:F432)</f>
        <v>1346500</v>
      </c>
      <c r="G433" s="11"/>
      <c r="H433" s="11"/>
      <c r="I433" s="11"/>
      <c r="J433" s="14"/>
      <c r="K433" s="14"/>
      <c r="L433" s="14"/>
      <c r="M433" s="165"/>
      <c r="N433" s="14"/>
      <c r="O433" s="165"/>
      <c r="P433" s="14"/>
      <c r="Q433" s="14"/>
      <c r="R433" s="14"/>
    </row>
    <row r="434" ht="15.75" spans="1:18">
      <c r="A434" s="11"/>
      <c r="B434" s="11"/>
      <c r="C434" s="11"/>
      <c r="D434" s="11"/>
      <c r="E434" s="11"/>
      <c r="F434" s="11"/>
      <c r="G434" s="11"/>
      <c r="H434" s="11"/>
      <c r="I434" s="11"/>
      <c r="J434" s="14"/>
      <c r="K434" s="14"/>
      <c r="L434" s="14"/>
      <c r="M434" s="132"/>
      <c r="N434" s="14"/>
      <c r="O434" s="132"/>
      <c r="P434" s="14"/>
      <c r="Q434" s="14"/>
      <c r="R434" s="14"/>
    </row>
    <row r="435" ht="15.75" spans="1:18">
      <c r="A435" s="12">
        <v>15</v>
      </c>
      <c r="B435" s="12" t="s">
        <v>1061</v>
      </c>
      <c r="C435" s="11"/>
      <c r="D435" s="11"/>
      <c r="E435" s="11"/>
      <c r="F435" s="11"/>
      <c r="G435" s="11"/>
      <c r="H435" s="11"/>
      <c r="I435" s="11"/>
      <c r="J435" s="14"/>
      <c r="K435" s="14"/>
      <c r="L435" s="14"/>
      <c r="M435" s="132"/>
      <c r="N435" s="14"/>
      <c r="O435" s="132"/>
      <c r="P435" s="14"/>
      <c r="Q435" s="14"/>
      <c r="R435" s="14"/>
    </row>
    <row r="436" ht="15.75" spans="1:18">
      <c r="A436" s="57">
        <v>1</v>
      </c>
      <c r="B436" s="92" t="s">
        <v>1062</v>
      </c>
      <c r="C436" s="92" t="s">
        <v>1040</v>
      </c>
      <c r="D436" s="60">
        <v>1</v>
      </c>
      <c r="E436" s="162">
        <v>120000</v>
      </c>
      <c r="F436" s="165">
        <f t="shared" ref="F436:F459" si="15">D436*E436</f>
        <v>120000</v>
      </c>
      <c r="G436" s="92" t="s">
        <v>822</v>
      </c>
      <c r="H436" s="92" t="s">
        <v>729</v>
      </c>
      <c r="I436" s="38" t="s">
        <v>778</v>
      </c>
      <c r="J436" s="14"/>
      <c r="K436" s="14"/>
      <c r="L436" s="14"/>
      <c r="M436" s="132"/>
      <c r="N436" s="60">
        <v>1</v>
      </c>
      <c r="O436" s="162">
        <v>120000</v>
      </c>
      <c r="P436" s="14"/>
      <c r="Q436" s="14"/>
      <c r="R436" s="14"/>
    </row>
    <row r="437" ht="15.75" spans="1:18">
      <c r="A437" s="57">
        <v>2</v>
      </c>
      <c r="B437" s="92" t="s">
        <v>1063</v>
      </c>
      <c r="C437" s="92" t="s">
        <v>1040</v>
      </c>
      <c r="D437" s="60">
        <v>1</v>
      </c>
      <c r="E437" s="162">
        <v>69000</v>
      </c>
      <c r="F437" s="132">
        <f t="shared" si="15"/>
        <v>69000</v>
      </c>
      <c r="G437" s="92" t="s">
        <v>822</v>
      </c>
      <c r="H437" s="92" t="s">
        <v>729</v>
      </c>
      <c r="I437" s="38" t="s">
        <v>778</v>
      </c>
      <c r="J437" s="14"/>
      <c r="K437" s="14"/>
      <c r="L437" s="14"/>
      <c r="M437" s="132"/>
      <c r="N437" s="60">
        <v>1</v>
      </c>
      <c r="O437" s="162">
        <v>69000</v>
      </c>
      <c r="P437" s="14"/>
      <c r="Q437" s="14"/>
      <c r="R437" s="14"/>
    </row>
    <row r="438" ht="15.75" spans="1:18">
      <c r="A438" s="57">
        <v>3</v>
      </c>
      <c r="B438" s="163" t="s">
        <v>1064</v>
      </c>
      <c r="C438" s="92" t="s">
        <v>1040</v>
      </c>
      <c r="D438" s="60">
        <v>1</v>
      </c>
      <c r="E438" s="162">
        <v>40000</v>
      </c>
      <c r="F438" s="132">
        <f t="shared" si="15"/>
        <v>40000</v>
      </c>
      <c r="G438" s="92" t="s">
        <v>822</v>
      </c>
      <c r="H438" s="92" t="s">
        <v>729</v>
      </c>
      <c r="I438" s="38" t="s">
        <v>778</v>
      </c>
      <c r="J438" s="14"/>
      <c r="K438" s="14"/>
      <c r="L438" s="14"/>
      <c r="M438" s="164"/>
      <c r="N438" s="60">
        <v>1</v>
      </c>
      <c r="O438" s="162">
        <v>40000</v>
      </c>
      <c r="P438" s="14"/>
      <c r="Q438" s="14"/>
      <c r="R438" s="71"/>
    </row>
    <row r="439" ht="15.75" spans="1:18">
      <c r="A439" s="57">
        <v>4</v>
      </c>
      <c r="B439" s="163" t="s">
        <v>1065</v>
      </c>
      <c r="C439" s="92" t="s">
        <v>1040</v>
      </c>
      <c r="D439" s="60">
        <v>1</v>
      </c>
      <c r="E439" s="162">
        <v>32000</v>
      </c>
      <c r="F439" s="132">
        <f t="shared" si="15"/>
        <v>32000</v>
      </c>
      <c r="G439" s="92" t="s">
        <v>822</v>
      </c>
      <c r="H439" s="92" t="s">
        <v>729</v>
      </c>
      <c r="I439" s="38" t="s">
        <v>778</v>
      </c>
      <c r="J439" s="14"/>
      <c r="K439" s="14"/>
      <c r="L439" s="14"/>
      <c r="M439" s="132"/>
      <c r="N439" s="60">
        <v>1</v>
      </c>
      <c r="O439" s="162">
        <v>32000</v>
      </c>
      <c r="P439" s="14"/>
      <c r="Q439" s="14"/>
      <c r="R439" s="14"/>
    </row>
    <row r="440" ht="15.75" spans="1:18">
      <c r="A440" s="57">
        <v>5</v>
      </c>
      <c r="B440" s="163" t="s">
        <v>1066</v>
      </c>
      <c r="C440" s="92" t="s">
        <v>1040</v>
      </c>
      <c r="D440" s="60">
        <v>1</v>
      </c>
      <c r="E440" s="162">
        <v>13000</v>
      </c>
      <c r="F440" s="132">
        <f t="shared" si="15"/>
        <v>13000</v>
      </c>
      <c r="G440" s="92" t="s">
        <v>822</v>
      </c>
      <c r="H440" s="92" t="s">
        <v>729</v>
      </c>
      <c r="I440" s="38" t="s">
        <v>778</v>
      </c>
      <c r="J440" s="150"/>
      <c r="K440" s="150"/>
      <c r="L440" s="77"/>
      <c r="M440" s="132"/>
      <c r="N440" s="60">
        <v>1</v>
      </c>
      <c r="O440" s="162">
        <v>13000</v>
      </c>
      <c r="P440" s="77"/>
      <c r="Q440" s="77"/>
      <c r="R440" s="91"/>
    </row>
    <row r="441" ht="15.75" spans="1:18">
      <c r="A441" s="57">
        <v>6</v>
      </c>
      <c r="B441" s="163" t="s">
        <v>1067</v>
      </c>
      <c r="C441" s="92" t="s">
        <v>1040</v>
      </c>
      <c r="D441" s="60">
        <v>1</v>
      </c>
      <c r="E441" s="162">
        <v>222000</v>
      </c>
      <c r="F441" s="164">
        <f t="shared" si="15"/>
        <v>222000</v>
      </c>
      <c r="G441" s="92" t="s">
        <v>822</v>
      </c>
      <c r="H441" s="92" t="s">
        <v>729</v>
      </c>
      <c r="I441" s="38" t="s">
        <v>778</v>
      </c>
      <c r="J441" s="77"/>
      <c r="K441" s="77"/>
      <c r="L441" s="77"/>
      <c r="M441" s="132"/>
      <c r="N441" s="60">
        <v>1</v>
      </c>
      <c r="O441" s="162">
        <v>222000</v>
      </c>
      <c r="P441" s="77"/>
      <c r="Q441" s="77"/>
      <c r="R441" s="91"/>
    </row>
    <row r="442" ht="15.75" spans="1:18">
      <c r="A442" s="57">
        <v>7</v>
      </c>
      <c r="B442" s="163" t="s">
        <v>1068</v>
      </c>
      <c r="C442" s="92" t="s">
        <v>1040</v>
      </c>
      <c r="D442" s="60">
        <v>1</v>
      </c>
      <c r="E442" s="162">
        <v>22000</v>
      </c>
      <c r="F442" s="132">
        <f t="shared" si="15"/>
        <v>22000</v>
      </c>
      <c r="G442" s="92" t="s">
        <v>822</v>
      </c>
      <c r="H442" s="92" t="s">
        <v>729</v>
      </c>
      <c r="I442" s="38" t="s">
        <v>778</v>
      </c>
      <c r="J442" s="77"/>
      <c r="K442" s="77"/>
      <c r="L442" s="77"/>
      <c r="M442" s="132"/>
      <c r="N442" s="60">
        <v>1</v>
      </c>
      <c r="O442" s="162">
        <v>22000</v>
      </c>
      <c r="P442" s="91"/>
      <c r="Q442" s="91"/>
      <c r="R442" s="14"/>
    </row>
    <row r="443" ht="15.75" spans="1:18">
      <c r="A443" s="57">
        <v>8</v>
      </c>
      <c r="B443" s="163" t="s">
        <v>1069</v>
      </c>
      <c r="C443" s="92" t="s">
        <v>1040</v>
      </c>
      <c r="D443" s="60">
        <v>1</v>
      </c>
      <c r="E443" s="162">
        <v>17000</v>
      </c>
      <c r="F443" s="132">
        <f t="shared" si="15"/>
        <v>17000</v>
      </c>
      <c r="G443" s="92" t="s">
        <v>822</v>
      </c>
      <c r="H443" s="92" t="s">
        <v>729</v>
      </c>
      <c r="I443" s="38" t="s">
        <v>778</v>
      </c>
      <c r="J443" s="14"/>
      <c r="K443" s="14"/>
      <c r="L443" s="14"/>
      <c r="M443" s="132"/>
      <c r="N443" s="60">
        <v>1</v>
      </c>
      <c r="O443" s="162">
        <v>17000</v>
      </c>
      <c r="P443" s="14"/>
      <c r="Q443" s="14"/>
      <c r="R443" s="14"/>
    </row>
    <row r="444" ht="15.75" spans="1:18">
      <c r="A444" s="57">
        <v>9</v>
      </c>
      <c r="B444" s="163" t="s">
        <v>1070</v>
      </c>
      <c r="C444" s="92" t="s">
        <v>1071</v>
      </c>
      <c r="D444" s="60">
        <v>1</v>
      </c>
      <c r="E444" s="162">
        <v>23000</v>
      </c>
      <c r="F444" s="132">
        <f t="shared" si="15"/>
        <v>23000</v>
      </c>
      <c r="G444" s="92" t="s">
        <v>822</v>
      </c>
      <c r="H444" s="92" t="s">
        <v>729</v>
      </c>
      <c r="I444" s="38" t="s">
        <v>778</v>
      </c>
      <c r="J444" s="14"/>
      <c r="K444" s="14"/>
      <c r="L444" s="14"/>
      <c r="M444" s="164"/>
      <c r="N444" s="60">
        <v>1</v>
      </c>
      <c r="O444" s="162">
        <v>23000</v>
      </c>
      <c r="P444" s="14"/>
      <c r="Q444" s="14"/>
      <c r="R444" s="14"/>
    </row>
    <row r="445" ht="15.75" spans="1:18">
      <c r="A445" s="57">
        <v>10</v>
      </c>
      <c r="B445" s="163" t="s">
        <v>1072</v>
      </c>
      <c r="C445" s="92" t="s">
        <v>1040</v>
      </c>
      <c r="D445" s="60">
        <v>1</v>
      </c>
      <c r="E445" s="162">
        <v>14000</v>
      </c>
      <c r="F445" s="132">
        <f t="shared" si="15"/>
        <v>14000</v>
      </c>
      <c r="G445" s="92" t="s">
        <v>822</v>
      </c>
      <c r="H445" s="92" t="s">
        <v>729</v>
      </c>
      <c r="I445" s="38" t="s">
        <v>778</v>
      </c>
      <c r="J445" s="14"/>
      <c r="K445" s="14"/>
      <c r="L445" s="14"/>
      <c r="M445" s="14"/>
      <c r="N445" s="60">
        <v>1</v>
      </c>
      <c r="O445" s="162">
        <v>14000</v>
      </c>
      <c r="P445" s="14"/>
      <c r="Q445" s="14"/>
      <c r="R445" s="14"/>
    </row>
    <row r="446" ht="15.75" spans="1:18">
      <c r="A446" s="57">
        <v>11</v>
      </c>
      <c r="B446" s="163" t="s">
        <v>1073</v>
      </c>
      <c r="C446" s="92" t="s">
        <v>1040</v>
      </c>
      <c r="D446" s="60">
        <v>1</v>
      </c>
      <c r="E446" s="162">
        <v>29000</v>
      </c>
      <c r="F446" s="132">
        <f t="shared" si="15"/>
        <v>29000</v>
      </c>
      <c r="G446" s="92" t="s">
        <v>822</v>
      </c>
      <c r="H446" s="92" t="s">
        <v>729</v>
      </c>
      <c r="I446" s="38" t="s">
        <v>778</v>
      </c>
      <c r="J446" s="14"/>
      <c r="K446" s="14"/>
      <c r="L446" s="14"/>
      <c r="M446" s="14"/>
      <c r="N446" s="60">
        <v>1</v>
      </c>
      <c r="O446" s="162">
        <v>29000</v>
      </c>
      <c r="P446" s="14"/>
      <c r="Q446" s="14"/>
      <c r="R446" s="14"/>
    </row>
    <row r="447" ht="32.25" customHeight="1" spans="1:18">
      <c r="A447" s="57">
        <v>12</v>
      </c>
      <c r="B447" s="163" t="s">
        <v>1074</v>
      </c>
      <c r="C447" s="92" t="s">
        <v>1040</v>
      </c>
      <c r="D447" s="60">
        <v>4</v>
      </c>
      <c r="E447" s="162">
        <v>3000</v>
      </c>
      <c r="F447" s="164">
        <f t="shared" si="15"/>
        <v>12000</v>
      </c>
      <c r="G447" s="92" t="s">
        <v>822</v>
      </c>
      <c r="H447" s="92" t="s">
        <v>729</v>
      </c>
      <c r="I447" s="38" t="s">
        <v>778</v>
      </c>
      <c r="J447" s="14"/>
      <c r="K447" s="14"/>
      <c r="L447" s="14"/>
      <c r="M447" s="14"/>
      <c r="N447" s="14">
        <v>4</v>
      </c>
      <c r="O447" s="164">
        <v>12000</v>
      </c>
      <c r="P447" s="14"/>
      <c r="Q447" s="14"/>
      <c r="R447" s="14"/>
    </row>
    <row r="448" ht="15.75" spans="1:18">
      <c r="A448" s="57">
        <v>13</v>
      </c>
      <c r="B448" s="163" t="s">
        <v>1075</v>
      </c>
      <c r="C448" s="92" t="s">
        <v>1071</v>
      </c>
      <c r="D448" s="60">
        <v>2</v>
      </c>
      <c r="E448" s="162">
        <v>5000</v>
      </c>
      <c r="F448" s="132">
        <f t="shared" si="15"/>
        <v>10000</v>
      </c>
      <c r="G448" s="92" t="s">
        <v>822</v>
      </c>
      <c r="H448" s="92" t="s">
        <v>729</v>
      </c>
      <c r="I448" s="38" t="s">
        <v>778</v>
      </c>
      <c r="J448" s="14"/>
      <c r="K448" s="14"/>
      <c r="L448" s="14"/>
      <c r="M448" s="14"/>
      <c r="N448" s="14"/>
      <c r="O448" s="14"/>
      <c r="P448" s="14"/>
      <c r="Q448" s="162">
        <v>10000</v>
      </c>
      <c r="R448" s="14"/>
    </row>
    <row r="449" ht="15.75" spans="1:18">
      <c r="A449" s="57">
        <v>14</v>
      </c>
      <c r="B449" s="163" t="s">
        <v>1076</v>
      </c>
      <c r="C449" s="92" t="s">
        <v>1040</v>
      </c>
      <c r="D449" s="60">
        <v>2</v>
      </c>
      <c r="E449" s="162">
        <v>2000</v>
      </c>
      <c r="F449" s="132">
        <f t="shared" si="15"/>
        <v>4000</v>
      </c>
      <c r="G449" s="92" t="s">
        <v>822</v>
      </c>
      <c r="H449" s="92" t="s">
        <v>729</v>
      </c>
      <c r="I449" s="38" t="s">
        <v>778</v>
      </c>
      <c r="J449" s="14"/>
      <c r="K449" s="14"/>
      <c r="L449" s="14"/>
      <c r="M449" s="14"/>
      <c r="N449" s="14"/>
      <c r="O449" s="14"/>
      <c r="P449" s="14"/>
      <c r="Q449" s="162">
        <v>4000</v>
      </c>
      <c r="R449" s="14"/>
    </row>
    <row r="450" ht="15.75" spans="1:18">
      <c r="A450" s="57">
        <v>15</v>
      </c>
      <c r="B450" s="163" t="s">
        <v>1077</v>
      </c>
      <c r="C450" s="92" t="s">
        <v>795</v>
      </c>
      <c r="D450" s="60">
        <v>1</v>
      </c>
      <c r="E450" s="162">
        <v>29000</v>
      </c>
      <c r="F450" s="164">
        <f t="shared" si="15"/>
        <v>29000</v>
      </c>
      <c r="G450" s="92" t="s">
        <v>822</v>
      </c>
      <c r="H450" s="92" t="s">
        <v>729</v>
      </c>
      <c r="I450" s="38" t="s">
        <v>778</v>
      </c>
      <c r="J450" s="14"/>
      <c r="K450" s="14"/>
      <c r="L450" s="14"/>
      <c r="M450" s="14"/>
      <c r="N450" s="14"/>
      <c r="O450" s="14"/>
      <c r="P450" s="14"/>
      <c r="Q450" s="162">
        <v>29000</v>
      </c>
      <c r="R450" s="14"/>
    </row>
    <row r="451" ht="15.75" spans="1:18">
      <c r="A451" s="57">
        <v>16</v>
      </c>
      <c r="B451" s="163" t="s">
        <v>1078</v>
      </c>
      <c r="C451" s="92" t="s">
        <v>1040</v>
      </c>
      <c r="D451" s="60">
        <v>1</v>
      </c>
      <c r="E451" s="162">
        <v>20000</v>
      </c>
      <c r="F451" s="164">
        <f t="shared" si="15"/>
        <v>20000</v>
      </c>
      <c r="G451" s="92" t="s">
        <v>822</v>
      </c>
      <c r="H451" s="92" t="s">
        <v>729</v>
      </c>
      <c r="I451" s="38" t="s">
        <v>778</v>
      </c>
      <c r="J451" s="14"/>
      <c r="K451" s="14"/>
      <c r="L451" s="14"/>
      <c r="M451" s="14"/>
      <c r="N451" s="14"/>
      <c r="O451" s="14"/>
      <c r="P451" s="14"/>
      <c r="Q451" s="162">
        <v>20000</v>
      </c>
      <c r="R451" s="14"/>
    </row>
    <row r="452" ht="15.75" spans="1:18">
      <c r="A452" s="57">
        <v>17</v>
      </c>
      <c r="B452" s="163" t="s">
        <v>1079</v>
      </c>
      <c r="C452" s="92" t="s">
        <v>1040</v>
      </c>
      <c r="D452" s="60">
        <v>1</v>
      </c>
      <c r="E452" s="162">
        <v>2000</v>
      </c>
      <c r="F452" s="164">
        <f t="shared" si="15"/>
        <v>2000</v>
      </c>
      <c r="G452" s="92" t="s">
        <v>822</v>
      </c>
      <c r="H452" s="92" t="s">
        <v>729</v>
      </c>
      <c r="I452" s="38" t="s">
        <v>778</v>
      </c>
      <c r="J452" s="14"/>
      <c r="K452" s="14"/>
      <c r="L452" s="14"/>
      <c r="M452" s="14"/>
      <c r="N452" s="14"/>
      <c r="O452" s="14"/>
      <c r="P452" s="14"/>
      <c r="Q452" s="162">
        <v>2000</v>
      </c>
      <c r="R452" s="14"/>
    </row>
    <row r="453" ht="15.75" spans="1:18">
      <c r="A453" s="57">
        <v>18</v>
      </c>
      <c r="B453" s="163" t="s">
        <v>1080</v>
      </c>
      <c r="C453" s="92" t="s">
        <v>1040</v>
      </c>
      <c r="D453" s="60">
        <v>1</v>
      </c>
      <c r="E453" s="162">
        <v>2000</v>
      </c>
      <c r="F453" s="164">
        <f t="shared" si="15"/>
        <v>2000</v>
      </c>
      <c r="G453" s="92" t="s">
        <v>822</v>
      </c>
      <c r="H453" s="92" t="s">
        <v>729</v>
      </c>
      <c r="I453" s="38" t="s">
        <v>778</v>
      </c>
      <c r="J453" s="14"/>
      <c r="K453" s="14"/>
      <c r="L453" s="14"/>
      <c r="M453" s="14"/>
      <c r="N453" s="14"/>
      <c r="O453" s="14"/>
      <c r="P453" s="14"/>
      <c r="Q453" s="162">
        <v>2000</v>
      </c>
      <c r="R453" s="14"/>
    </row>
    <row r="454" ht="15.75" spans="1:18">
      <c r="A454" s="57">
        <v>19</v>
      </c>
      <c r="B454" s="163" t="s">
        <v>1081</v>
      </c>
      <c r="C454" s="92" t="s">
        <v>1040</v>
      </c>
      <c r="D454" s="60">
        <v>1</v>
      </c>
      <c r="E454" s="162">
        <v>1500</v>
      </c>
      <c r="F454" s="164">
        <f t="shared" si="15"/>
        <v>1500</v>
      </c>
      <c r="G454" s="92" t="s">
        <v>822</v>
      </c>
      <c r="H454" s="92" t="s">
        <v>729</v>
      </c>
      <c r="I454" s="38" t="s">
        <v>778</v>
      </c>
      <c r="J454" s="14"/>
      <c r="K454" s="14"/>
      <c r="L454" s="14"/>
      <c r="M454" s="14"/>
      <c r="N454" s="14"/>
      <c r="O454" s="14"/>
      <c r="P454" s="14"/>
      <c r="Q454" s="162">
        <v>1500</v>
      </c>
      <c r="R454" s="14"/>
    </row>
    <row r="455" ht="15.75" spans="1:18">
      <c r="A455" s="57">
        <v>20</v>
      </c>
      <c r="B455" s="163" t="s">
        <v>1082</v>
      </c>
      <c r="C455" s="92" t="s">
        <v>795</v>
      </c>
      <c r="D455" s="60">
        <v>1</v>
      </c>
      <c r="E455" s="162">
        <v>6000</v>
      </c>
      <c r="F455" s="164">
        <f t="shared" si="15"/>
        <v>6000</v>
      </c>
      <c r="G455" s="92" t="s">
        <v>822</v>
      </c>
      <c r="H455" s="92" t="s">
        <v>729</v>
      </c>
      <c r="I455" s="38" t="s">
        <v>778</v>
      </c>
      <c r="J455" s="14"/>
      <c r="K455" s="14"/>
      <c r="L455" s="14"/>
      <c r="M455" s="14"/>
      <c r="N455" s="14"/>
      <c r="O455" s="14"/>
      <c r="P455" s="14"/>
      <c r="Q455" s="162">
        <v>6000</v>
      </c>
      <c r="R455" s="14"/>
    </row>
    <row r="456" ht="15.75" spans="1:18">
      <c r="A456" s="57">
        <v>21</v>
      </c>
      <c r="B456" s="163" t="s">
        <v>1083</v>
      </c>
      <c r="C456" s="92" t="s">
        <v>795</v>
      </c>
      <c r="D456" s="60">
        <v>1</v>
      </c>
      <c r="E456" s="162">
        <v>2000</v>
      </c>
      <c r="F456" s="164">
        <f t="shared" si="15"/>
        <v>2000</v>
      </c>
      <c r="G456" s="92" t="s">
        <v>822</v>
      </c>
      <c r="H456" s="92" t="s">
        <v>729</v>
      </c>
      <c r="I456" s="38" t="s">
        <v>778</v>
      </c>
      <c r="J456" s="14"/>
      <c r="K456" s="14"/>
      <c r="L456" s="14"/>
      <c r="M456" s="14"/>
      <c r="N456" s="14"/>
      <c r="O456" s="14"/>
      <c r="P456" s="14"/>
      <c r="Q456" s="162">
        <v>2000</v>
      </c>
      <c r="R456" s="14"/>
    </row>
    <row r="457" ht="15.75" spans="1:18">
      <c r="A457" s="57">
        <v>22</v>
      </c>
      <c r="B457" s="163" t="s">
        <v>1084</v>
      </c>
      <c r="C457" s="92" t="s">
        <v>1040</v>
      </c>
      <c r="D457" s="60">
        <v>1</v>
      </c>
      <c r="E457" s="162">
        <v>3000</v>
      </c>
      <c r="F457" s="164">
        <f t="shared" si="15"/>
        <v>3000</v>
      </c>
      <c r="G457" s="92" t="s">
        <v>822</v>
      </c>
      <c r="H457" s="92" t="s">
        <v>729</v>
      </c>
      <c r="I457" s="38" t="s">
        <v>778</v>
      </c>
      <c r="J457" s="14"/>
      <c r="K457" s="14"/>
      <c r="L457" s="14"/>
      <c r="M457" s="14"/>
      <c r="N457" s="14"/>
      <c r="O457" s="14"/>
      <c r="P457" s="14"/>
      <c r="Q457" s="162">
        <v>3000</v>
      </c>
      <c r="R457" s="14"/>
    </row>
    <row r="458" ht="15.75" spans="1:18">
      <c r="A458" s="57">
        <v>23</v>
      </c>
      <c r="B458" s="163" t="s">
        <v>1085</v>
      </c>
      <c r="C458" s="92" t="s">
        <v>1040</v>
      </c>
      <c r="D458" s="60">
        <v>1</v>
      </c>
      <c r="E458" s="162">
        <v>90000</v>
      </c>
      <c r="F458" s="164">
        <f t="shared" si="15"/>
        <v>90000</v>
      </c>
      <c r="G458" s="92" t="s">
        <v>822</v>
      </c>
      <c r="H458" s="92" t="s">
        <v>729</v>
      </c>
      <c r="I458" s="38" t="s">
        <v>778</v>
      </c>
      <c r="J458" s="14"/>
      <c r="K458" s="14"/>
      <c r="L458" s="14"/>
      <c r="M458" s="14"/>
      <c r="N458" s="14"/>
      <c r="O458" s="14"/>
      <c r="P458" s="14"/>
      <c r="Q458" s="162">
        <v>90000</v>
      </c>
      <c r="R458" s="14"/>
    </row>
    <row r="459" ht="15.75" spans="1:18">
      <c r="A459" s="57">
        <v>24</v>
      </c>
      <c r="B459" s="163" t="s">
        <v>1086</v>
      </c>
      <c r="C459" s="92" t="s">
        <v>795</v>
      </c>
      <c r="D459" s="60">
        <v>1</v>
      </c>
      <c r="E459" s="162">
        <v>30000</v>
      </c>
      <c r="F459" s="164">
        <f t="shared" si="15"/>
        <v>30000</v>
      </c>
      <c r="G459" s="92" t="s">
        <v>822</v>
      </c>
      <c r="H459" s="92" t="s">
        <v>729</v>
      </c>
      <c r="I459" s="38" t="s">
        <v>778</v>
      </c>
      <c r="J459" s="14"/>
      <c r="K459" s="14"/>
      <c r="L459" s="14"/>
      <c r="M459" s="14"/>
      <c r="N459" s="14"/>
      <c r="O459" s="14"/>
      <c r="P459" s="14"/>
      <c r="Q459" s="162">
        <v>30000</v>
      </c>
      <c r="R459" s="14"/>
    </row>
    <row r="460" ht="15.75" spans="1:18">
      <c r="A460" s="11">
        <v>25</v>
      </c>
      <c r="B460" s="32" t="s">
        <v>306</v>
      </c>
      <c r="C460" s="92" t="s">
        <v>1087</v>
      </c>
      <c r="D460" s="37">
        <v>4</v>
      </c>
      <c r="E460" s="169">
        <v>40000</v>
      </c>
      <c r="F460" s="150">
        <v>160000</v>
      </c>
      <c r="G460" s="35" t="s">
        <v>35</v>
      </c>
      <c r="H460" s="92" t="s">
        <v>729</v>
      </c>
      <c r="I460" s="38" t="s">
        <v>778</v>
      </c>
      <c r="J460" s="14">
        <v>4</v>
      </c>
      <c r="K460" s="150">
        <v>160000</v>
      </c>
      <c r="L460" s="14"/>
      <c r="M460" s="14"/>
      <c r="N460" s="14"/>
      <c r="O460" s="14"/>
      <c r="P460" s="14"/>
      <c r="Q460" s="14"/>
      <c r="R460" s="14"/>
    </row>
    <row r="461" ht="15.75" spans="1:18">
      <c r="A461" s="11">
        <v>26</v>
      </c>
      <c r="B461" s="32" t="s">
        <v>308</v>
      </c>
      <c r="C461" s="92" t="s">
        <v>1087</v>
      </c>
      <c r="D461" s="37">
        <v>4</v>
      </c>
      <c r="E461" s="169">
        <v>2500</v>
      </c>
      <c r="F461" s="150">
        <v>10000</v>
      </c>
      <c r="G461" s="35" t="s">
        <v>35</v>
      </c>
      <c r="H461" s="92" t="s">
        <v>729</v>
      </c>
      <c r="I461" s="38" t="s">
        <v>778</v>
      </c>
      <c r="J461" s="14"/>
      <c r="K461" s="150">
        <v>10000</v>
      </c>
      <c r="L461" s="14"/>
      <c r="M461" s="14"/>
      <c r="N461" s="14"/>
      <c r="O461" s="14"/>
      <c r="P461" s="14"/>
      <c r="Q461" s="14"/>
      <c r="R461" s="14"/>
    </row>
    <row r="462" ht="15.75" spans="1:18">
      <c r="A462" s="11">
        <v>27</v>
      </c>
      <c r="B462" s="32" t="s">
        <v>309</v>
      </c>
      <c r="C462" s="92" t="s">
        <v>1087</v>
      </c>
      <c r="D462" s="37">
        <v>11</v>
      </c>
      <c r="E462" s="169">
        <v>1500</v>
      </c>
      <c r="F462" s="150">
        <v>16500</v>
      </c>
      <c r="G462" s="35" t="s">
        <v>35</v>
      </c>
      <c r="H462" s="92" t="s">
        <v>729</v>
      </c>
      <c r="I462" s="38" t="s">
        <v>778</v>
      </c>
      <c r="J462" s="14"/>
      <c r="K462" s="150">
        <v>16500</v>
      </c>
      <c r="L462" s="14"/>
      <c r="M462" s="14"/>
      <c r="N462" s="14"/>
      <c r="O462" s="14"/>
      <c r="P462" s="14"/>
      <c r="Q462" s="14"/>
      <c r="R462" s="14"/>
    </row>
    <row r="463" ht="15.75" spans="1:18">
      <c r="A463" s="11">
        <v>28</v>
      </c>
      <c r="B463" s="129" t="s">
        <v>304</v>
      </c>
      <c r="C463" s="92" t="s">
        <v>1088</v>
      </c>
      <c r="D463" s="14">
        <v>1</v>
      </c>
      <c r="E463" s="170">
        <v>30000</v>
      </c>
      <c r="F463" s="56">
        <v>30000</v>
      </c>
      <c r="G463" s="13" t="s">
        <v>31</v>
      </c>
      <c r="H463" s="92" t="s">
        <v>729</v>
      </c>
      <c r="I463" s="38" t="s">
        <v>778</v>
      </c>
      <c r="J463" s="14"/>
      <c r="K463" s="14"/>
      <c r="L463" s="14"/>
      <c r="M463" s="56">
        <v>30000</v>
      </c>
      <c r="N463" s="14"/>
      <c r="O463" s="14"/>
      <c r="P463" s="14"/>
      <c r="Q463" s="14"/>
      <c r="R463" s="14"/>
    </row>
    <row r="464" ht="15.75" spans="1:18">
      <c r="A464" s="11">
        <v>29</v>
      </c>
      <c r="B464" s="32" t="s">
        <v>338</v>
      </c>
      <c r="C464" s="11"/>
      <c r="D464" s="37">
        <v>5</v>
      </c>
      <c r="E464" s="11">
        <v>4500</v>
      </c>
      <c r="F464" s="14">
        <f>D464*E464</f>
        <v>22500</v>
      </c>
      <c r="G464" s="13" t="s">
        <v>42</v>
      </c>
      <c r="H464" s="92" t="s">
        <v>729</v>
      </c>
      <c r="I464" s="38" t="s">
        <v>778</v>
      </c>
      <c r="J464" s="14"/>
      <c r="K464" s="14"/>
      <c r="L464" s="14"/>
      <c r="M464" s="14">
        <v>22500</v>
      </c>
      <c r="N464" s="14"/>
      <c r="O464" s="14"/>
      <c r="P464" s="14"/>
      <c r="Q464" s="14"/>
      <c r="R464" s="14"/>
    </row>
    <row r="465" ht="15.75" spans="1:18">
      <c r="A465" s="11">
        <v>30</v>
      </c>
      <c r="B465" s="32" t="s">
        <v>339</v>
      </c>
      <c r="C465" s="11"/>
      <c r="D465" s="37">
        <v>1</v>
      </c>
      <c r="E465" s="169">
        <v>20000</v>
      </c>
      <c r="F465" s="150">
        <f>D465*E465</f>
        <v>20000</v>
      </c>
      <c r="G465" s="13" t="s">
        <v>42</v>
      </c>
      <c r="H465" s="92" t="s">
        <v>729</v>
      </c>
      <c r="I465" s="38" t="s">
        <v>778</v>
      </c>
      <c r="J465" s="14"/>
      <c r="K465" s="14"/>
      <c r="L465" s="14"/>
      <c r="M465" s="150">
        <v>20000</v>
      </c>
      <c r="N465" s="14"/>
      <c r="O465" s="14"/>
      <c r="P465" s="14"/>
      <c r="Q465" s="14"/>
      <c r="R465" s="14"/>
    </row>
    <row r="466" ht="15.75" spans="1:18">
      <c r="A466" s="11">
        <v>31</v>
      </c>
      <c r="B466" s="32" t="s">
        <v>345</v>
      </c>
      <c r="C466" s="11"/>
      <c r="D466" s="37">
        <v>1</v>
      </c>
      <c r="E466" s="169">
        <v>20000</v>
      </c>
      <c r="F466" s="150">
        <f>D466*E466</f>
        <v>20000</v>
      </c>
      <c r="G466" s="13" t="s">
        <v>42</v>
      </c>
      <c r="H466" s="92" t="s">
        <v>729</v>
      </c>
      <c r="I466" s="38" t="s">
        <v>778</v>
      </c>
      <c r="J466" s="14"/>
      <c r="K466" s="56">
        <v>20000</v>
      </c>
      <c r="L466" s="14"/>
      <c r="M466" s="14"/>
      <c r="N466" s="14"/>
      <c r="O466" s="14"/>
      <c r="P466" s="14"/>
      <c r="Q466" s="14"/>
      <c r="R466" s="14"/>
    </row>
    <row r="467" ht="15.75" spans="1:18">
      <c r="A467" s="11">
        <v>32</v>
      </c>
      <c r="B467" s="19" t="s">
        <v>340</v>
      </c>
      <c r="C467" s="11"/>
      <c r="D467" s="19">
        <v>3</v>
      </c>
      <c r="E467" s="19">
        <v>6500</v>
      </c>
      <c r="F467" s="19">
        <f>6500*3</f>
        <v>19500</v>
      </c>
      <c r="G467" s="19" t="s">
        <v>40</v>
      </c>
      <c r="H467" s="92" t="s">
        <v>729</v>
      </c>
      <c r="I467" s="38" t="s">
        <v>778</v>
      </c>
      <c r="J467" s="20">
        <v>3</v>
      </c>
      <c r="K467" s="56">
        <v>19500</v>
      </c>
      <c r="L467" s="20"/>
      <c r="M467" s="14"/>
      <c r="N467" s="20"/>
      <c r="O467" s="14"/>
      <c r="P467" s="20"/>
      <c r="Q467" s="14"/>
      <c r="R467" s="14"/>
    </row>
    <row r="468" ht="15.75" spans="1:18">
      <c r="A468" s="11">
        <v>33</v>
      </c>
      <c r="B468" s="19" t="s">
        <v>341</v>
      </c>
      <c r="C468" s="11"/>
      <c r="D468" s="19"/>
      <c r="E468" s="19">
        <v>50000</v>
      </c>
      <c r="F468" s="19">
        <v>50000</v>
      </c>
      <c r="G468" s="19" t="s">
        <v>40</v>
      </c>
      <c r="H468" s="92" t="s">
        <v>729</v>
      </c>
      <c r="I468" s="38" t="s">
        <v>778</v>
      </c>
      <c r="J468" s="20"/>
      <c r="K468" s="56">
        <v>50000</v>
      </c>
      <c r="L468" s="20"/>
      <c r="M468" s="14"/>
      <c r="N468" s="20"/>
      <c r="O468" s="14"/>
      <c r="P468" s="20"/>
      <c r="Q468" s="14"/>
      <c r="R468" s="14"/>
    </row>
    <row r="469" ht="15.75" spans="1:18">
      <c r="A469" s="11">
        <v>34</v>
      </c>
      <c r="B469" s="19" t="s">
        <v>342</v>
      </c>
      <c r="C469" s="11"/>
      <c r="D469" s="19">
        <v>2</v>
      </c>
      <c r="E469" s="19">
        <v>4500</v>
      </c>
      <c r="F469" s="19">
        <f>E469*2</f>
        <v>9000</v>
      </c>
      <c r="G469" s="19" t="s">
        <v>40</v>
      </c>
      <c r="H469" s="92" t="s">
        <v>729</v>
      </c>
      <c r="I469" s="38" t="s">
        <v>778</v>
      </c>
      <c r="J469" s="20">
        <v>2</v>
      </c>
      <c r="K469" s="56">
        <v>9000</v>
      </c>
      <c r="L469" s="20"/>
      <c r="M469" s="14"/>
      <c r="N469" s="20"/>
      <c r="O469" s="14"/>
      <c r="P469" s="20"/>
      <c r="Q469" s="14"/>
      <c r="R469" s="14"/>
    </row>
    <row r="470" ht="15.75" spans="1:18">
      <c r="A470" s="11">
        <v>35</v>
      </c>
      <c r="B470" s="19" t="s">
        <v>343</v>
      </c>
      <c r="C470" s="11"/>
      <c r="D470" s="19">
        <v>12</v>
      </c>
      <c r="E470" s="171">
        <v>10000</v>
      </c>
      <c r="F470" s="19">
        <v>120000</v>
      </c>
      <c r="G470" s="19" t="s">
        <v>40</v>
      </c>
      <c r="H470" s="92" t="s">
        <v>729</v>
      </c>
      <c r="I470" s="38" t="s">
        <v>778</v>
      </c>
      <c r="J470" s="20">
        <v>3</v>
      </c>
      <c r="K470" s="56">
        <v>30000</v>
      </c>
      <c r="L470" s="20">
        <v>3</v>
      </c>
      <c r="M470" s="14">
        <v>30000</v>
      </c>
      <c r="N470" s="20">
        <v>3</v>
      </c>
      <c r="O470" s="14">
        <v>30000</v>
      </c>
      <c r="P470" s="20">
        <v>3</v>
      </c>
      <c r="Q470" s="14">
        <v>30000</v>
      </c>
      <c r="R470" s="14"/>
    </row>
    <row r="471" ht="15.75" spans="1:18">
      <c r="A471" s="11">
        <v>36</v>
      </c>
      <c r="B471" s="172" t="s">
        <v>1089</v>
      </c>
      <c r="C471" s="11"/>
      <c r="D471" s="172">
        <v>10</v>
      </c>
      <c r="E471" s="172">
        <v>5000</v>
      </c>
      <c r="F471" s="19">
        <v>50000</v>
      </c>
      <c r="G471" s="19" t="s">
        <v>40</v>
      </c>
      <c r="H471" s="92" t="s">
        <v>729</v>
      </c>
      <c r="I471" s="38" t="s">
        <v>778</v>
      </c>
      <c r="J471" s="20">
        <v>4</v>
      </c>
      <c r="K471" s="56">
        <v>20000</v>
      </c>
      <c r="L471" s="20">
        <v>4</v>
      </c>
      <c r="M471" s="14">
        <v>20000</v>
      </c>
      <c r="N471" s="20">
        <v>2</v>
      </c>
      <c r="O471" s="56">
        <v>10000</v>
      </c>
      <c r="P471" s="20"/>
      <c r="Q471" s="14"/>
      <c r="R471" s="14"/>
    </row>
    <row r="472" ht="15.75" spans="1:18">
      <c r="A472" s="11">
        <v>37</v>
      </c>
      <c r="B472" s="172" t="s">
        <v>1090</v>
      </c>
      <c r="C472" s="11"/>
      <c r="D472" s="19">
        <v>12</v>
      </c>
      <c r="E472" s="19">
        <v>25000</v>
      </c>
      <c r="F472" s="19">
        <v>300000</v>
      </c>
      <c r="G472" s="19" t="s">
        <v>40</v>
      </c>
      <c r="H472" s="92" t="s">
        <v>729</v>
      </c>
      <c r="I472" s="38" t="s">
        <v>778</v>
      </c>
      <c r="J472" s="20">
        <v>3</v>
      </c>
      <c r="K472" s="56">
        <v>75000</v>
      </c>
      <c r="L472" s="20">
        <v>3</v>
      </c>
      <c r="M472" s="14">
        <v>75000</v>
      </c>
      <c r="N472" s="20">
        <v>3</v>
      </c>
      <c r="O472" s="14">
        <v>75000</v>
      </c>
      <c r="P472" s="20">
        <v>3</v>
      </c>
      <c r="Q472" s="14">
        <v>75000</v>
      </c>
      <c r="R472" s="14"/>
    </row>
    <row r="473" ht="15.75" spans="1:18">
      <c r="A473" s="11">
        <v>38</v>
      </c>
      <c r="B473" s="172" t="s">
        <v>1091</v>
      </c>
      <c r="C473" s="11"/>
      <c r="D473" s="19">
        <v>6</v>
      </c>
      <c r="E473" s="19">
        <v>75000</v>
      </c>
      <c r="F473" s="19">
        <v>450000</v>
      </c>
      <c r="G473" s="19" t="s">
        <v>40</v>
      </c>
      <c r="H473" s="92" t="s">
        <v>729</v>
      </c>
      <c r="I473" s="38" t="s">
        <v>778</v>
      </c>
      <c r="J473" s="20">
        <v>2</v>
      </c>
      <c r="K473" s="56">
        <v>150000</v>
      </c>
      <c r="L473" s="20">
        <v>2</v>
      </c>
      <c r="M473" s="14">
        <v>150000</v>
      </c>
      <c r="N473" s="20">
        <v>2</v>
      </c>
      <c r="O473" s="14">
        <v>150000</v>
      </c>
      <c r="P473" s="20"/>
      <c r="Q473" s="14"/>
      <c r="R473" s="14"/>
    </row>
    <row r="474" ht="15.75" spans="1:18">
      <c r="A474" s="11">
        <v>39</v>
      </c>
      <c r="B474" s="172" t="s">
        <v>1092</v>
      </c>
      <c r="C474" s="11"/>
      <c r="D474" s="19">
        <v>6</v>
      </c>
      <c r="E474" s="19">
        <v>72000</v>
      </c>
      <c r="F474" s="19">
        <v>432000</v>
      </c>
      <c r="G474" s="19" t="s">
        <v>40</v>
      </c>
      <c r="H474" s="92" t="s">
        <v>729</v>
      </c>
      <c r="I474" s="38" t="s">
        <v>778</v>
      </c>
      <c r="J474" s="20">
        <v>2</v>
      </c>
      <c r="K474" s="56">
        <v>144000</v>
      </c>
      <c r="L474" s="20">
        <v>2</v>
      </c>
      <c r="M474" s="14">
        <v>144000</v>
      </c>
      <c r="N474" s="20">
        <v>2</v>
      </c>
      <c r="O474" s="14">
        <v>144000</v>
      </c>
      <c r="P474" s="20"/>
      <c r="Q474" s="14"/>
      <c r="R474" s="14"/>
    </row>
    <row r="475" ht="15.75" spans="1:18">
      <c r="A475" s="11">
        <v>40</v>
      </c>
      <c r="B475" s="172" t="s">
        <v>1093</v>
      </c>
      <c r="C475" s="11"/>
      <c r="D475" s="19">
        <v>6</v>
      </c>
      <c r="E475" s="19">
        <v>31000</v>
      </c>
      <c r="F475" s="19">
        <v>183000</v>
      </c>
      <c r="G475" s="19" t="s">
        <v>40</v>
      </c>
      <c r="H475" s="92" t="s">
        <v>729</v>
      </c>
      <c r="I475" s="38" t="s">
        <v>778</v>
      </c>
      <c r="J475" s="20">
        <v>2</v>
      </c>
      <c r="K475" s="56">
        <v>61000</v>
      </c>
      <c r="L475" s="20">
        <v>2</v>
      </c>
      <c r="M475" s="14">
        <v>61000</v>
      </c>
      <c r="N475" s="20">
        <v>2</v>
      </c>
      <c r="O475" s="14">
        <v>61000</v>
      </c>
      <c r="P475" s="20"/>
      <c r="Q475" s="14"/>
      <c r="R475" s="14"/>
    </row>
    <row r="476" ht="15.75" spans="1:18">
      <c r="A476" s="11">
        <v>41</v>
      </c>
      <c r="B476" s="19" t="s">
        <v>1094</v>
      </c>
      <c r="C476" s="11"/>
      <c r="D476" s="19">
        <v>20</v>
      </c>
      <c r="E476" s="19">
        <v>20000</v>
      </c>
      <c r="F476" s="19">
        <v>400000</v>
      </c>
      <c r="G476" s="19" t="s">
        <v>40</v>
      </c>
      <c r="H476" s="92" t="s">
        <v>729</v>
      </c>
      <c r="I476" s="38" t="s">
        <v>778</v>
      </c>
      <c r="J476" s="20">
        <v>5</v>
      </c>
      <c r="K476" s="56">
        <v>100000</v>
      </c>
      <c r="L476" s="20">
        <v>5</v>
      </c>
      <c r="M476" s="14">
        <v>100000</v>
      </c>
      <c r="N476" s="20">
        <v>5</v>
      </c>
      <c r="O476" s="14">
        <v>100000</v>
      </c>
      <c r="P476" s="20">
        <v>5</v>
      </c>
      <c r="Q476" s="14">
        <v>100000</v>
      </c>
      <c r="R476" s="14"/>
    </row>
    <row r="477" ht="15.75" spans="1:18">
      <c r="A477" s="11">
        <v>42</v>
      </c>
      <c r="B477" s="19" t="s">
        <v>1095</v>
      </c>
      <c r="C477" s="11"/>
      <c r="D477" s="19" t="s">
        <v>1096</v>
      </c>
      <c r="E477" s="19">
        <v>3500</v>
      </c>
      <c r="F477" s="19">
        <v>31500</v>
      </c>
      <c r="G477" s="19" t="s">
        <v>40</v>
      </c>
      <c r="H477" s="92" t="s">
        <v>729</v>
      </c>
      <c r="I477" s="38" t="s">
        <v>778</v>
      </c>
      <c r="J477" s="20">
        <v>3</v>
      </c>
      <c r="K477" s="56">
        <v>10500</v>
      </c>
      <c r="L477" s="20">
        <v>3</v>
      </c>
      <c r="M477" s="14">
        <v>10500</v>
      </c>
      <c r="N477" s="20">
        <v>3</v>
      </c>
      <c r="O477" s="14">
        <v>10500</v>
      </c>
      <c r="P477" s="20"/>
      <c r="Q477" s="14"/>
      <c r="R477" s="14"/>
    </row>
    <row r="478" ht="15.75" spans="1:18">
      <c r="A478" s="11">
        <v>43</v>
      </c>
      <c r="B478" s="19" t="s">
        <v>1097</v>
      </c>
      <c r="C478" s="11"/>
      <c r="D478" s="19">
        <v>2</v>
      </c>
      <c r="E478" s="171">
        <v>100000</v>
      </c>
      <c r="F478" s="171">
        <v>200000</v>
      </c>
      <c r="G478" s="19"/>
      <c r="H478" s="92" t="s">
        <v>729</v>
      </c>
      <c r="I478" s="38" t="s">
        <v>778</v>
      </c>
      <c r="J478" s="20">
        <v>2</v>
      </c>
      <c r="K478" s="56">
        <v>200000</v>
      </c>
      <c r="L478" s="20"/>
      <c r="M478" s="14"/>
      <c r="N478" s="20"/>
      <c r="O478" s="14"/>
      <c r="P478" s="20"/>
      <c r="Q478" s="14"/>
      <c r="R478" s="14"/>
    </row>
    <row r="479" ht="15.75" spans="1:18">
      <c r="A479" s="11">
        <v>44</v>
      </c>
      <c r="B479" s="19" t="s">
        <v>1098</v>
      </c>
      <c r="C479" s="32"/>
      <c r="D479" s="19">
        <v>6</v>
      </c>
      <c r="E479" s="19">
        <v>15500</v>
      </c>
      <c r="F479" s="19">
        <v>93000</v>
      </c>
      <c r="G479" s="19" t="s">
        <v>40</v>
      </c>
      <c r="H479" s="92" t="s">
        <v>729</v>
      </c>
      <c r="I479" s="38" t="s">
        <v>778</v>
      </c>
      <c r="J479" s="20">
        <v>2</v>
      </c>
      <c r="K479" s="14">
        <v>31000</v>
      </c>
      <c r="L479" s="20">
        <v>2</v>
      </c>
      <c r="M479" s="14">
        <v>31000</v>
      </c>
      <c r="N479" s="20">
        <v>2</v>
      </c>
      <c r="O479" s="14">
        <v>31000</v>
      </c>
      <c r="P479" s="20"/>
      <c r="Q479" s="14"/>
      <c r="R479" s="14"/>
    </row>
    <row r="480" ht="15.75" spans="1:18">
      <c r="A480" s="11">
        <v>45</v>
      </c>
      <c r="B480" s="19" t="s">
        <v>1099</v>
      </c>
      <c r="C480" s="32"/>
      <c r="D480" s="19">
        <v>12</v>
      </c>
      <c r="E480" s="19">
        <v>1600</v>
      </c>
      <c r="F480" s="19">
        <v>19200</v>
      </c>
      <c r="G480" s="19" t="s">
        <v>40</v>
      </c>
      <c r="H480" s="92" t="s">
        <v>729</v>
      </c>
      <c r="I480" s="38" t="s">
        <v>778</v>
      </c>
      <c r="J480" s="20">
        <v>3</v>
      </c>
      <c r="K480" s="14">
        <v>4800</v>
      </c>
      <c r="L480" s="20">
        <v>3</v>
      </c>
      <c r="M480" s="14">
        <v>4800</v>
      </c>
      <c r="N480" s="20">
        <v>3</v>
      </c>
      <c r="O480" s="14">
        <v>4800</v>
      </c>
      <c r="P480" s="20">
        <v>3</v>
      </c>
      <c r="Q480" s="14">
        <v>4800</v>
      </c>
      <c r="R480" s="14"/>
    </row>
    <row r="481" ht="15.75" spans="1:18">
      <c r="A481" s="11">
        <v>46</v>
      </c>
      <c r="B481" s="19" t="s">
        <v>1100</v>
      </c>
      <c r="C481" s="16"/>
      <c r="D481" s="19">
        <v>3</v>
      </c>
      <c r="E481" s="19">
        <v>3500</v>
      </c>
      <c r="F481" s="19">
        <v>10500</v>
      </c>
      <c r="G481" s="19" t="s">
        <v>40</v>
      </c>
      <c r="H481" s="92" t="s">
        <v>729</v>
      </c>
      <c r="I481" s="38" t="s">
        <v>778</v>
      </c>
      <c r="J481" s="20">
        <v>1</v>
      </c>
      <c r="K481" s="77">
        <v>3500</v>
      </c>
      <c r="L481" s="20">
        <v>1</v>
      </c>
      <c r="M481" s="77">
        <v>3500</v>
      </c>
      <c r="N481" s="20">
        <v>1</v>
      </c>
      <c r="O481" s="77">
        <v>3500</v>
      </c>
      <c r="P481" s="20"/>
      <c r="Q481" s="77"/>
      <c r="R481" s="14"/>
    </row>
    <row r="482" ht="15.75" spans="1:18">
      <c r="A482" s="11">
        <v>47</v>
      </c>
      <c r="B482" s="19" t="s">
        <v>1101</v>
      </c>
      <c r="C482" s="11"/>
      <c r="D482" s="19">
        <v>1</v>
      </c>
      <c r="E482" s="19">
        <v>35000</v>
      </c>
      <c r="F482" s="19">
        <v>35000</v>
      </c>
      <c r="G482" s="19" t="s">
        <v>40</v>
      </c>
      <c r="H482" s="92" t="s">
        <v>729</v>
      </c>
      <c r="I482" s="38" t="s">
        <v>778</v>
      </c>
      <c r="J482" s="20">
        <v>1</v>
      </c>
      <c r="K482" s="14">
        <v>35000</v>
      </c>
      <c r="L482" s="20"/>
      <c r="M482" s="14"/>
      <c r="N482" s="20"/>
      <c r="O482" s="14"/>
      <c r="P482" s="20"/>
      <c r="Q482" s="14"/>
      <c r="R482" s="14"/>
    </row>
    <row r="483" ht="15.75" spans="1:18">
      <c r="A483" s="11">
        <v>48</v>
      </c>
      <c r="B483" s="19" t="s">
        <v>1102</v>
      </c>
      <c r="C483" s="90"/>
      <c r="D483" s="19">
        <v>2</v>
      </c>
      <c r="E483" s="19">
        <v>12000</v>
      </c>
      <c r="F483" s="19">
        <v>24000</v>
      </c>
      <c r="G483" s="19" t="s">
        <v>40</v>
      </c>
      <c r="H483" s="92" t="s">
        <v>729</v>
      </c>
      <c r="I483" s="38" t="s">
        <v>778</v>
      </c>
      <c r="J483" s="180">
        <v>1</v>
      </c>
      <c r="K483" s="181">
        <v>12000</v>
      </c>
      <c r="L483" s="180">
        <v>1</v>
      </c>
      <c r="M483" s="181">
        <v>12000</v>
      </c>
      <c r="N483" s="181"/>
      <c r="O483" s="181"/>
      <c r="P483" s="181"/>
      <c r="Q483" s="181"/>
      <c r="R483" s="181"/>
    </row>
    <row r="484" ht="15.75" spans="1:18">
      <c r="A484" s="11"/>
      <c r="B484" s="12" t="s">
        <v>22</v>
      </c>
      <c r="C484" s="11"/>
      <c r="D484" s="11"/>
      <c r="E484" s="173"/>
      <c r="F484" s="118">
        <f>SUM(F436:F483)</f>
        <v>3518200</v>
      </c>
      <c r="G484" s="11"/>
      <c r="H484" s="11"/>
      <c r="I484" s="11"/>
      <c r="J484" s="14"/>
      <c r="K484" s="14"/>
      <c r="L484" s="14"/>
      <c r="M484" s="14"/>
      <c r="N484" s="14"/>
      <c r="O484" s="14"/>
      <c r="P484" s="14"/>
      <c r="Q484" s="14"/>
      <c r="R484" s="14"/>
    </row>
    <row r="485" ht="15.75" spans="1:18">
      <c r="A485" s="11"/>
      <c r="B485" s="11"/>
      <c r="C485" s="11"/>
      <c r="D485" s="11"/>
      <c r="E485" s="11"/>
      <c r="F485" s="11"/>
      <c r="G485" s="11"/>
      <c r="H485" s="11"/>
      <c r="I485" s="11"/>
      <c r="J485" s="14"/>
      <c r="K485" s="14"/>
      <c r="L485" s="14"/>
      <c r="M485" s="14"/>
      <c r="N485" s="14"/>
      <c r="O485" s="14"/>
      <c r="P485" s="14"/>
      <c r="Q485" s="14"/>
      <c r="R485" s="14"/>
    </row>
    <row r="486" ht="15.75" spans="1:18">
      <c r="A486" s="11"/>
      <c r="B486" s="11"/>
      <c r="C486" s="11"/>
      <c r="D486" s="11"/>
      <c r="E486" s="11"/>
      <c r="F486" s="11"/>
      <c r="G486" s="11"/>
      <c r="H486" s="11"/>
      <c r="I486" s="11"/>
      <c r="J486" s="14"/>
      <c r="K486" s="14"/>
      <c r="L486" s="14"/>
      <c r="M486" s="14"/>
      <c r="N486" s="14"/>
      <c r="O486" s="14"/>
      <c r="P486" s="14"/>
      <c r="Q486" s="14"/>
      <c r="R486" s="14"/>
    </row>
    <row r="487" ht="15.75" spans="1:18">
      <c r="A487" s="12">
        <v>16</v>
      </c>
      <c r="B487" s="12" t="s">
        <v>1103</v>
      </c>
      <c r="C487" s="11"/>
      <c r="D487" s="11"/>
      <c r="E487" s="11"/>
      <c r="F487" s="11"/>
      <c r="G487" s="11"/>
      <c r="H487" s="11"/>
      <c r="I487" s="11"/>
      <c r="J487" s="14"/>
      <c r="K487" s="14"/>
      <c r="L487" s="14"/>
      <c r="M487" s="14"/>
      <c r="N487" s="14"/>
      <c r="O487" s="14"/>
      <c r="P487" s="14"/>
      <c r="Q487" s="14"/>
      <c r="R487" s="14"/>
    </row>
    <row r="488" ht="15.75" spans="1:18">
      <c r="A488" s="11"/>
      <c r="B488" s="157"/>
      <c r="C488" s="129"/>
      <c r="D488" s="174"/>
      <c r="E488" s="174"/>
      <c r="F488" s="77"/>
      <c r="G488" s="77"/>
      <c r="H488" s="14"/>
      <c r="I488" s="14"/>
      <c r="J488" s="77"/>
      <c r="K488" s="77"/>
      <c r="L488" s="77"/>
      <c r="M488" s="77"/>
      <c r="N488" s="77"/>
      <c r="O488" s="77"/>
      <c r="P488" s="77"/>
      <c r="Q488" s="77"/>
      <c r="R488" s="91"/>
    </row>
    <row r="489" ht="15.75" spans="1:18">
      <c r="A489" s="11"/>
      <c r="B489" s="157"/>
      <c r="C489" s="129"/>
      <c r="D489" s="174"/>
      <c r="E489" s="174"/>
      <c r="F489" s="77"/>
      <c r="G489" s="77"/>
      <c r="H489" s="14"/>
      <c r="I489" s="14"/>
      <c r="J489" s="73"/>
      <c r="K489" s="73"/>
      <c r="L489" s="73"/>
      <c r="M489" s="73"/>
      <c r="N489" s="73"/>
      <c r="O489" s="73"/>
      <c r="P489" s="73"/>
      <c r="Q489" s="73"/>
      <c r="R489" s="73"/>
    </row>
    <row r="490" ht="15.75" spans="1:18">
      <c r="A490" s="11"/>
      <c r="B490" s="157"/>
      <c r="C490" s="129"/>
      <c r="D490" s="174"/>
      <c r="E490" s="174"/>
      <c r="F490" s="77"/>
      <c r="G490" s="77"/>
      <c r="H490" s="14"/>
      <c r="I490" s="14"/>
      <c r="J490" s="77"/>
      <c r="K490" s="77"/>
      <c r="L490" s="77"/>
      <c r="M490" s="77"/>
      <c r="N490" s="91"/>
      <c r="O490" s="91"/>
      <c r="P490" s="91"/>
      <c r="Q490" s="91"/>
      <c r="R490" s="14"/>
    </row>
    <row r="491" ht="15.75" spans="1:18">
      <c r="A491" s="11"/>
      <c r="B491" s="175"/>
      <c r="C491" s="129"/>
      <c r="D491" s="174"/>
      <c r="E491" s="174"/>
      <c r="F491" s="77"/>
      <c r="G491" s="77"/>
      <c r="H491" s="14"/>
      <c r="I491" s="14"/>
      <c r="J491" s="77"/>
      <c r="K491" s="77"/>
      <c r="L491" s="77"/>
      <c r="M491" s="77"/>
      <c r="N491" s="77"/>
      <c r="O491" s="77"/>
      <c r="P491" s="77"/>
      <c r="Q491" s="77"/>
      <c r="R491" s="91"/>
    </row>
    <row r="492" ht="15.75" spans="1:18">
      <c r="A492" s="11"/>
      <c r="B492" s="11"/>
      <c r="C492" s="129"/>
      <c r="D492" s="174"/>
      <c r="E492" s="174"/>
      <c r="F492" s="77"/>
      <c r="G492" s="77"/>
      <c r="H492" s="14"/>
      <c r="I492" s="14"/>
      <c r="J492" s="73"/>
      <c r="K492" s="73"/>
      <c r="L492" s="73"/>
      <c r="M492" s="73"/>
      <c r="N492" s="73"/>
      <c r="O492" s="73"/>
      <c r="P492" s="73"/>
      <c r="Q492" s="73"/>
      <c r="R492" s="73"/>
    </row>
    <row r="493" ht="15.75" spans="1:18">
      <c r="A493" s="12"/>
      <c r="B493" s="116" t="s">
        <v>22</v>
      </c>
      <c r="C493" s="176"/>
      <c r="D493" s="176"/>
      <c r="E493" s="110"/>
      <c r="F493" s="11"/>
      <c r="G493" s="11"/>
      <c r="H493" s="14"/>
      <c r="I493" s="37"/>
      <c r="J493" s="37"/>
      <c r="K493" s="37"/>
      <c r="L493" s="37"/>
      <c r="M493" s="37"/>
      <c r="N493" s="37"/>
      <c r="O493" s="37"/>
      <c r="P493" s="37"/>
      <c r="Q493" s="37"/>
      <c r="R493" s="37"/>
    </row>
    <row r="494" ht="15.75" spans="1:18">
      <c r="A494" s="11"/>
      <c r="B494" s="11"/>
      <c r="C494" s="11"/>
      <c r="D494" s="11"/>
      <c r="E494" s="11"/>
      <c r="F494" s="11"/>
      <c r="G494" s="11"/>
      <c r="H494" s="11"/>
      <c r="I494" s="11"/>
      <c r="J494" s="14"/>
      <c r="K494" s="14"/>
      <c r="L494" s="14"/>
      <c r="M494" s="14"/>
      <c r="N494" s="14"/>
      <c r="O494" s="14"/>
      <c r="P494" s="14"/>
      <c r="Q494" s="14"/>
      <c r="R494" s="14"/>
    </row>
    <row r="495" ht="15.75" spans="1:18">
      <c r="A495" s="11">
        <v>17</v>
      </c>
      <c r="B495" s="116" t="s">
        <v>352</v>
      </c>
      <c r="C495" s="11"/>
      <c r="D495" s="11"/>
      <c r="E495" s="11"/>
      <c r="F495" s="11"/>
      <c r="G495" s="11"/>
      <c r="H495" s="11"/>
      <c r="I495" s="11"/>
      <c r="J495" s="14"/>
      <c r="K495" s="14"/>
      <c r="L495" s="14"/>
      <c r="M495" s="14"/>
      <c r="N495" s="14"/>
      <c r="O495" s="14"/>
      <c r="P495" s="14"/>
      <c r="Q495" s="14"/>
      <c r="R495" s="14"/>
    </row>
    <row r="496" ht="15.75" spans="1:18">
      <c r="A496" s="11">
        <v>1</v>
      </c>
      <c r="B496" s="32" t="s">
        <v>352</v>
      </c>
      <c r="C496" s="32"/>
      <c r="D496" s="32">
        <v>1</v>
      </c>
      <c r="E496" s="11">
        <v>27000</v>
      </c>
      <c r="F496" s="177">
        <f>D496*E496</f>
        <v>27000</v>
      </c>
      <c r="G496" s="13" t="s">
        <v>42</v>
      </c>
      <c r="H496" s="13" t="s">
        <v>729</v>
      </c>
      <c r="I496" s="13" t="s">
        <v>778</v>
      </c>
      <c r="J496" s="14">
        <v>1</v>
      </c>
      <c r="K496" s="56">
        <v>27000</v>
      </c>
      <c r="L496" s="14"/>
      <c r="M496" s="14"/>
      <c r="N496" s="14"/>
      <c r="O496" s="14"/>
      <c r="P496" s="14"/>
      <c r="Q496" s="14"/>
      <c r="R496" s="71"/>
    </row>
    <row r="497" ht="15.75" spans="1:18">
      <c r="A497" s="11">
        <v>2</v>
      </c>
      <c r="B497" s="19" t="s">
        <v>436</v>
      </c>
      <c r="C497" s="32"/>
      <c r="D497" s="32">
        <v>40</v>
      </c>
      <c r="E497" s="11">
        <v>650</v>
      </c>
      <c r="F497" s="177">
        <v>26000</v>
      </c>
      <c r="G497" s="13" t="s">
        <v>33</v>
      </c>
      <c r="H497" s="13" t="s">
        <v>729</v>
      </c>
      <c r="I497" s="13" t="s">
        <v>778</v>
      </c>
      <c r="J497" s="104">
        <v>20</v>
      </c>
      <c r="K497" s="78">
        <v>13000</v>
      </c>
      <c r="L497" s="77"/>
      <c r="M497" s="77"/>
      <c r="N497" s="104">
        <v>20</v>
      </c>
      <c r="O497" s="14">
        <v>13000</v>
      </c>
      <c r="P497" s="14"/>
      <c r="Q497" s="14"/>
      <c r="R497" s="71"/>
    </row>
    <row r="498" ht="15.75" spans="1:18">
      <c r="A498" s="11">
        <v>3</v>
      </c>
      <c r="B498" s="19" t="s">
        <v>437</v>
      </c>
      <c r="C498" s="32"/>
      <c r="D498" s="32">
        <v>20</v>
      </c>
      <c r="E498" s="11">
        <v>480</v>
      </c>
      <c r="F498" s="177">
        <v>9600</v>
      </c>
      <c r="G498" s="13" t="s">
        <v>33</v>
      </c>
      <c r="H498" s="13" t="s">
        <v>729</v>
      </c>
      <c r="I498" s="13" t="s">
        <v>778</v>
      </c>
      <c r="J498" s="104">
        <v>10</v>
      </c>
      <c r="K498" s="78">
        <v>4800</v>
      </c>
      <c r="L498" s="77"/>
      <c r="M498" s="77"/>
      <c r="N498" s="104">
        <v>10</v>
      </c>
      <c r="O498" s="14">
        <v>4800</v>
      </c>
      <c r="P498" s="14"/>
      <c r="Q498" s="14"/>
      <c r="R498" s="71"/>
    </row>
    <row r="499" ht="15.75" spans="1:18">
      <c r="A499" s="11">
        <v>4</v>
      </c>
      <c r="B499" s="19" t="s">
        <v>438</v>
      </c>
      <c r="C499" s="32"/>
      <c r="D499" s="32">
        <v>200</v>
      </c>
      <c r="E499" s="11">
        <v>450</v>
      </c>
      <c r="F499" s="177">
        <v>90000</v>
      </c>
      <c r="G499" s="13" t="s">
        <v>33</v>
      </c>
      <c r="H499" s="13" t="s">
        <v>729</v>
      </c>
      <c r="I499" s="13" t="s">
        <v>778</v>
      </c>
      <c r="J499" s="104">
        <v>100</v>
      </c>
      <c r="K499" s="78">
        <v>45000</v>
      </c>
      <c r="L499" s="77"/>
      <c r="M499" s="77"/>
      <c r="N499" s="104">
        <v>100</v>
      </c>
      <c r="O499" s="14">
        <v>45000</v>
      </c>
      <c r="P499" s="14"/>
      <c r="Q499" s="14"/>
      <c r="R499" s="71"/>
    </row>
    <row r="500" ht="15.75" spans="1:18">
      <c r="A500" s="11">
        <v>5</v>
      </c>
      <c r="B500" s="19" t="s">
        <v>439</v>
      </c>
      <c r="C500" s="32"/>
      <c r="D500" s="32">
        <v>40</v>
      </c>
      <c r="E500" s="11">
        <v>1200</v>
      </c>
      <c r="F500" s="177">
        <v>48000</v>
      </c>
      <c r="G500" s="13" t="s">
        <v>33</v>
      </c>
      <c r="H500" s="13" t="s">
        <v>729</v>
      </c>
      <c r="I500" s="13" t="s">
        <v>778</v>
      </c>
      <c r="J500" s="104">
        <v>20</v>
      </c>
      <c r="K500" s="78">
        <v>24000</v>
      </c>
      <c r="L500" s="77"/>
      <c r="M500" s="77"/>
      <c r="N500" s="104">
        <v>20</v>
      </c>
      <c r="O500" s="14">
        <v>24000</v>
      </c>
      <c r="P500" s="14"/>
      <c r="Q500" s="14"/>
      <c r="R500" s="71"/>
    </row>
    <row r="501" ht="15.75" spans="1:18">
      <c r="A501" s="11">
        <v>6</v>
      </c>
      <c r="B501" s="19" t="s">
        <v>440</v>
      </c>
      <c r="C501" s="32"/>
      <c r="D501" s="32">
        <v>24</v>
      </c>
      <c r="E501" s="11">
        <v>250</v>
      </c>
      <c r="F501" s="177">
        <v>6000</v>
      </c>
      <c r="G501" s="13" t="s">
        <v>33</v>
      </c>
      <c r="H501" s="13" t="s">
        <v>729</v>
      </c>
      <c r="I501" s="13" t="s">
        <v>778</v>
      </c>
      <c r="J501" s="104">
        <v>12</v>
      </c>
      <c r="K501" s="78">
        <v>3000</v>
      </c>
      <c r="L501" s="77"/>
      <c r="M501" s="77"/>
      <c r="N501" s="104">
        <v>12</v>
      </c>
      <c r="O501" s="14">
        <v>3000</v>
      </c>
      <c r="P501" s="14"/>
      <c r="Q501" s="14"/>
      <c r="R501" s="71"/>
    </row>
    <row r="502" ht="15.75" spans="1:18">
      <c r="A502" s="11">
        <v>7</v>
      </c>
      <c r="B502" s="19" t="s">
        <v>441</v>
      </c>
      <c r="C502" s="32"/>
      <c r="D502" s="32">
        <v>4</v>
      </c>
      <c r="E502" s="11">
        <v>1800</v>
      </c>
      <c r="F502" s="177">
        <v>7200</v>
      </c>
      <c r="G502" s="13" t="s">
        <v>33</v>
      </c>
      <c r="H502" s="13" t="s">
        <v>729</v>
      </c>
      <c r="I502" s="13" t="s">
        <v>778</v>
      </c>
      <c r="J502" s="104">
        <v>2</v>
      </c>
      <c r="K502" s="78">
        <v>3600</v>
      </c>
      <c r="L502" s="77"/>
      <c r="M502" s="77"/>
      <c r="N502" s="104">
        <v>2</v>
      </c>
      <c r="O502" s="14">
        <v>3600</v>
      </c>
      <c r="P502" s="14"/>
      <c r="Q502" s="14"/>
      <c r="R502" s="71"/>
    </row>
    <row r="503" ht="15.75" spans="1:18">
      <c r="A503" s="11">
        <v>8</v>
      </c>
      <c r="B503" s="19" t="s">
        <v>442</v>
      </c>
      <c r="C503" s="32"/>
      <c r="D503" s="32">
        <v>8</v>
      </c>
      <c r="E503" s="11">
        <v>1120</v>
      </c>
      <c r="F503" s="177">
        <v>8960</v>
      </c>
      <c r="G503" s="13" t="s">
        <v>33</v>
      </c>
      <c r="H503" s="13" t="s">
        <v>729</v>
      </c>
      <c r="I503" s="13" t="s">
        <v>778</v>
      </c>
      <c r="J503" s="104">
        <v>4</v>
      </c>
      <c r="K503" s="78">
        <v>4480</v>
      </c>
      <c r="L503" s="77"/>
      <c r="M503" s="77"/>
      <c r="N503" s="104">
        <v>4</v>
      </c>
      <c r="O503" s="14">
        <v>4480</v>
      </c>
      <c r="P503" s="14"/>
      <c r="Q503" s="14"/>
      <c r="R503" s="71"/>
    </row>
    <row r="504" ht="15.75" spans="1:18">
      <c r="A504" s="11">
        <v>9</v>
      </c>
      <c r="B504" s="19" t="s">
        <v>1104</v>
      </c>
      <c r="C504" s="32"/>
      <c r="D504" s="32">
        <v>4</v>
      </c>
      <c r="E504" s="11">
        <v>1500</v>
      </c>
      <c r="F504" s="177">
        <v>6000</v>
      </c>
      <c r="G504" s="13" t="s">
        <v>33</v>
      </c>
      <c r="H504" s="13" t="s">
        <v>729</v>
      </c>
      <c r="I504" s="13" t="s">
        <v>778</v>
      </c>
      <c r="J504" s="104">
        <v>2</v>
      </c>
      <c r="K504" s="78">
        <v>3000</v>
      </c>
      <c r="L504" s="77"/>
      <c r="M504" s="77"/>
      <c r="N504" s="104">
        <v>2</v>
      </c>
      <c r="O504" s="14">
        <v>3000</v>
      </c>
      <c r="P504" s="14"/>
      <c r="Q504" s="14"/>
      <c r="R504" s="71"/>
    </row>
    <row r="505" ht="15.75" spans="1:18">
      <c r="A505" s="11">
        <v>10</v>
      </c>
      <c r="B505" s="19" t="s">
        <v>1105</v>
      </c>
      <c r="C505" s="32"/>
      <c r="D505" s="32">
        <v>20</v>
      </c>
      <c r="E505" s="11">
        <v>100</v>
      </c>
      <c r="F505" s="177">
        <v>2000</v>
      </c>
      <c r="G505" s="13" t="s">
        <v>33</v>
      </c>
      <c r="H505" s="13" t="s">
        <v>729</v>
      </c>
      <c r="I505" s="13" t="s">
        <v>778</v>
      </c>
      <c r="J505" s="104">
        <v>10</v>
      </c>
      <c r="K505" s="78">
        <v>1000</v>
      </c>
      <c r="L505" s="77"/>
      <c r="M505" s="77"/>
      <c r="N505" s="104">
        <v>10</v>
      </c>
      <c r="O505" s="14">
        <v>1000</v>
      </c>
      <c r="P505" s="14"/>
      <c r="Q505" s="14"/>
      <c r="R505" s="71"/>
    </row>
    <row r="506" ht="15.75" spans="1:18">
      <c r="A506" s="11">
        <v>11</v>
      </c>
      <c r="B506" s="19" t="s">
        <v>1106</v>
      </c>
      <c r="C506" s="32"/>
      <c r="D506" s="32">
        <v>8</v>
      </c>
      <c r="E506" s="11">
        <v>200</v>
      </c>
      <c r="F506" s="177">
        <v>1600</v>
      </c>
      <c r="G506" s="13" t="s">
        <v>33</v>
      </c>
      <c r="H506" s="13" t="s">
        <v>729</v>
      </c>
      <c r="I506" s="13" t="s">
        <v>778</v>
      </c>
      <c r="J506" s="104">
        <v>4</v>
      </c>
      <c r="K506" s="78">
        <v>800</v>
      </c>
      <c r="L506" s="77"/>
      <c r="M506" s="77"/>
      <c r="N506" s="104">
        <v>4</v>
      </c>
      <c r="O506" s="14">
        <v>800</v>
      </c>
      <c r="P506" s="14"/>
      <c r="Q506" s="14"/>
      <c r="R506" s="71"/>
    </row>
    <row r="507" ht="15.75" spans="1:18">
      <c r="A507" s="12"/>
      <c r="B507" s="116" t="s">
        <v>22</v>
      </c>
      <c r="C507" s="116"/>
      <c r="D507" s="178"/>
      <c r="E507" s="177"/>
      <c r="F507" s="173">
        <f>SUM(F496:F506)</f>
        <v>232360</v>
      </c>
      <c r="G507" s="14"/>
      <c r="H507" s="14"/>
      <c r="I507" s="14"/>
      <c r="J507" s="77"/>
      <c r="K507" s="77"/>
      <c r="L507" s="77"/>
      <c r="M507" s="77"/>
      <c r="N507" s="77"/>
      <c r="O507" s="14"/>
      <c r="P507" s="14"/>
      <c r="Q507" s="14"/>
      <c r="R507" s="71"/>
    </row>
    <row r="508" ht="15.75" spans="1:18">
      <c r="A508" s="11"/>
      <c r="B508" s="11"/>
      <c r="C508" s="11"/>
      <c r="D508" s="11"/>
      <c r="E508" s="11"/>
      <c r="F508" s="179"/>
      <c r="G508" s="11"/>
      <c r="H508" s="11"/>
      <c r="I508" s="11"/>
      <c r="J508" s="14"/>
      <c r="K508" s="14"/>
      <c r="L508" s="14"/>
      <c r="M508" s="14"/>
      <c r="N508" s="14"/>
      <c r="O508" s="14"/>
      <c r="P508" s="14"/>
      <c r="Q508" s="14"/>
      <c r="R508" s="14"/>
    </row>
    <row r="509" ht="15.75" spans="1:18">
      <c r="A509" s="12">
        <v>18</v>
      </c>
      <c r="B509" s="12" t="s">
        <v>1107</v>
      </c>
      <c r="C509" s="11"/>
      <c r="D509" s="11"/>
      <c r="E509" s="11"/>
      <c r="F509" s="11"/>
      <c r="G509" s="11"/>
      <c r="H509" s="11"/>
      <c r="I509" s="11"/>
      <c r="J509" s="14"/>
      <c r="K509" s="14"/>
      <c r="L509" s="14"/>
      <c r="M509" s="14"/>
      <c r="N509" s="14"/>
      <c r="O509" s="14"/>
      <c r="P509" s="14"/>
      <c r="Q509" s="14"/>
      <c r="R509" s="14"/>
    </row>
    <row r="510" ht="15.75" spans="1:18">
      <c r="A510" s="11">
        <v>1</v>
      </c>
      <c r="B510" s="129" t="s">
        <v>356</v>
      </c>
      <c r="C510" s="133" t="s">
        <v>919</v>
      </c>
      <c r="D510" s="130">
        <v>40</v>
      </c>
      <c r="E510" s="167">
        <v>5500</v>
      </c>
      <c r="F510" s="150">
        <f t="shared" ref="F510:F518" si="16">D510*E510</f>
        <v>220000</v>
      </c>
      <c r="G510" s="156" t="s">
        <v>104</v>
      </c>
      <c r="H510" s="156" t="s">
        <v>729</v>
      </c>
      <c r="I510" s="156" t="s">
        <v>778</v>
      </c>
      <c r="J510" s="130"/>
      <c r="K510" s="77"/>
      <c r="L510" s="78">
        <v>40</v>
      </c>
      <c r="M510" s="138">
        <f t="shared" ref="M510:M518" si="17">E510*L510</f>
        <v>220000</v>
      </c>
      <c r="N510" s="131"/>
      <c r="O510" s="14"/>
      <c r="P510" s="139"/>
      <c r="Q510" s="75"/>
      <c r="R510" s="14"/>
    </row>
    <row r="511" ht="15.75" spans="1:18">
      <c r="A511" s="11">
        <v>2</v>
      </c>
      <c r="B511" s="129" t="s">
        <v>357</v>
      </c>
      <c r="C511" s="133" t="s">
        <v>919</v>
      </c>
      <c r="D511" s="130">
        <v>40</v>
      </c>
      <c r="E511" s="167">
        <v>750</v>
      </c>
      <c r="F511" s="150">
        <f t="shared" si="16"/>
        <v>30000</v>
      </c>
      <c r="G511" s="156" t="s">
        <v>104</v>
      </c>
      <c r="H511" s="156" t="s">
        <v>729</v>
      </c>
      <c r="I511" s="156" t="s">
        <v>778</v>
      </c>
      <c r="J511" s="130"/>
      <c r="K511" s="77"/>
      <c r="L511" s="78">
        <v>40</v>
      </c>
      <c r="M511" s="138">
        <f t="shared" si="17"/>
        <v>30000</v>
      </c>
      <c r="N511" s="131"/>
      <c r="O511" s="14"/>
      <c r="P511" s="139"/>
      <c r="Q511" s="75"/>
      <c r="R511" s="47"/>
    </row>
    <row r="512" ht="15.75" spans="1:18">
      <c r="A512" s="11">
        <v>3</v>
      </c>
      <c r="B512" s="129" t="s">
        <v>358</v>
      </c>
      <c r="C512" s="133" t="s">
        <v>919</v>
      </c>
      <c r="D512" s="130">
        <v>30</v>
      </c>
      <c r="E512" s="167">
        <v>1400</v>
      </c>
      <c r="F512" s="150">
        <f t="shared" si="16"/>
        <v>42000</v>
      </c>
      <c r="G512" s="156" t="s">
        <v>104</v>
      </c>
      <c r="H512" s="156" t="s">
        <v>729</v>
      </c>
      <c r="I512" s="156" t="s">
        <v>778</v>
      </c>
      <c r="J512" s="130"/>
      <c r="K512" s="77"/>
      <c r="L512" s="78">
        <v>30</v>
      </c>
      <c r="M512" s="138">
        <f t="shared" si="17"/>
        <v>42000</v>
      </c>
      <c r="N512" s="131"/>
      <c r="O512" s="14"/>
      <c r="P512" s="139"/>
      <c r="Q512" s="75"/>
      <c r="R512" s="73"/>
    </row>
    <row r="513" ht="15.75" spans="1:18">
      <c r="A513" s="11">
        <v>4</v>
      </c>
      <c r="B513" s="129" t="s">
        <v>359</v>
      </c>
      <c r="C513" s="133" t="s">
        <v>919</v>
      </c>
      <c r="D513" s="130">
        <v>40</v>
      </c>
      <c r="E513" s="167">
        <v>1400</v>
      </c>
      <c r="F513" s="150">
        <f t="shared" si="16"/>
        <v>56000</v>
      </c>
      <c r="G513" s="156" t="s">
        <v>104</v>
      </c>
      <c r="H513" s="156" t="s">
        <v>729</v>
      </c>
      <c r="I513" s="156" t="s">
        <v>778</v>
      </c>
      <c r="J513" s="130"/>
      <c r="K513" s="77"/>
      <c r="L513" s="78">
        <v>40</v>
      </c>
      <c r="M513" s="138">
        <f t="shared" si="17"/>
        <v>56000</v>
      </c>
      <c r="N513" s="131"/>
      <c r="O513" s="14"/>
      <c r="P513" s="139"/>
      <c r="Q513" s="75"/>
      <c r="R513" s="14"/>
    </row>
    <row r="514" ht="15.75" spans="1:18">
      <c r="A514" s="11">
        <v>5</v>
      </c>
      <c r="B514" s="129" t="s">
        <v>360</v>
      </c>
      <c r="C514" s="133" t="s">
        <v>919</v>
      </c>
      <c r="D514" s="130">
        <v>14</v>
      </c>
      <c r="E514" s="167">
        <v>2400</v>
      </c>
      <c r="F514" s="150">
        <f t="shared" si="16"/>
        <v>33600</v>
      </c>
      <c r="G514" s="156" t="s">
        <v>104</v>
      </c>
      <c r="H514" s="156" t="s">
        <v>729</v>
      </c>
      <c r="I514" s="156" t="s">
        <v>778</v>
      </c>
      <c r="J514" s="130"/>
      <c r="K514" s="77"/>
      <c r="L514" s="78">
        <v>14</v>
      </c>
      <c r="M514" s="138">
        <f t="shared" si="17"/>
        <v>33600</v>
      </c>
      <c r="N514" s="131"/>
      <c r="O514" s="14"/>
      <c r="P514" s="139"/>
      <c r="Q514" s="75"/>
      <c r="R514" s="91"/>
    </row>
    <row r="515" ht="15.75" spans="1:18">
      <c r="A515" s="11">
        <v>6</v>
      </c>
      <c r="B515" s="129" t="s">
        <v>361</v>
      </c>
      <c r="C515" s="133" t="s">
        <v>919</v>
      </c>
      <c r="D515" s="130">
        <v>10</v>
      </c>
      <c r="E515" s="167">
        <v>1400</v>
      </c>
      <c r="F515" s="150">
        <f t="shared" si="16"/>
        <v>14000</v>
      </c>
      <c r="G515" s="156" t="s">
        <v>104</v>
      </c>
      <c r="H515" s="156" t="s">
        <v>729</v>
      </c>
      <c r="I515" s="156" t="s">
        <v>778</v>
      </c>
      <c r="J515" s="130"/>
      <c r="K515" s="77"/>
      <c r="L515" s="78">
        <v>10</v>
      </c>
      <c r="M515" s="138">
        <f t="shared" si="17"/>
        <v>14000</v>
      </c>
      <c r="N515" s="131"/>
      <c r="O515" s="14"/>
      <c r="P515" s="139"/>
      <c r="Q515" s="75"/>
      <c r="R515" s="73"/>
    </row>
    <row r="516" ht="15.75" spans="1:18">
      <c r="A516" s="11">
        <v>7</v>
      </c>
      <c r="B516" s="129" t="s">
        <v>1108</v>
      </c>
      <c r="C516" s="133" t="s">
        <v>921</v>
      </c>
      <c r="D516" s="130">
        <v>60</v>
      </c>
      <c r="E516" s="167">
        <v>1400</v>
      </c>
      <c r="F516" s="150">
        <f t="shared" si="16"/>
        <v>84000</v>
      </c>
      <c r="G516" s="156" t="s">
        <v>104</v>
      </c>
      <c r="H516" s="156" t="s">
        <v>729</v>
      </c>
      <c r="I516" s="156" t="s">
        <v>778</v>
      </c>
      <c r="J516" s="130"/>
      <c r="K516" s="77"/>
      <c r="L516" s="78">
        <v>60</v>
      </c>
      <c r="M516" s="138">
        <f t="shared" si="17"/>
        <v>84000</v>
      </c>
      <c r="N516" s="131"/>
      <c r="O516" s="14"/>
      <c r="P516" s="139"/>
      <c r="Q516" s="75"/>
      <c r="R516" s="91"/>
    </row>
    <row r="517" ht="15.75" spans="1:18">
      <c r="A517" s="11">
        <v>8</v>
      </c>
      <c r="B517" s="129" t="s">
        <v>1109</v>
      </c>
      <c r="C517" s="133" t="s">
        <v>921</v>
      </c>
      <c r="D517" s="130">
        <v>64</v>
      </c>
      <c r="E517" s="167">
        <v>3600</v>
      </c>
      <c r="F517" s="150">
        <f t="shared" si="16"/>
        <v>230400</v>
      </c>
      <c r="G517" s="156" t="s">
        <v>104</v>
      </c>
      <c r="H517" s="156" t="s">
        <v>729</v>
      </c>
      <c r="I517" s="156" t="s">
        <v>778</v>
      </c>
      <c r="J517" s="130"/>
      <c r="K517" s="77"/>
      <c r="L517" s="78">
        <v>64</v>
      </c>
      <c r="M517" s="138">
        <f t="shared" si="17"/>
        <v>230400</v>
      </c>
      <c r="N517" s="131"/>
      <c r="O517" s="14"/>
      <c r="P517" s="139"/>
      <c r="Q517" s="75"/>
      <c r="R517" s="91"/>
    </row>
    <row r="518" ht="15.75" spans="1:18">
      <c r="A518" s="11">
        <v>9</v>
      </c>
      <c r="B518" s="129" t="s">
        <v>1110</v>
      </c>
      <c r="C518" s="133" t="s">
        <v>919</v>
      </c>
      <c r="D518" s="130">
        <v>64</v>
      </c>
      <c r="E518" s="167">
        <v>2400</v>
      </c>
      <c r="F518" s="150">
        <f t="shared" si="16"/>
        <v>153600</v>
      </c>
      <c r="G518" s="156" t="s">
        <v>104</v>
      </c>
      <c r="H518" s="156" t="s">
        <v>729</v>
      </c>
      <c r="I518" s="156" t="s">
        <v>778</v>
      </c>
      <c r="J518" s="130"/>
      <c r="K518" s="77"/>
      <c r="L518" s="78">
        <v>64</v>
      </c>
      <c r="M518" s="138">
        <f t="shared" si="17"/>
        <v>153600</v>
      </c>
      <c r="N518" s="131"/>
      <c r="O518" s="14"/>
      <c r="P518" s="139"/>
      <c r="Q518" s="75"/>
      <c r="R518" s="73"/>
    </row>
    <row r="519" ht="31.5" spans="1:18">
      <c r="A519" s="11">
        <v>10</v>
      </c>
      <c r="B519" s="182" t="s">
        <v>1111</v>
      </c>
      <c r="C519" s="183" t="s">
        <v>1112</v>
      </c>
      <c r="D519" s="184">
        <v>12</v>
      </c>
      <c r="E519" s="185">
        <v>12300</v>
      </c>
      <c r="F519" s="150">
        <v>147600</v>
      </c>
      <c r="G519" s="77" t="s">
        <v>40</v>
      </c>
      <c r="H519" s="14"/>
      <c r="I519" s="14"/>
      <c r="J519" s="77"/>
      <c r="K519" s="77"/>
      <c r="L519" s="77"/>
      <c r="M519" s="77"/>
      <c r="N519" s="77">
        <v>12</v>
      </c>
      <c r="O519" s="150">
        <v>147600</v>
      </c>
      <c r="P519" s="77"/>
      <c r="Q519" s="77"/>
      <c r="R519" s="91"/>
    </row>
    <row r="520" ht="15.75" spans="1:18">
      <c r="A520" s="11">
        <v>11</v>
      </c>
      <c r="B520" s="32" t="s">
        <v>365</v>
      </c>
      <c r="C520" s="32" t="s">
        <v>1087</v>
      </c>
      <c r="D520" s="37">
        <v>11</v>
      </c>
      <c r="E520" s="169">
        <v>2600</v>
      </c>
      <c r="F520" s="169">
        <v>28600</v>
      </c>
      <c r="G520" s="35" t="s">
        <v>727</v>
      </c>
      <c r="H520" s="13" t="s">
        <v>729</v>
      </c>
      <c r="I520" s="13" t="s">
        <v>778</v>
      </c>
      <c r="J520" s="37">
        <v>11</v>
      </c>
      <c r="K520" s="150">
        <v>28600</v>
      </c>
      <c r="L520" s="77"/>
      <c r="M520" s="77"/>
      <c r="N520" s="77"/>
      <c r="O520" s="77"/>
      <c r="P520" s="77"/>
      <c r="Q520" s="77"/>
      <c r="R520" s="91"/>
    </row>
    <row r="521" ht="15.75" spans="1:18">
      <c r="A521" s="11">
        <v>12</v>
      </c>
      <c r="B521" s="32" t="s">
        <v>366</v>
      </c>
      <c r="C521" s="32" t="s">
        <v>1087</v>
      </c>
      <c r="D521" s="37">
        <v>11</v>
      </c>
      <c r="E521" s="169">
        <v>2010</v>
      </c>
      <c r="F521" s="169">
        <v>22110</v>
      </c>
      <c r="G521" s="35" t="s">
        <v>727</v>
      </c>
      <c r="H521" s="13" t="s">
        <v>729</v>
      </c>
      <c r="I521" s="13" t="s">
        <v>778</v>
      </c>
      <c r="J521" s="37">
        <v>11</v>
      </c>
      <c r="K521" s="150">
        <v>22110</v>
      </c>
      <c r="L521" s="73"/>
      <c r="M521" s="73"/>
      <c r="N521" s="73"/>
      <c r="O521" s="73"/>
      <c r="P521" s="73"/>
      <c r="Q521" s="73"/>
      <c r="R521" s="73"/>
    </row>
    <row r="522" ht="15.75" spans="1:18">
      <c r="A522" s="11">
        <v>13</v>
      </c>
      <c r="B522" s="32" t="s">
        <v>367</v>
      </c>
      <c r="C522" s="32" t="s">
        <v>1087</v>
      </c>
      <c r="D522" s="37">
        <v>11</v>
      </c>
      <c r="E522" s="169">
        <v>1800</v>
      </c>
      <c r="F522" s="169">
        <v>19800</v>
      </c>
      <c r="G522" s="35" t="s">
        <v>727</v>
      </c>
      <c r="H522" s="13" t="s">
        <v>729</v>
      </c>
      <c r="I522" s="13" t="s">
        <v>778</v>
      </c>
      <c r="J522" s="37">
        <v>11</v>
      </c>
      <c r="K522" s="150">
        <v>19800</v>
      </c>
      <c r="L522" s="77"/>
      <c r="M522" s="77"/>
      <c r="N522" s="77"/>
      <c r="O522" s="77"/>
      <c r="P522" s="77"/>
      <c r="Q522" s="77"/>
      <c r="R522" s="91"/>
    </row>
    <row r="523" ht="15.75" spans="1:18">
      <c r="A523" s="11">
        <v>14</v>
      </c>
      <c r="B523" s="32" t="s">
        <v>368</v>
      </c>
      <c r="C523" s="32" t="s">
        <v>1087</v>
      </c>
      <c r="D523" s="37">
        <v>11</v>
      </c>
      <c r="E523" s="169">
        <v>7850</v>
      </c>
      <c r="F523" s="169">
        <v>86350</v>
      </c>
      <c r="G523" s="35" t="s">
        <v>727</v>
      </c>
      <c r="H523" s="13" t="s">
        <v>729</v>
      </c>
      <c r="I523" s="13" t="s">
        <v>778</v>
      </c>
      <c r="J523" s="37">
        <v>11</v>
      </c>
      <c r="K523" s="150">
        <v>86350</v>
      </c>
      <c r="L523" s="73"/>
      <c r="M523" s="73"/>
      <c r="N523" s="73"/>
      <c r="O523" s="73"/>
      <c r="P523" s="73"/>
      <c r="Q523" s="73"/>
      <c r="R523" s="73"/>
    </row>
    <row r="524" ht="15.75" spans="1:18">
      <c r="A524" s="11">
        <v>15</v>
      </c>
      <c r="B524" s="32" t="s">
        <v>369</v>
      </c>
      <c r="C524" s="32" t="s">
        <v>1087</v>
      </c>
      <c r="D524" s="37">
        <v>11</v>
      </c>
      <c r="E524" s="169">
        <v>2500</v>
      </c>
      <c r="F524" s="169">
        <v>27500</v>
      </c>
      <c r="G524" s="35" t="s">
        <v>727</v>
      </c>
      <c r="H524" s="13" t="s">
        <v>729</v>
      </c>
      <c r="I524" s="13" t="s">
        <v>778</v>
      </c>
      <c r="J524" s="37">
        <v>11</v>
      </c>
      <c r="K524" s="150">
        <v>27500</v>
      </c>
      <c r="L524" s="77"/>
      <c r="M524" s="77"/>
      <c r="N524" s="91"/>
      <c r="O524" s="91"/>
      <c r="P524" s="91"/>
      <c r="Q524" s="91"/>
      <c r="R524" s="14"/>
    </row>
    <row r="525" ht="15.75" spans="1:18">
      <c r="A525" s="11">
        <v>16</v>
      </c>
      <c r="B525" s="32" t="s">
        <v>371</v>
      </c>
      <c r="C525" s="32" t="s">
        <v>1087</v>
      </c>
      <c r="D525" s="37">
        <v>11</v>
      </c>
      <c r="E525" s="169">
        <v>280</v>
      </c>
      <c r="F525" s="169">
        <v>3080</v>
      </c>
      <c r="G525" s="35" t="s">
        <v>727</v>
      </c>
      <c r="H525" s="13" t="s">
        <v>729</v>
      </c>
      <c r="I525" s="13" t="s">
        <v>778</v>
      </c>
      <c r="J525" s="37">
        <v>11</v>
      </c>
      <c r="K525" s="150">
        <v>3080</v>
      </c>
      <c r="L525" s="77"/>
      <c r="M525" s="77"/>
      <c r="N525" s="77"/>
      <c r="O525" s="77"/>
      <c r="P525" s="77"/>
      <c r="Q525" s="77"/>
      <c r="R525" s="91"/>
    </row>
    <row r="526" ht="15.75" spans="1:18">
      <c r="A526" s="11">
        <v>17</v>
      </c>
      <c r="B526" s="32" t="s">
        <v>372</v>
      </c>
      <c r="C526" s="32" t="s">
        <v>1087</v>
      </c>
      <c r="D526" s="37">
        <v>11</v>
      </c>
      <c r="E526" s="169">
        <v>2200</v>
      </c>
      <c r="F526" s="169">
        <v>24200</v>
      </c>
      <c r="G526" s="35" t="s">
        <v>727</v>
      </c>
      <c r="H526" s="13" t="s">
        <v>729</v>
      </c>
      <c r="I526" s="13" t="s">
        <v>778</v>
      </c>
      <c r="J526" s="37">
        <v>11</v>
      </c>
      <c r="K526" s="150">
        <v>24200</v>
      </c>
      <c r="L526" s="73"/>
      <c r="M526" s="73"/>
      <c r="N526" s="73"/>
      <c r="O526" s="73"/>
      <c r="P526" s="73"/>
      <c r="Q526" s="73"/>
      <c r="R526" s="73"/>
    </row>
    <row r="527" ht="15.75" spans="1:18">
      <c r="A527" s="11">
        <v>18</v>
      </c>
      <c r="B527" s="32" t="s">
        <v>373</v>
      </c>
      <c r="C527" s="32" t="s">
        <v>1087</v>
      </c>
      <c r="D527" s="37">
        <v>11</v>
      </c>
      <c r="E527" s="169">
        <v>420</v>
      </c>
      <c r="F527" s="169">
        <v>4620</v>
      </c>
      <c r="G527" s="35" t="s">
        <v>727</v>
      </c>
      <c r="H527" s="13" t="s">
        <v>729</v>
      </c>
      <c r="I527" s="13" t="s">
        <v>778</v>
      </c>
      <c r="J527" s="37">
        <v>11</v>
      </c>
      <c r="K527" s="150">
        <v>4620</v>
      </c>
      <c r="L527" s="77"/>
      <c r="M527" s="77"/>
      <c r="N527" s="77"/>
      <c r="O527" s="77"/>
      <c r="P527" s="77"/>
      <c r="Q527" s="77"/>
      <c r="R527" s="91"/>
    </row>
    <row r="528" ht="15.75" spans="1:18">
      <c r="A528" s="11">
        <v>19</v>
      </c>
      <c r="B528" s="32" t="s">
        <v>374</v>
      </c>
      <c r="C528" s="32" t="s">
        <v>1087</v>
      </c>
      <c r="D528" s="37">
        <v>11</v>
      </c>
      <c r="E528" s="169">
        <v>2200</v>
      </c>
      <c r="F528" s="169">
        <v>24200</v>
      </c>
      <c r="G528" s="35" t="s">
        <v>727</v>
      </c>
      <c r="H528" s="13" t="s">
        <v>729</v>
      </c>
      <c r="I528" s="13" t="s">
        <v>778</v>
      </c>
      <c r="J528" s="37">
        <v>11</v>
      </c>
      <c r="K528" s="150">
        <v>24200</v>
      </c>
      <c r="L528" s="77"/>
      <c r="M528" s="77"/>
      <c r="N528" s="77"/>
      <c r="O528" s="77"/>
      <c r="P528" s="77"/>
      <c r="Q528" s="77"/>
      <c r="R528" s="91"/>
    </row>
    <row r="529" ht="15.75" spans="1:18">
      <c r="A529" s="11">
        <v>20</v>
      </c>
      <c r="B529" s="32" t="s">
        <v>375</v>
      </c>
      <c r="C529" s="32" t="s">
        <v>1087</v>
      </c>
      <c r="D529" s="37">
        <v>11</v>
      </c>
      <c r="E529" s="169">
        <v>950</v>
      </c>
      <c r="F529" s="169">
        <v>10450</v>
      </c>
      <c r="G529" s="35" t="s">
        <v>727</v>
      </c>
      <c r="H529" s="13" t="s">
        <v>729</v>
      </c>
      <c r="I529" s="13" t="s">
        <v>778</v>
      </c>
      <c r="J529" s="37">
        <v>11</v>
      </c>
      <c r="K529" s="150">
        <v>10450</v>
      </c>
      <c r="L529" s="73"/>
      <c r="M529" s="73"/>
      <c r="N529" s="73"/>
      <c r="O529" s="73"/>
      <c r="P529" s="73"/>
      <c r="Q529" s="73"/>
      <c r="R529" s="73"/>
    </row>
    <row r="530" ht="15.75" spans="1:18">
      <c r="A530" s="11">
        <v>21</v>
      </c>
      <c r="B530" s="32" t="s">
        <v>376</v>
      </c>
      <c r="C530" s="32" t="s">
        <v>1087</v>
      </c>
      <c r="D530" s="37">
        <v>2</v>
      </c>
      <c r="E530" s="169">
        <v>7000</v>
      </c>
      <c r="F530" s="169">
        <v>14000</v>
      </c>
      <c r="G530" s="35" t="s">
        <v>727</v>
      </c>
      <c r="H530" s="13" t="s">
        <v>729</v>
      </c>
      <c r="I530" s="13" t="s">
        <v>778</v>
      </c>
      <c r="J530" s="37">
        <v>2</v>
      </c>
      <c r="K530" s="77">
        <v>14000</v>
      </c>
      <c r="L530" s="77"/>
      <c r="M530" s="77"/>
      <c r="N530" s="77"/>
      <c r="O530" s="77"/>
      <c r="P530" s="77"/>
      <c r="Q530" s="77"/>
      <c r="R530" s="91"/>
    </row>
    <row r="531" ht="15.75" spans="1:18">
      <c r="A531" s="11">
        <v>22</v>
      </c>
      <c r="B531" s="32" t="s">
        <v>378</v>
      </c>
      <c r="C531" s="32" t="s">
        <v>1113</v>
      </c>
      <c r="D531" s="37">
        <v>2</v>
      </c>
      <c r="E531" s="169">
        <v>4500</v>
      </c>
      <c r="F531" s="169">
        <v>9000</v>
      </c>
      <c r="G531" s="35" t="s">
        <v>727</v>
      </c>
      <c r="H531" s="13" t="s">
        <v>729</v>
      </c>
      <c r="I531" s="13" t="s">
        <v>778</v>
      </c>
      <c r="J531" s="37">
        <v>2</v>
      </c>
      <c r="K531" s="73">
        <v>9000</v>
      </c>
      <c r="L531" s="73"/>
      <c r="M531" s="73"/>
      <c r="N531" s="73"/>
      <c r="O531" s="73"/>
      <c r="P531" s="73"/>
      <c r="Q531" s="73"/>
      <c r="R531" s="73"/>
    </row>
    <row r="532" ht="15.75" spans="1:18">
      <c r="A532" s="11">
        <v>23</v>
      </c>
      <c r="B532" s="32" t="s">
        <v>381</v>
      </c>
      <c r="C532" s="32" t="s">
        <v>1087</v>
      </c>
      <c r="D532" s="37">
        <v>8</v>
      </c>
      <c r="E532" s="11">
        <v>1400</v>
      </c>
      <c r="F532" s="29">
        <f>D532*E532</f>
        <v>11200</v>
      </c>
      <c r="G532" s="13" t="s">
        <v>42</v>
      </c>
      <c r="H532" s="13" t="s">
        <v>729</v>
      </c>
      <c r="I532" s="13" t="s">
        <v>778</v>
      </c>
      <c r="J532" s="14">
        <v>8</v>
      </c>
      <c r="K532" s="14">
        <v>11200</v>
      </c>
      <c r="L532" s="14"/>
      <c r="M532" s="14"/>
      <c r="N532" s="14"/>
      <c r="O532" s="14"/>
      <c r="P532" s="14"/>
      <c r="Q532" s="14"/>
      <c r="R532" s="71"/>
    </row>
    <row r="533" ht="15.75" spans="1:18">
      <c r="A533" s="11">
        <v>24</v>
      </c>
      <c r="B533" s="41" t="s">
        <v>382</v>
      </c>
      <c r="C533" s="41" t="s">
        <v>799</v>
      </c>
      <c r="D533" s="186">
        <v>3</v>
      </c>
      <c r="E533" s="187">
        <v>1500</v>
      </c>
      <c r="F533" s="135">
        <v>4500</v>
      </c>
      <c r="G533" s="41" t="s">
        <v>37</v>
      </c>
      <c r="H533" s="41" t="s">
        <v>729</v>
      </c>
      <c r="I533" s="41" t="s">
        <v>778</v>
      </c>
      <c r="J533" s="76">
        <v>3</v>
      </c>
      <c r="K533" s="72">
        <v>4500</v>
      </c>
      <c r="L533" s="42"/>
      <c r="M533" s="72"/>
      <c r="N533" s="42"/>
      <c r="O533" s="72"/>
      <c r="P533" s="42"/>
      <c r="Q533" s="72"/>
      <c r="R533" s="14"/>
    </row>
    <row r="534" ht="15.75" spans="1:18">
      <c r="A534" s="11">
        <v>25</v>
      </c>
      <c r="B534" s="19" t="s">
        <v>358</v>
      </c>
      <c r="C534" s="41"/>
      <c r="D534" s="188">
        <v>30</v>
      </c>
      <c r="E534" s="189">
        <v>1400</v>
      </c>
      <c r="F534" s="189">
        <f t="shared" ref="F534:F539" si="18">D534*E534</f>
        <v>42000</v>
      </c>
      <c r="G534" s="41" t="s">
        <v>33</v>
      </c>
      <c r="H534" s="41" t="s">
        <v>729</v>
      </c>
      <c r="I534" s="41" t="s">
        <v>778</v>
      </c>
      <c r="J534" s="194">
        <v>30</v>
      </c>
      <c r="K534" s="72">
        <v>42000</v>
      </c>
      <c r="L534" s="42"/>
      <c r="M534" s="72"/>
      <c r="N534" s="42"/>
      <c r="O534" s="72"/>
      <c r="P534" s="42"/>
      <c r="Q534" s="72"/>
      <c r="R534" s="14"/>
    </row>
    <row r="535" ht="15.75" spans="1:18">
      <c r="A535" s="11">
        <v>26</v>
      </c>
      <c r="B535" s="19" t="s">
        <v>453</v>
      </c>
      <c r="C535" s="137"/>
      <c r="D535" s="103">
        <v>150</v>
      </c>
      <c r="E535" s="190">
        <v>1200</v>
      </c>
      <c r="F535" s="190">
        <f t="shared" si="18"/>
        <v>180000</v>
      </c>
      <c r="G535" s="137" t="s">
        <v>33</v>
      </c>
      <c r="H535" s="137" t="s">
        <v>729</v>
      </c>
      <c r="I535" s="137" t="s">
        <v>778</v>
      </c>
      <c r="J535" s="104">
        <v>150</v>
      </c>
      <c r="K535" s="141">
        <v>180000</v>
      </c>
      <c r="L535" s="142"/>
      <c r="M535" s="72"/>
      <c r="N535" s="42"/>
      <c r="O535" s="72"/>
      <c r="P535" s="42"/>
      <c r="Q535" s="72"/>
      <c r="R535" s="14"/>
    </row>
    <row r="536" ht="15.75" spans="1:18">
      <c r="A536" s="11">
        <v>27</v>
      </c>
      <c r="B536" s="19" t="s">
        <v>454</v>
      </c>
      <c r="C536" s="137"/>
      <c r="D536" s="103">
        <v>60</v>
      </c>
      <c r="E536" s="190">
        <v>1200</v>
      </c>
      <c r="F536" s="190">
        <f t="shared" si="18"/>
        <v>72000</v>
      </c>
      <c r="G536" s="137" t="s">
        <v>33</v>
      </c>
      <c r="H536" s="137" t="s">
        <v>729</v>
      </c>
      <c r="I536" s="137" t="s">
        <v>778</v>
      </c>
      <c r="J536" s="104">
        <v>60</v>
      </c>
      <c r="K536" s="141">
        <v>72000</v>
      </c>
      <c r="L536" s="142"/>
      <c r="M536" s="72"/>
      <c r="N536" s="42"/>
      <c r="O536" s="72"/>
      <c r="P536" s="42"/>
      <c r="Q536" s="72"/>
      <c r="R536" s="14"/>
    </row>
    <row r="537" ht="15.75" spans="1:18">
      <c r="A537" s="11">
        <v>28</v>
      </c>
      <c r="B537" s="19" t="s">
        <v>455</v>
      </c>
      <c r="C537" s="137"/>
      <c r="D537" s="103">
        <v>100</v>
      </c>
      <c r="E537" s="190">
        <v>550</v>
      </c>
      <c r="F537" s="190">
        <f t="shared" si="18"/>
        <v>55000</v>
      </c>
      <c r="G537" s="137" t="s">
        <v>33</v>
      </c>
      <c r="H537" s="137" t="s">
        <v>729</v>
      </c>
      <c r="I537" s="137" t="s">
        <v>778</v>
      </c>
      <c r="J537" s="104">
        <v>100</v>
      </c>
      <c r="K537" s="141">
        <v>55000</v>
      </c>
      <c r="L537" s="142"/>
      <c r="M537" s="72"/>
      <c r="N537" s="42"/>
      <c r="O537" s="72"/>
      <c r="P537" s="42"/>
      <c r="Q537" s="72"/>
      <c r="R537" s="14"/>
    </row>
    <row r="538" ht="15.75" spans="1:18">
      <c r="A538" s="11">
        <v>29</v>
      </c>
      <c r="B538" s="19" t="s">
        <v>358</v>
      </c>
      <c r="C538" s="137"/>
      <c r="D538" s="103">
        <v>20</v>
      </c>
      <c r="E538" s="190">
        <v>1400</v>
      </c>
      <c r="F538" s="190">
        <f t="shared" si="18"/>
        <v>28000</v>
      </c>
      <c r="G538" s="137" t="s">
        <v>33</v>
      </c>
      <c r="H538" s="137" t="s">
        <v>729</v>
      </c>
      <c r="I538" s="137" t="s">
        <v>778</v>
      </c>
      <c r="J538" s="104">
        <v>20</v>
      </c>
      <c r="K538" s="141">
        <v>28000</v>
      </c>
      <c r="L538" s="142"/>
      <c r="M538" s="72"/>
      <c r="N538" s="42"/>
      <c r="O538" s="72"/>
      <c r="P538" s="42"/>
      <c r="Q538" s="72"/>
      <c r="R538" s="14"/>
    </row>
    <row r="539" ht="15.75" spans="1:18">
      <c r="A539" s="11">
        <v>30</v>
      </c>
      <c r="B539" s="19" t="s">
        <v>456</v>
      </c>
      <c r="C539" s="137"/>
      <c r="D539" s="103">
        <v>20</v>
      </c>
      <c r="E539" s="190">
        <v>2450</v>
      </c>
      <c r="F539" s="190">
        <f t="shared" si="18"/>
        <v>49000</v>
      </c>
      <c r="G539" s="137" t="s">
        <v>33</v>
      </c>
      <c r="H539" s="137" t="s">
        <v>729</v>
      </c>
      <c r="I539" s="137" t="s">
        <v>778</v>
      </c>
      <c r="J539" s="104">
        <v>20</v>
      </c>
      <c r="K539" s="141">
        <v>49000</v>
      </c>
      <c r="L539" s="142"/>
      <c r="M539" s="72"/>
      <c r="N539" s="42"/>
      <c r="O539" s="72"/>
      <c r="P539" s="42"/>
      <c r="Q539" s="72"/>
      <c r="R539" s="14"/>
    </row>
    <row r="540" ht="15.75" spans="1:18">
      <c r="A540" s="12"/>
      <c r="B540" s="116" t="s">
        <v>22</v>
      </c>
      <c r="C540" s="116"/>
      <c r="D540" s="12"/>
      <c r="E540" s="178"/>
      <c r="F540" s="118">
        <f>SUM(F510:F539)</f>
        <v>1726810</v>
      </c>
      <c r="G540" s="14"/>
      <c r="H540" s="14"/>
      <c r="I540" s="14"/>
      <c r="J540" s="14"/>
      <c r="K540" s="14"/>
      <c r="L540" s="14"/>
      <c r="M540" s="14"/>
      <c r="N540" s="14"/>
      <c r="O540" s="14"/>
      <c r="P540" s="14"/>
      <c r="Q540" s="14"/>
      <c r="R540" s="71"/>
    </row>
    <row r="541" ht="15.75" spans="1:18">
      <c r="A541" s="11"/>
      <c r="B541" s="32"/>
      <c r="C541" s="32"/>
      <c r="D541" s="11"/>
      <c r="E541" s="177"/>
      <c r="F541" s="14"/>
      <c r="G541" s="14"/>
      <c r="H541" s="14"/>
      <c r="I541" s="14"/>
      <c r="J541" s="14"/>
      <c r="K541" s="14"/>
      <c r="L541" s="14"/>
      <c r="M541" s="14"/>
      <c r="N541" s="14"/>
      <c r="O541" s="14"/>
      <c r="P541" s="14"/>
      <c r="Q541" s="14"/>
      <c r="R541" s="71"/>
    </row>
    <row r="542" ht="15.75" spans="1:18">
      <c r="A542" s="11"/>
      <c r="B542" s="129"/>
      <c r="C542" s="11"/>
      <c r="D542" s="11"/>
      <c r="E542" s="11"/>
      <c r="F542" s="14"/>
      <c r="G542" s="14"/>
      <c r="H542" s="47"/>
      <c r="I542" s="14"/>
      <c r="J542" s="47"/>
      <c r="K542" s="47"/>
      <c r="L542" s="47"/>
      <c r="M542" s="47"/>
      <c r="N542" s="47"/>
      <c r="O542" s="47"/>
      <c r="P542" s="47"/>
      <c r="Q542" s="47"/>
      <c r="R542" s="47"/>
    </row>
    <row r="543" ht="15.75" spans="1:18">
      <c r="A543" s="12">
        <v>19</v>
      </c>
      <c r="B543" s="12" t="s">
        <v>1114</v>
      </c>
      <c r="C543" s="11"/>
      <c r="D543" s="11"/>
      <c r="E543" s="11"/>
      <c r="F543" s="11"/>
      <c r="G543" s="11"/>
      <c r="H543" s="11"/>
      <c r="I543" s="11"/>
      <c r="J543" s="14"/>
      <c r="K543" s="14"/>
      <c r="L543" s="14"/>
      <c r="M543" s="14"/>
      <c r="N543" s="14"/>
      <c r="O543" s="14"/>
      <c r="P543" s="14"/>
      <c r="Q543" s="14"/>
      <c r="R543" s="14"/>
    </row>
    <row r="544" ht="15.75" spans="1:18">
      <c r="A544" s="11"/>
      <c r="B544" s="11"/>
      <c r="C544" s="11"/>
      <c r="D544" s="11"/>
      <c r="E544" s="11"/>
      <c r="F544" s="11"/>
      <c r="G544" s="11"/>
      <c r="H544" s="11"/>
      <c r="I544" s="11"/>
      <c r="J544" s="14"/>
      <c r="K544" s="14"/>
      <c r="L544" s="14"/>
      <c r="M544" s="14"/>
      <c r="N544" s="14"/>
      <c r="O544" s="14"/>
      <c r="P544" s="14"/>
      <c r="Q544" s="14"/>
      <c r="R544" s="14"/>
    </row>
    <row r="545" ht="15.75" spans="1:18">
      <c r="A545" s="11"/>
      <c r="B545" s="11"/>
      <c r="C545" s="11"/>
      <c r="D545" s="11"/>
      <c r="E545" s="11"/>
      <c r="F545" s="11"/>
      <c r="G545" s="11"/>
      <c r="H545" s="11"/>
      <c r="I545" s="11"/>
      <c r="J545" s="14"/>
      <c r="K545" s="14"/>
      <c r="L545" s="14"/>
      <c r="M545" s="14"/>
      <c r="N545" s="14"/>
      <c r="O545" s="14"/>
      <c r="P545" s="14"/>
      <c r="Q545" s="14"/>
      <c r="R545" s="14"/>
    </row>
    <row r="546" ht="15.75" spans="1:18">
      <c r="A546" s="11"/>
      <c r="B546" s="11"/>
      <c r="C546" s="11"/>
      <c r="D546" s="11"/>
      <c r="E546" s="11"/>
      <c r="F546" s="11"/>
      <c r="G546" s="11"/>
      <c r="H546" s="11"/>
      <c r="I546" s="11"/>
      <c r="J546" s="14"/>
      <c r="K546" s="14"/>
      <c r="L546" s="14"/>
      <c r="M546" s="14"/>
      <c r="N546" s="14"/>
      <c r="O546" s="14"/>
      <c r="P546" s="14"/>
      <c r="Q546" s="14"/>
      <c r="R546" s="14"/>
    </row>
    <row r="547" ht="15.75" spans="1:18">
      <c r="A547" s="12">
        <v>20</v>
      </c>
      <c r="B547" s="12" t="s">
        <v>1115</v>
      </c>
      <c r="C547" s="11"/>
      <c r="D547" s="11"/>
      <c r="E547" s="11"/>
      <c r="F547" s="11"/>
      <c r="G547" s="11"/>
      <c r="H547" s="11"/>
      <c r="I547" s="11"/>
      <c r="J547" s="14"/>
      <c r="K547" s="14"/>
      <c r="L547" s="14"/>
      <c r="M547" s="14"/>
      <c r="N547" s="14"/>
      <c r="O547" s="14"/>
      <c r="P547" s="14"/>
      <c r="Q547" s="14"/>
      <c r="R547" s="14"/>
    </row>
    <row r="548" ht="15.75" spans="1:18">
      <c r="A548" s="11"/>
      <c r="B548" s="11" t="s">
        <v>1116</v>
      </c>
      <c r="C548" s="11"/>
      <c r="D548" s="11"/>
      <c r="E548" s="11">
        <v>1200000</v>
      </c>
      <c r="F548" s="12">
        <v>1200000</v>
      </c>
      <c r="G548" s="11" t="s">
        <v>1117</v>
      </c>
      <c r="H548" s="11" t="s">
        <v>814</v>
      </c>
      <c r="I548" s="11" t="s">
        <v>778</v>
      </c>
      <c r="J548" s="14"/>
      <c r="K548" s="14">
        <v>300000</v>
      </c>
      <c r="L548" s="14"/>
      <c r="M548" s="14">
        <v>300000</v>
      </c>
      <c r="N548" s="14"/>
      <c r="O548" s="14">
        <v>300000</v>
      </c>
      <c r="P548" s="14"/>
      <c r="Q548" s="14">
        <v>300000</v>
      </c>
      <c r="R548" s="14"/>
    </row>
    <row r="549" ht="15.75" spans="1:18">
      <c r="A549" s="11"/>
      <c r="B549" s="11"/>
      <c r="C549" s="11"/>
      <c r="D549" s="11"/>
      <c r="E549" s="11"/>
      <c r="F549" s="11"/>
      <c r="G549" s="11"/>
      <c r="H549" s="11"/>
      <c r="I549" s="11"/>
      <c r="J549" s="14"/>
      <c r="K549" s="14"/>
      <c r="L549" s="14"/>
      <c r="M549" s="14"/>
      <c r="N549" s="14"/>
      <c r="O549" s="14"/>
      <c r="P549" s="14"/>
      <c r="Q549" s="14"/>
      <c r="R549" s="14"/>
    </row>
    <row r="550" ht="15.75" spans="1:18">
      <c r="A550" s="11"/>
      <c r="B550" s="11"/>
      <c r="C550" s="11"/>
      <c r="D550" s="11"/>
      <c r="E550" s="11"/>
      <c r="F550" s="11"/>
      <c r="G550" s="11"/>
      <c r="H550" s="11"/>
      <c r="I550" s="11"/>
      <c r="J550" s="14"/>
      <c r="K550" s="14"/>
      <c r="L550" s="14"/>
      <c r="M550" s="14"/>
      <c r="N550" s="14"/>
      <c r="O550" s="14"/>
      <c r="P550" s="14"/>
      <c r="Q550" s="14"/>
      <c r="R550" s="14"/>
    </row>
    <row r="551" ht="15.75" spans="1:18">
      <c r="A551" s="11"/>
      <c r="B551" s="11"/>
      <c r="C551" s="11"/>
      <c r="D551" s="11"/>
      <c r="E551" s="11"/>
      <c r="F551" s="11"/>
      <c r="G551" s="11"/>
      <c r="H551" s="11"/>
      <c r="I551" s="11"/>
      <c r="J551" s="14"/>
      <c r="K551" s="14"/>
      <c r="L551" s="14"/>
      <c r="M551" s="14"/>
      <c r="N551" s="14"/>
      <c r="O551" s="14"/>
      <c r="P551" s="14"/>
      <c r="Q551" s="14"/>
      <c r="R551" s="14"/>
    </row>
    <row r="552" ht="15.75" spans="1:18">
      <c r="A552" s="12">
        <v>21</v>
      </c>
      <c r="B552" s="12" t="s">
        <v>1118</v>
      </c>
      <c r="C552" s="11"/>
      <c r="D552" s="11"/>
      <c r="E552" s="11"/>
      <c r="F552" s="11"/>
      <c r="G552" s="11"/>
      <c r="H552" s="11"/>
      <c r="I552" s="11"/>
      <c r="J552" s="14"/>
      <c r="K552" s="14"/>
      <c r="L552" s="14"/>
      <c r="M552" s="14"/>
      <c r="N552" s="14"/>
      <c r="O552" s="14"/>
      <c r="P552" s="14"/>
      <c r="Q552" s="14"/>
      <c r="R552" s="14"/>
    </row>
    <row r="553" ht="15.75" spans="1:18">
      <c r="A553" s="11">
        <v>1</v>
      </c>
      <c r="B553" s="129" t="s">
        <v>1119</v>
      </c>
      <c r="C553" s="191" t="s">
        <v>1120</v>
      </c>
      <c r="D553" s="157">
        <v>1200</v>
      </c>
      <c r="E553" s="169">
        <v>5400</v>
      </c>
      <c r="F553" s="150">
        <f>D553*E553</f>
        <v>6480000</v>
      </c>
      <c r="G553" s="156" t="s">
        <v>104</v>
      </c>
      <c r="H553" s="156" t="s">
        <v>729</v>
      </c>
      <c r="I553" s="156" t="s">
        <v>778</v>
      </c>
      <c r="J553" s="77">
        <v>300</v>
      </c>
      <c r="K553" s="138">
        <f>E553*J553</f>
        <v>1620000</v>
      </c>
      <c r="L553" s="77">
        <v>300</v>
      </c>
      <c r="M553" s="138">
        <f>E553*L553</f>
        <v>1620000</v>
      </c>
      <c r="N553" s="77">
        <v>300</v>
      </c>
      <c r="O553" s="138">
        <f>E553*N553</f>
        <v>1620000</v>
      </c>
      <c r="P553" s="77">
        <v>300</v>
      </c>
      <c r="Q553" s="138">
        <f>E553*P553</f>
        <v>1620000</v>
      </c>
      <c r="R553" s="73"/>
    </row>
    <row r="554" ht="15.75" spans="1:18">
      <c r="A554" s="11">
        <v>2</v>
      </c>
      <c r="B554" s="129" t="s">
        <v>703</v>
      </c>
      <c r="C554" s="191" t="s">
        <v>1121</v>
      </c>
      <c r="D554" s="157">
        <v>48</v>
      </c>
      <c r="E554" s="169">
        <v>28200</v>
      </c>
      <c r="F554" s="150">
        <f>D554*E554</f>
        <v>1353600</v>
      </c>
      <c r="G554" s="156" t="s">
        <v>104</v>
      </c>
      <c r="H554" s="156" t="s">
        <v>729</v>
      </c>
      <c r="I554" s="156" t="s">
        <v>778</v>
      </c>
      <c r="J554" s="77">
        <v>12</v>
      </c>
      <c r="K554" s="138">
        <f>E554*J554</f>
        <v>338400</v>
      </c>
      <c r="L554" s="77">
        <v>12</v>
      </c>
      <c r="M554" s="138">
        <f>E554*L554</f>
        <v>338400</v>
      </c>
      <c r="N554" s="77">
        <v>12</v>
      </c>
      <c r="O554" s="138">
        <f>E554*N554</f>
        <v>338400</v>
      </c>
      <c r="P554" s="77">
        <v>12</v>
      </c>
      <c r="Q554" s="138">
        <f>E554*P554</f>
        <v>338400</v>
      </c>
      <c r="R554" s="91"/>
    </row>
    <row r="555" ht="15.75" spans="1:18">
      <c r="A555" s="11">
        <v>3</v>
      </c>
      <c r="B555" s="129" t="s">
        <v>1122</v>
      </c>
      <c r="C555" s="191" t="s">
        <v>1120</v>
      </c>
      <c r="D555" s="157">
        <v>120</v>
      </c>
      <c r="E555" s="169">
        <v>3800</v>
      </c>
      <c r="F555" s="150">
        <f>D555*E555</f>
        <v>456000</v>
      </c>
      <c r="G555" s="156" t="s">
        <v>104</v>
      </c>
      <c r="H555" s="156" t="s">
        <v>729</v>
      </c>
      <c r="I555" s="156" t="s">
        <v>778</v>
      </c>
      <c r="J555" s="77">
        <v>30</v>
      </c>
      <c r="K555" s="138">
        <f>E555*J555</f>
        <v>114000</v>
      </c>
      <c r="L555" s="77">
        <v>30</v>
      </c>
      <c r="M555" s="138">
        <f>E555*L555</f>
        <v>114000</v>
      </c>
      <c r="N555" s="77">
        <v>30</v>
      </c>
      <c r="O555" s="138">
        <f>E555*N555</f>
        <v>114000</v>
      </c>
      <c r="P555" s="77">
        <v>30</v>
      </c>
      <c r="Q555" s="138">
        <f>E555*P555</f>
        <v>114000</v>
      </c>
      <c r="R555" s="91"/>
    </row>
    <row r="556" ht="15.75" spans="1:18">
      <c r="A556" s="11"/>
      <c r="B556" s="11"/>
      <c r="C556" s="157"/>
      <c r="D556" s="169"/>
      <c r="E556" s="169"/>
      <c r="F556" s="77"/>
      <c r="G556" s="77"/>
      <c r="H556" s="77"/>
      <c r="I556" s="77"/>
      <c r="J556" s="77"/>
      <c r="K556" s="77"/>
      <c r="L556" s="77"/>
      <c r="M556" s="77"/>
      <c r="N556" s="77"/>
      <c r="O556" s="77"/>
      <c r="P556" s="77"/>
      <c r="Q556" s="77"/>
      <c r="R556" s="91"/>
    </row>
    <row r="557" ht="15.75" spans="1:18">
      <c r="A557" s="11"/>
      <c r="B557" s="11"/>
      <c r="C557" s="129"/>
      <c r="D557" s="174"/>
      <c r="E557" s="174"/>
      <c r="F557" s="77"/>
      <c r="G557" s="77"/>
      <c r="H557" s="14"/>
      <c r="I557" s="14"/>
      <c r="J557" s="73"/>
      <c r="K557" s="73"/>
      <c r="L557" s="73"/>
      <c r="M557" s="73"/>
      <c r="N557" s="73"/>
      <c r="O557" s="73"/>
      <c r="P557" s="73"/>
      <c r="Q557" s="73"/>
      <c r="R557" s="73"/>
    </row>
    <row r="558" ht="15.75" spans="1:18">
      <c r="A558" s="12"/>
      <c r="B558" s="12" t="s">
        <v>22</v>
      </c>
      <c r="C558" s="12"/>
      <c r="D558" s="12"/>
      <c r="E558" s="192"/>
      <c r="F558" s="192">
        <f>SUM(F553:F557)</f>
        <v>8289600</v>
      </c>
      <c r="G558" s="11"/>
      <c r="H558" s="11"/>
      <c r="I558" s="11"/>
      <c r="J558" s="14"/>
      <c r="K558" s="14"/>
      <c r="L558" s="14"/>
      <c r="M558" s="14"/>
      <c r="N558" s="14"/>
      <c r="O558" s="14"/>
      <c r="P558" s="14"/>
      <c r="Q558" s="14"/>
      <c r="R558" s="14"/>
    </row>
    <row r="559" ht="15.75" spans="1:18">
      <c r="A559" s="11"/>
      <c r="B559" s="11"/>
      <c r="C559" s="11"/>
      <c r="D559" s="11"/>
      <c r="E559" s="11"/>
      <c r="F559" s="11"/>
      <c r="G559" s="11"/>
      <c r="H559" s="11"/>
      <c r="I559" s="11"/>
      <c r="J559" s="14"/>
      <c r="K559" s="14"/>
      <c r="L559" s="14"/>
      <c r="M559" s="14"/>
      <c r="N559" s="14"/>
      <c r="O559" s="14"/>
      <c r="P559" s="14"/>
      <c r="Q559" s="14"/>
      <c r="R559" s="14"/>
    </row>
    <row r="560" ht="15.75" spans="1:18">
      <c r="A560" s="11"/>
      <c r="B560" s="11"/>
      <c r="C560" s="11"/>
      <c r="D560" s="11"/>
      <c r="E560" s="11"/>
      <c r="F560" s="11"/>
      <c r="G560" s="11"/>
      <c r="H560" s="11"/>
      <c r="I560" s="11"/>
      <c r="J560" s="14"/>
      <c r="K560" s="14"/>
      <c r="L560" s="14"/>
      <c r="M560" s="14"/>
      <c r="N560" s="14"/>
      <c r="O560" s="14"/>
      <c r="P560" s="14"/>
      <c r="Q560" s="14"/>
      <c r="R560" s="14"/>
    </row>
    <row r="561" ht="15.75" spans="1:18">
      <c r="A561" s="12">
        <v>22</v>
      </c>
      <c r="B561" s="11" t="s">
        <v>1123</v>
      </c>
      <c r="C561" s="11"/>
      <c r="D561" s="11"/>
      <c r="E561" s="11"/>
      <c r="F561" s="11"/>
      <c r="G561" s="11"/>
      <c r="H561" s="11"/>
      <c r="I561" s="11"/>
      <c r="J561" s="14"/>
      <c r="K561" s="14"/>
      <c r="L561" s="14"/>
      <c r="M561" s="14"/>
      <c r="N561" s="14"/>
      <c r="O561" s="14"/>
      <c r="P561" s="14"/>
      <c r="Q561" s="14"/>
      <c r="R561" s="14"/>
    </row>
    <row r="562" ht="15.75" spans="1:18">
      <c r="A562" s="11"/>
      <c r="B562" s="175" t="s">
        <v>390</v>
      </c>
      <c r="C562" s="175"/>
      <c r="D562" s="158"/>
      <c r="E562" s="169"/>
      <c r="F562" s="77"/>
      <c r="G562" s="77"/>
      <c r="H562" s="14"/>
      <c r="I562" s="14"/>
      <c r="J562" s="77"/>
      <c r="K562" s="77"/>
      <c r="L562" s="77"/>
      <c r="M562" s="77"/>
      <c r="N562" s="77"/>
      <c r="O562" s="77"/>
      <c r="P562" s="77"/>
      <c r="Q562" s="77"/>
      <c r="R562" s="91"/>
    </row>
    <row r="563" ht="15.75" spans="1:18">
      <c r="A563" s="11">
        <v>1</v>
      </c>
      <c r="B563" s="129" t="s">
        <v>1124</v>
      </c>
      <c r="C563" s="193" t="s">
        <v>1125</v>
      </c>
      <c r="D563" s="157">
        <v>8</v>
      </c>
      <c r="E563" s="167">
        <v>450</v>
      </c>
      <c r="F563" s="150">
        <f t="shared" ref="F563:F570" si="19">D563*E563</f>
        <v>3600</v>
      </c>
      <c r="G563" s="156" t="s">
        <v>104</v>
      </c>
      <c r="H563" s="156" t="s">
        <v>729</v>
      </c>
      <c r="I563" s="156" t="s">
        <v>778</v>
      </c>
      <c r="J563" s="77">
        <v>2</v>
      </c>
      <c r="K563" s="138">
        <f t="shared" ref="K563:K570" si="20">E563*J563</f>
        <v>900</v>
      </c>
      <c r="L563" s="78">
        <v>2</v>
      </c>
      <c r="M563" s="138">
        <f t="shared" ref="M563:M570" si="21">E563*L563</f>
        <v>900</v>
      </c>
      <c r="N563" s="78">
        <v>2</v>
      </c>
      <c r="O563" s="138">
        <f t="shared" ref="O563:O570" si="22">E563*N563</f>
        <v>900</v>
      </c>
      <c r="P563" s="78">
        <v>2</v>
      </c>
      <c r="Q563" s="138">
        <f t="shared" ref="Q563:Q570" si="23">E563*P563</f>
        <v>900</v>
      </c>
      <c r="R563" s="73"/>
    </row>
    <row r="564" ht="15.75" spans="1:18">
      <c r="A564" s="11">
        <v>2</v>
      </c>
      <c r="B564" s="129" t="s">
        <v>1126</v>
      </c>
      <c r="C564" s="193" t="s">
        <v>1125</v>
      </c>
      <c r="D564" s="157">
        <v>8</v>
      </c>
      <c r="E564" s="167">
        <v>450</v>
      </c>
      <c r="F564" s="150">
        <f t="shared" si="19"/>
        <v>3600</v>
      </c>
      <c r="G564" s="156" t="s">
        <v>104</v>
      </c>
      <c r="H564" s="156" t="s">
        <v>729</v>
      </c>
      <c r="I564" s="156" t="s">
        <v>778</v>
      </c>
      <c r="J564" s="77">
        <v>2</v>
      </c>
      <c r="K564" s="138">
        <f t="shared" si="20"/>
        <v>900</v>
      </c>
      <c r="L564" s="78">
        <v>2</v>
      </c>
      <c r="M564" s="138">
        <f t="shared" si="21"/>
        <v>900</v>
      </c>
      <c r="N564" s="78">
        <v>2</v>
      </c>
      <c r="O564" s="138">
        <f t="shared" si="22"/>
        <v>900</v>
      </c>
      <c r="P564" s="78">
        <v>2</v>
      </c>
      <c r="Q564" s="138">
        <f t="shared" si="23"/>
        <v>900</v>
      </c>
      <c r="R564" s="14"/>
    </row>
    <row r="565" ht="15.75" spans="1:18">
      <c r="A565" s="11">
        <v>3</v>
      </c>
      <c r="B565" s="129" t="s">
        <v>1127</v>
      </c>
      <c r="C565" s="193" t="s">
        <v>1128</v>
      </c>
      <c r="D565" s="157">
        <v>12</v>
      </c>
      <c r="E565" s="167">
        <v>1400</v>
      </c>
      <c r="F565" s="150">
        <f t="shared" si="19"/>
        <v>16800</v>
      </c>
      <c r="G565" s="156" t="s">
        <v>104</v>
      </c>
      <c r="H565" s="156" t="s">
        <v>729</v>
      </c>
      <c r="I565" s="156" t="s">
        <v>778</v>
      </c>
      <c r="J565" s="77">
        <v>3</v>
      </c>
      <c r="K565" s="138">
        <f t="shared" si="20"/>
        <v>4200</v>
      </c>
      <c r="L565" s="78">
        <v>3</v>
      </c>
      <c r="M565" s="138">
        <f t="shared" si="21"/>
        <v>4200</v>
      </c>
      <c r="N565" s="78">
        <v>3</v>
      </c>
      <c r="O565" s="138">
        <f t="shared" si="22"/>
        <v>4200</v>
      </c>
      <c r="P565" s="78">
        <v>3</v>
      </c>
      <c r="Q565" s="138">
        <f t="shared" si="23"/>
        <v>4200</v>
      </c>
      <c r="R565" s="14"/>
    </row>
    <row r="566" ht="15.75" spans="1:18">
      <c r="A566" s="11">
        <v>4</v>
      </c>
      <c r="B566" s="129" t="s">
        <v>394</v>
      </c>
      <c r="C566" s="193" t="s">
        <v>1129</v>
      </c>
      <c r="D566" s="157">
        <v>25</v>
      </c>
      <c r="E566" s="167">
        <v>150</v>
      </c>
      <c r="F566" s="150">
        <f t="shared" si="19"/>
        <v>3750</v>
      </c>
      <c r="G566" s="156" t="s">
        <v>104</v>
      </c>
      <c r="H566" s="156" t="s">
        <v>729</v>
      </c>
      <c r="I566" s="156" t="s">
        <v>778</v>
      </c>
      <c r="J566" s="77">
        <v>10</v>
      </c>
      <c r="K566" s="138">
        <f t="shared" si="20"/>
        <v>1500</v>
      </c>
      <c r="L566" s="78">
        <v>5</v>
      </c>
      <c r="M566" s="138">
        <f t="shared" si="21"/>
        <v>750</v>
      </c>
      <c r="N566" s="78">
        <v>5</v>
      </c>
      <c r="O566" s="138">
        <f t="shared" si="22"/>
        <v>750</v>
      </c>
      <c r="P566" s="78">
        <v>5</v>
      </c>
      <c r="Q566" s="138">
        <f t="shared" si="23"/>
        <v>750</v>
      </c>
      <c r="R566" s="14"/>
    </row>
    <row r="567" ht="15.75" spans="1:18">
      <c r="A567" s="11">
        <v>5</v>
      </c>
      <c r="B567" s="129" t="s">
        <v>1130</v>
      </c>
      <c r="C567" s="193" t="s">
        <v>1129</v>
      </c>
      <c r="D567" s="157">
        <v>25</v>
      </c>
      <c r="E567" s="167">
        <v>100</v>
      </c>
      <c r="F567" s="150">
        <f t="shared" si="19"/>
        <v>2500</v>
      </c>
      <c r="G567" s="156" t="s">
        <v>104</v>
      </c>
      <c r="H567" s="156" t="s">
        <v>729</v>
      </c>
      <c r="I567" s="156" t="s">
        <v>778</v>
      </c>
      <c r="J567" s="77">
        <v>10</v>
      </c>
      <c r="K567" s="138">
        <f t="shared" si="20"/>
        <v>1000</v>
      </c>
      <c r="L567" s="78">
        <v>5</v>
      </c>
      <c r="M567" s="138">
        <f t="shared" si="21"/>
        <v>500</v>
      </c>
      <c r="N567" s="78">
        <v>5</v>
      </c>
      <c r="O567" s="138">
        <f t="shared" si="22"/>
        <v>500</v>
      </c>
      <c r="P567" s="78">
        <v>5</v>
      </c>
      <c r="Q567" s="138">
        <f t="shared" si="23"/>
        <v>500</v>
      </c>
      <c r="R567" s="14"/>
    </row>
    <row r="568" ht="15.75" spans="1:18">
      <c r="A568" s="11">
        <v>6</v>
      </c>
      <c r="B568" s="129" t="s">
        <v>1131</v>
      </c>
      <c r="C568" s="193" t="s">
        <v>1129</v>
      </c>
      <c r="D568" s="157">
        <v>25</v>
      </c>
      <c r="E568" s="167">
        <v>100</v>
      </c>
      <c r="F568" s="150">
        <f t="shared" si="19"/>
        <v>2500</v>
      </c>
      <c r="G568" s="156" t="s">
        <v>104</v>
      </c>
      <c r="H568" s="156" t="s">
        <v>729</v>
      </c>
      <c r="I568" s="156" t="s">
        <v>778</v>
      </c>
      <c r="J568" s="77">
        <v>10</v>
      </c>
      <c r="K568" s="138">
        <f t="shared" si="20"/>
        <v>1000</v>
      </c>
      <c r="L568" s="78">
        <v>5</v>
      </c>
      <c r="M568" s="138">
        <f t="shared" si="21"/>
        <v>500</v>
      </c>
      <c r="N568" s="78">
        <v>5</v>
      </c>
      <c r="O568" s="138">
        <f t="shared" si="22"/>
        <v>500</v>
      </c>
      <c r="P568" s="78">
        <v>5</v>
      </c>
      <c r="Q568" s="138">
        <f t="shared" si="23"/>
        <v>500</v>
      </c>
      <c r="R568" s="14"/>
    </row>
    <row r="569" ht="15.75" spans="1:18">
      <c r="A569" s="11">
        <v>7</v>
      </c>
      <c r="B569" s="129" t="s">
        <v>1132</v>
      </c>
      <c r="C569" s="191" t="s">
        <v>914</v>
      </c>
      <c r="D569" s="157">
        <v>8</v>
      </c>
      <c r="E569" s="167">
        <v>1200</v>
      </c>
      <c r="F569" s="150">
        <f t="shared" si="19"/>
        <v>9600</v>
      </c>
      <c r="G569" s="156" t="s">
        <v>104</v>
      </c>
      <c r="H569" s="156" t="s">
        <v>729</v>
      </c>
      <c r="I569" s="156" t="s">
        <v>778</v>
      </c>
      <c r="J569" s="77">
        <v>2</v>
      </c>
      <c r="K569" s="138">
        <f t="shared" si="20"/>
        <v>2400</v>
      </c>
      <c r="L569" s="78">
        <v>2</v>
      </c>
      <c r="M569" s="138">
        <f t="shared" si="21"/>
        <v>2400</v>
      </c>
      <c r="N569" s="78">
        <v>2</v>
      </c>
      <c r="O569" s="138">
        <f t="shared" si="22"/>
        <v>2400</v>
      </c>
      <c r="P569" s="78">
        <v>2</v>
      </c>
      <c r="Q569" s="138">
        <f t="shared" si="23"/>
        <v>2400</v>
      </c>
      <c r="R569" s="14"/>
    </row>
    <row r="570" ht="15.75" spans="1:18">
      <c r="A570" s="11">
        <v>8</v>
      </c>
      <c r="B570" s="129" t="s">
        <v>1133</v>
      </c>
      <c r="C570" s="191" t="s">
        <v>914</v>
      </c>
      <c r="D570" s="157">
        <v>8</v>
      </c>
      <c r="E570" s="167">
        <v>450</v>
      </c>
      <c r="F570" s="150">
        <f t="shared" si="19"/>
        <v>3600</v>
      </c>
      <c r="G570" s="156" t="s">
        <v>104</v>
      </c>
      <c r="H570" s="156" t="s">
        <v>729</v>
      </c>
      <c r="I570" s="156" t="s">
        <v>778</v>
      </c>
      <c r="J570" s="77">
        <v>2</v>
      </c>
      <c r="K570" s="138">
        <f t="shared" si="20"/>
        <v>900</v>
      </c>
      <c r="L570" s="78">
        <v>2</v>
      </c>
      <c r="M570" s="138">
        <f t="shared" si="21"/>
        <v>900</v>
      </c>
      <c r="N570" s="78">
        <v>2</v>
      </c>
      <c r="O570" s="138">
        <f t="shared" si="22"/>
        <v>900</v>
      </c>
      <c r="P570" s="78">
        <v>2</v>
      </c>
      <c r="Q570" s="138">
        <f t="shared" si="23"/>
        <v>900</v>
      </c>
      <c r="R570" s="14"/>
    </row>
    <row r="571" ht="15.75" spans="1:18">
      <c r="A571" s="11"/>
      <c r="B571" s="11" t="s">
        <v>22</v>
      </c>
      <c r="C571" s="129"/>
      <c r="D571" s="174"/>
      <c r="E571" s="174"/>
      <c r="F571" s="159">
        <f>SUM(F563:F570)</f>
        <v>45950</v>
      </c>
      <c r="G571" s="77"/>
      <c r="H571" s="14"/>
      <c r="I571" s="14"/>
      <c r="J571" s="77"/>
      <c r="K571" s="77"/>
      <c r="L571" s="77"/>
      <c r="M571" s="77"/>
      <c r="N571" s="77"/>
      <c r="O571" s="77"/>
      <c r="P571" s="77"/>
      <c r="Q571" s="77"/>
      <c r="R571" s="91"/>
    </row>
    <row r="572" ht="15.75" spans="1:18">
      <c r="A572" s="11"/>
      <c r="B572" s="11"/>
      <c r="C572" s="129"/>
      <c r="D572" s="174"/>
      <c r="E572" s="174"/>
      <c r="F572" s="77"/>
      <c r="G572" s="77"/>
      <c r="H572" s="14"/>
      <c r="I572" s="14"/>
      <c r="J572" s="73"/>
      <c r="K572" s="73"/>
      <c r="L572" s="73"/>
      <c r="M572" s="73"/>
      <c r="N572" s="73"/>
      <c r="O572" s="73"/>
      <c r="P572" s="73"/>
      <c r="Q572" s="73"/>
      <c r="R572" s="73"/>
    </row>
    <row r="573" ht="15.75" spans="1:18">
      <c r="A573" s="11"/>
      <c r="B573" s="11"/>
      <c r="C573" s="129"/>
      <c r="D573" s="174"/>
      <c r="E573" s="174"/>
      <c r="F573" s="77"/>
      <c r="G573" s="77"/>
      <c r="H573" s="14"/>
      <c r="I573" s="14"/>
      <c r="J573" s="77"/>
      <c r="K573" s="77"/>
      <c r="L573" s="77"/>
      <c r="M573" s="77"/>
      <c r="N573" s="91"/>
      <c r="O573" s="91"/>
      <c r="P573" s="91"/>
      <c r="Q573" s="91"/>
      <c r="R573" s="14"/>
    </row>
    <row r="574" ht="15.75" spans="1:18">
      <c r="A574" s="11"/>
      <c r="B574" s="11"/>
      <c r="C574" s="129"/>
      <c r="D574" s="174"/>
      <c r="E574" s="174"/>
      <c r="F574" s="77"/>
      <c r="G574" s="77"/>
      <c r="H574" s="14"/>
      <c r="I574" s="14"/>
      <c r="J574" s="77"/>
      <c r="K574" s="77"/>
      <c r="L574" s="77"/>
      <c r="M574" s="77"/>
      <c r="N574" s="77"/>
      <c r="O574" s="77"/>
      <c r="P574" s="77"/>
      <c r="Q574" s="77"/>
      <c r="R574" s="91"/>
    </row>
    <row r="575" ht="15.75" spans="1:18">
      <c r="A575" s="12">
        <v>23</v>
      </c>
      <c r="B575" s="175" t="s">
        <v>399</v>
      </c>
      <c r="C575" s="175"/>
      <c r="D575" s="158" t="s">
        <v>400</v>
      </c>
      <c r="E575" s="169"/>
      <c r="F575" s="77"/>
      <c r="G575" s="77"/>
      <c r="H575" s="14"/>
      <c r="I575" s="14"/>
      <c r="J575" s="73"/>
      <c r="K575" s="73"/>
      <c r="L575" s="73"/>
      <c r="M575" s="73"/>
      <c r="N575" s="73"/>
      <c r="O575" s="73"/>
      <c r="P575" s="73"/>
      <c r="Q575" s="73"/>
      <c r="R575" s="73"/>
    </row>
    <row r="576" ht="15.75" spans="1:18">
      <c r="A576" s="11">
        <v>1</v>
      </c>
      <c r="B576" s="129" t="s">
        <v>1134</v>
      </c>
      <c r="C576" s="191" t="s">
        <v>1135</v>
      </c>
      <c r="D576" s="157">
        <v>50</v>
      </c>
      <c r="E576" s="167">
        <v>40</v>
      </c>
      <c r="F576" s="150">
        <f t="shared" ref="F576:F585" si="24">D576*E576</f>
        <v>2000</v>
      </c>
      <c r="G576" s="156" t="s">
        <v>104</v>
      </c>
      <c r="H576" s="156" t="s">
        <v>729</v>
      </c>
      <c r="I576" s="156" t="s">
        <v>778</v>
      </c>
      <c r="J576" s="77">
        <v>20</v>
      </c>
      <c r="K576" s="138">
        <f t="shared" ref="K576:K585" si="25">E576*J576</f>
        <v>800</v>
      </c>
      <c r="L576" s="78">
        <v>10</v>
      </c>
      <c r="M576" s="138">
        <f t="shared" ref="M576:M585" si="26">E576*L576</f>
        <v>400</v>
      </c>
      <c r="N576" s="78">
        <v>10</v>
      </c>
      <c r="O576" s="138">
        <f t="shared" ref="O576:O585" si="27">E576*N576</f>
        <v>400</v>
      </c>
      <c r="P576" s="139">
        <v>10</v>
      </c>
      <c r="Q576" s="75">
        <f t="shared" ref="Q576:Q585" si="28">E576*P576</f>
        <v>400</v>
      </c>
      <c r="R576" s="91"/>
    </row>
    <row r="577" ht="15.75" spans="1:18">
      <c r="A577" s="11">
        <v>2</v>
      </c>
      <c r="B577" s="129" t="s">
        <v>1136</v>
      </c>
      <c r="C577" s="191" t="s">
        <v>1137</v>
      </c>
      <c r="D577" s="157">
        <v>6</v>
      </c>
      <c r="E577" s="167">
        <v>120</v>
      </c>
      <c r="F577" s="150">
        <f t="shared" si="24"/>
        <v>720</v>
      </c>
      <c r="G577" s="156" t="s">
        <v>104</v>
      </c>
      <c r="H577" s="156" t="s">
        <v>729</v>
      </c>
      <c r="I577" s="156" t="s">
        <v>778</v>
      </c>
      <c r="J577" s="77">
        <v>3</v>
      </c>
      <c r="K577" s="138">
        <f t="shared" si="25"/>
        <v>360</v>
      </c>
      <c r="L577" s="78">
        <v>1</v>
      </c>
      <c r="M577" s="138">
        <f t="shared" si="26"/>
        <v>120</v>
      </c>
      <c r="N577" s="78">
        <v>1</v>
      </c>
      <c r="O577" s="138">
        <f t="shared" si="27"/>
        <v>120</v>
      </c>
      <c r="P577" s="139">
        <v>1</v>
      </c>
      <c r="Q577" s="75">
        <f t="shared" si="28"/>
        <v>120</v>
      </c>
      <c r="R577" s="91"/>
    </row>
    <row r="578" ht="15.75" spans="1:18">
      <c r="A578" s="11">
        <v>3</v>
      </c>
      <c r="B578" s="129" t="s">
        <v>1138</v>
      </c>
      <c r="C578" s="191" t="s">
        <v>1135</v>
      </c>
      <c r="D578" s="157">
        <v>50</v>
      </c>
      <c r="E578" s="167">
        <v>120</v>
      </c>
      <c r="F578" s="150">
        <f t="shared" si="24"/>
        <v>6000</v>
      </c>
      <c r="G578" s="156" t="s">
        <v>104</v>
      </c>
      <c r="H578" s="156" t="s">
        <v>729</v>
      </c>
      <c r="I578" s="156" t="s">
        <v>778</v>
      </c>
      <c r="J578" s="77">
        <v>20</v>
      </c>
      <c r="K578" s="138">
        <f t="shared" si="25"/>
        <v>2400</v>
      </c>
      <c r="L578" s="78">
        <v>10</v>
      </c>
      <c r="M578" s="138">
        <f t="shared" si="26"/>
        <v>1200</v>
      </c>
      <c r="N578" s="78">
        <v>10</v>
      </c>
      <c r="O578" s="138">
        <f t="shared" si="27"/>
        <v>1200</v>
      </c>
      <c r="P578" s="139">
        <v>10</v>
      </c>
      <c r="Q578" s="75">
        <f t="shared" si="28"/>
        <v>1200</v>
      </c>
      <c r="R578" s="91"/>
    </row>
    <row r="579" ht="15.75" spans="1:18">
      <c r="A579" s="11">
        <v>4</v>
      </c>
      <c r="B579" s="129" t="s">
        <v>1139</v>
      </c>
      <c r="C579" s="191" t="s">
        <v>1125</v>
      </c>
      <c r="D579" s="157">
        <v>6</v>
      </c>
      <c r="E579" s="167">
        <v>550</v>
      </c>
      <c r="F579" s="150">
        <f t="shared" si="24"/>
        <v>3300</v>
      </c>
      <c r="G579" s="156" t="s">
        <v>104</v>
      </c>
      <c r="H579" s="156" t="s">
        <v>729</v>
      </c>
      <c r="I579" s="156" t="s">
        <v>778</v>
      </c>
      <c r="J579" s="77">
        <v>3</v>
      </c>
      <c r="K579" s="138">
        <f t="shared" si="25"/>
        <v>1650</v>
      </c>
      <c r="L579" s="78">
        <v>1</v>
      </c>
      <c r="M579" s="138">
        <f t="shared" si="26"/>
        <v>550</v>
      </c>
      <c r="N579" s="78">
        <v>1</v>
      </c>
      <c r="O579" s="138">
        <f t="shared" si="27"/>
        <v>550</v>
      </c>
      <c r="P579" s="139">
        <v>1</v>
      </c>
      <c r="Q579" s="75">
        <f t="shared" si="28"/>
        <v>550</v>
      </c>
      <c r="R579" s="91"/>
    </row>
    <row r="580" ht="15.75" spans="1:18">
      <c r="A580" s="11">
        <v>5</v>
      </c>
      <c r="B580" s="129" t="s">
        <v>1140</v>
      </c>
      <c r="C580" s="191" t="s">
        <v>1141</v>
      </c>
      <c r="D580" s="157">
        <v>4</v>
      </c>
      <c r="E580" s="167">
        <v>650</v>
      </c>
      <c r="F580" s="150">
        <f t="shared" si="24"/>
        <v>2600</v>
      </c>
      <c r="G580" s="156" t="s">
        <v>104</v>
      </c>
      <c r="H580" s="156" t="s">
        <v>729</v>
      </c>
      <c r="I580" s="156" t="s">
        <v>778</v>
      </c>
      <c r="J580" s="77">
        <v>1</v>
      </c>
      <c r="K580" s="138">
        <f t="shared" si="25"/>
        <v>650</v>
      </c>
      <c r="L580" s="78">
        <v>1</v>
      </c>
      <c r="M580" s="138">
        <f t="shared" si="26"/>
        <v>650</v>
      </c>
      <c r="N580" s="78">
        <v>1</v>
      </c>
      <c r="O580" s="138">
        <f t="shared" si="27"/>
        <v>650</v>
      </c>
      <c r="P580" s="139">
        <v>1</v>
      </c>
      <c r="Q580" s="75">
        <f t="shared" si="28"/>
        <v>650</v>
      </c>
      <c r="R580" s="91"/>
    </row>
    <row r="581" ht="15.75" spans="1:18">
      <c r="A581" s="11">
        <v>6</v>
      </c>
      <c r="B581" s="129" t="s">
        <v>1142</v>
      </c>
      <c r="C581" s="191" t="s">
        <v>1143</v>
      </c>
      <c r="D581" s="157">
        <v>10</v>
      </c>
      <c r="E581" s="167">
        <v>50</v>
      </c>
      <c r="F581" s="150">
        <f t="shared" si="24"/>
        <v>500</v>
      </c>
      <c r="G581" s="156" t="s">
        <v>104</v>
      </c>
      <c r="H581" s="156" t="s">
        <v>729</v>
      </c>
      <c r="I581" s="156" t="s">
        <v>778</v>
      </c>
      <c r="J581" s="77">
        <v>10</v>
      </c>
      <c r="K581" s="138">
        <f t="shared" si="25"/>
        <v>500</v>
      </c>
      <c r="L581" s="78"/>
      <c r="M581" s="138"/>
      <c r="N581" s="78"/>
      <c r="O581" s="138"/>
      <c r="P581" s="139"/>
      <c r="Q581" s="75"/>
      <c r="R581" s="91"/>
    </row>
    <row r="582" ht="15.75" spans="1:18">
      <c r="A582" s="11">
        <v>7</v>
      </c>
      <c r="B582" s="129" t="s">
        <v>1144</v>
      </c>
      <c r="C582" s="191" t="s">
        <v>1135</v>
      </c>
      <c r="D582" s="157">
        <v>50</v>
      </c>
      <c r="E582" s="167">
        <v>80</v>
      </c>
      <c r="F582" s="150">
        <f t="shared" si="24"/>
        <v>4000</v>
      </c>
      <c r="G582" s="156" t="s">
        <v>104</v>
      </c>
      <c r="H582" s="156" t="s">
        <v>729</v>
      </c>
      <c r="I582" s="156" t="s">
        <v>778</v>
      </c>
      <c r="J582" s="77">
        <v>20</v>
      </c>
      <c r="K582" s="138">
        <f t="shared" si="25"/>
        <v>1600</v>
      </c>
      <c r="L582" s="78">
        <v>10</v>
      </c>
      <c r="M582" s="138">
        <f t="shared" si="26"/>
        <v>800</v>
      </c>
      <c r="N582" s="78">
        <v>10</v>
      </c>
      <c r="O582" s="138">
        <f t="shared" si="27"/>
        <v>800</v>
      </c>
      <c r="P582" s="139">
        <v>10</v>
      </c>
      <c r="Q582" s="75">
        <f t="shared" si="28"/>
        <v>800</v>
      </c>
      <c r="R582" s="91"/>
    </row>
    <row r="583" ht="15.75" spans="1:18">
      <c r="A583" s="11">
        <v>8</v>
      </c>
      <c r="B583" s="129" t="s">
        <v>1145</v>
      </c>
      <c r="C583" s="191" t="s">
        <v>1146</v>
      </c>
      <c r="D583" s="157">
        <v>4</v>
      </c>
      <c r="E583" s="167">
        <v>1400</v>
      </c>
      <c r="F583" s="150">
        <f t="shared" si="24"/>
        <v>5600</v>
      </c>
      <c r="G583" s="156" t="s">
        <v>104</v>
      </c>
      <c r="H583" s="156" t="s">
        <v>729</v>
      </c>
      <c r="I583" s="156" t="s">
        <v>778</v>
      </c>
      <c r="J583" s="77">
        <v>1</v>
      </c>
      <c r="K583" s="138">
        <f t="shared" si="25"/>
        <v>1400</v>
      </c>
      <c r="L583" s="78">
        <v>1</v>
      </c>
      <c r="M583" s="138">
        <f t="shared" si="26"/>
        <v>1400</v>
      </c>
      <c r="N583" s="78">
        <v>1</v>
      </c>
      <c r="O583" s="138">
        <f t="shared" si="27"/>
        <v>1400</v>
      </c>
      <c r="P583" s="139">
        <v>1</v>
      </c>
      <c r="Q583" s="75">
        <f t="shared" si="28"/>
        <v>1400</v>
      </c>
      <c r="R583" s="91"/>
    </row>
    <row r="584" ht="15.75" spans="1:18">
      <c r="A584" s="11">
        <v>9</v>
      </c>
      <c r="B584" s="129" t="s">
        <v>409</v>
      </c>
      <c r="C584" s="191" t="s">
        <v>1146</v>
      </c>
      <c r="D584" s="157">
        <v>5</v>
      </c>
      <c r="E584" s="167">
        <v>1900</v>
      </c>
      <c r="F584" s="150">
        <f t="shared" si="24"/>
        <v>9500</v>
      </c>
      <c r="G584" s="156" t="s">
        <v>104</v>
      </c>
      <c r="H584" s="156" t="s">
        <v>729</v>
      </c>
      <c r="I584" s="156" t="s">
        <v>778</v>
      </c>
      <c r="J584" s="77">
        <v>2</v>
      </c>
      <c r="K584" s="138">
        <f t="shared" si="25"/>
        <v>3800</v>
      </c>
      <c r="L584" s="78">
        <v>1</v>
      </c>
      <c r="M584" s="138">
        <f t="shared" si="26"/>
        <v>1900</v>
      </c>
      <c r="N584" s="78">
        <v>1</v>
      </c>
      <c r="O584" s="138">
        <f t="shared" si="27"/>
        <v>1900</v>
      </c>
      <c r="P584" s="139">
        <v>1</v>
      </c>
      <c r="Q584" s="75">
        <f t="shared" si="28"/>
        <v>1900</v>
      </c>
      <c r="R584" s="73"/>
    </row>
    <row r="585" ht="15.75" spans="1:18">
      <c r="A585" s="11">
        <v>10</v>
      </c>
      <c r="B585" s="129" t="s">
        <v>1147</v>
      </c>
      <c r="C585" s="191" t="s">
        <v>1137</v>
      </c>
      <c r="D585" s="157">
        <v>50</v>
      </c>
      <c r="E585" s="167">
        <v>150</v>
      </c>
      <c r="F585" s="150">
        <f t="shared" si="24"/>
        <v>7500</v>
      </c>
      <c r="G585" s="156" t="s">
        <v>104</v>
      </c>
      <c r="H585" s="156" t="s">
        <v>729</v>
      </c>
      <c r="I585" s="156" t="s">
        <v>778</v>
      </c>
      <c r="J585" s="77">
        <v>20</v>
      </c>
      <c r="K585" s="138">
        <f t="shared" si="25"/>
        <v>3000</v>
      </c>
      <c r="L585" s="78">
        <v>10</v>
      </c>
      <c r="M585" s="138">
        <f t="shared" si="26"/>
        <v>1500</v>
      </c>
      <c r="N585" s="78">
        <v>10</v>
      </c>
      <c r="O585" s="138">
        <f t="shared" si="27"/>
        <v>1500</v>
      </c>
      <c r="P585" s="139">
        <v>10</v>
      </c>
      <c r="Q585" s="75">
        <f t="shared" si="28"/>
        <v>1500</v>
      </c>
      <c r="R585" s="91"/>
    </row>
    <row r="586" ht="15.75" spans="1:18">
      <c r="A586" s="11"/>
      <c r="B586" s="12" t="s">
        <v>22</v>
      </c>
      <c r="C586" s="157"/>
      <c r="D586" s="169"/>
      <c r="E586" s="169"/>
      <c r="F586" s="159">
        <f>SUM(F576:F585)</f>
        <v>41720</v>
      </c>
      <c r="G586" s="77"/>
      <c r="H586" s="77"/>
      <c r="I586" s="77"/>
      <c r="J586" s="73"/>
      <c r="K586" s="73"/>
      <c r="L586" s="73"/>
      <c r="M586" s="73"/>
      <c r="N586" s="73"/>
      <c r="O586" s="73"/>
      <c r="P586" s="73"/>
      <c r="Q586" s="73"/>
      <c r="R586" s="73"/>
    </row>
    <row r="587" ht="15.75" spans="1:18">
      <c r="A587" s="11"/>
      <c r="B587" s="11"/>
      <c r="C587" s="175"/>
      <c r="D587" s="158"/>
      <c r="E587" s="169"/>
      <c r="F587" s="77"/>
      <c r="G587" s="77"/>
      <c r="H587" s="14"/>
      <c r="I587" s="14"/>
      <c r="J587" s="77"/>
      <c r="K587" s="77"/>
      <c r="L587" s="77"/>
      <c r="M587" s="77"/>
      <c r="N587" s="77"/>
      <c r="O587" s="77"/>
      <c r="P587" s="77"/>
      <c r="Q587" s="77"/>
      <c r="R587" s="91"/>
    </row>
    <row r="588" ht="15.75" spans="1:18">
      <c r="A588" s="12">
        <v>24</v>
      </c>
      <c r="B588" s="175" t="s">
        <v>411</v>
      </c>
      <c r="C588" s="129"/>
      <c r="D588" s="174"/>
      <c r="E588" s="174"/>
      <c r="F588" s="77"/>
      <c r="G588" s="77"/>
      <c r="H588" s="14"/>
      <c r="I588" s="14"/>
      <c r="J588" s="77"/>
      <c r="K588" s="77"/>
      <c r="L588" s="77"/>
      <c r="M588" s="77"/>
      <c r="N588" s="77"/>
      <c r="O588" s="77"/>
      <c r="P588" s="77"/>
      <c r="Q588" s="77"/>
      <c r="R588" s="91"/>
    </row>
    <row r="589" ht="15.75" spans="1:18">
      <c r="A589" s="11"/>
      <c r="B589" s="175"/>
      <c r="C589" s="129"/>
      <c r="D589" s="174"/>
      <c r="E589" s="174"/>
      <c r="F589" s="77"/>
      <c r="G589" s="77"/>
      <c r="H589" s="14"/>
      <c r="I589" s="14"/>
      <c r="J589" s="77"/>
      <c r="K589" s="77"/>
      <c r="L589" s="77"/>
      <c r="M589" s="77"/>
      <c r="N589" s="77"/>
      <c r="O589" s="77"/>
      <c r="P589" s="77"/>
      <c r="Q589" s="77"/>
      <c r="R589" s="91"/>
    </row>
    <row r="590" ht="15.75" spans="1:18">
      <c r="A590" s="11"/>
      <c r="B590" s="175"/>
      <c r="C590" s="129"/>
      <c r="D590" s="174"/>
      <c r="E590" s="174"/>
      <c r="F590" s="77"/>
      <c r="G590" s="77"/>
      <c r="H590" s="14"/>
      <c r="I590" s="14"/>
      <c r="J590" s="77"/>
      <c r="K590" s="77"/>
      <c r="L590" s="77"/>
      <c r="M590" s="77"/>
      <c r="N590" s="77"/>
      <c r="O590" s="77"/>
      <c r="P590" s="77"/>
      <c r="Q590" s="77"/>
      <c r="R590" s="91"/>
    </row>
    <row r="591" ht="15.75" spans="1:18">
      <c r="A591" s="12">
        <v>25</v>
      </c>
      <c r="B591" s="195" t="s">
        <v>498</v>
      </c>
      <c r="C591" s="191"/>
      <c r="D591" s="195"/>
      <c r="E591" s="196"/>
      <c r="F591" s="150"/>
      <c r="G591" s="156"/>
      <c r="H591" s="156"/>
      <c r="I591" s="156"/>
      <c r="J591" s="200"/>
      <c r="K591" s="138"/>
      <c r="L591" s="201"/>
      <c r="M591" s="138"/>
      <c r="N591" s="201"/>
      <c r="O591" s="138"/>
      <c r="P591" s="201"/>
      <c r="Q591" s="75"/>
      <c r="R591" s="91"/>
    </row>
    <row r="592" ht="15.75" spans="1:18">
      <c r="A592" s="11">
        <v>1</v>
      </c>
      <c r="B592" s="157" t="s">
        <v>499</v>
      </c>
      <c r="C592" s="191" t="s">
        <v>1148</v>
      </c>
      <c r="D592" s="197">
        <v>6</v>
      </c>
      <c r="E592" s="198">
        <v>13000</v>
      </c>
      <c r="F592" s="150">
        <f>D592*E592</f>
        <v>78000</v>
      </c>
      <c r="G592" s="156" t="s">
        <v>104</v>
      </c>
      <c r="H592" s="156" t="s">
        <v>729</v>
      </c>
      <c r="I592" s="156" t="s">
        <v>778</v>
      </c>
      <c r="J592" s="130">
        <v>3</v>
      </c>
      <c r="K592" s="138">
        <f>E592*J592</f>
        <v>39000</v>
      </c>
      <c r="L592" s="78"/>
      <c r="M592" s="138"/>
      <c r="N592" s="131">
        <v>3</v>
      </c>
      <c r="O592" s="138">
        <f>E592*N592</f>
        <v>39000</v>
      </c>
      <c r="P592" s="78"/>
      <c r="Q592" s="75"/>
      <c r="R592" s="91"/>
    </row>
    <row r="593" ht="15.75" spans="1:18">
      <c r="A593" s="11">
        <v>2</v>
      </c>
      <c r="B593" s="157" t="s">
        <v>500</v>
      </c>
      <c r="C593" s="191" t="s">
        <v>1149</v>
      </c>
      <c r="D593" s="197">
        <v>4</v>
      </c>
      <c r="E593" s="198">
        <v>30000</v>
      </c>
      <c r="F593" s="150">
        <f>D593*E593</f>
        <v>120000</v>
      </c>
      <c r="G593" s="156" t="s">
        <v>104</v>
      </c>
      <c r="H593" s="156" t="s">
        <v>729</v>
      </c>
      <c r="I593" s="156" t="s">
        <v>778</v>
      </c>
      <c r="J593" s="130">
        <v>2</v>
      </c>
      <c r="K593" s="138">
        <f>E593*J593</f>
        <v>60000</v>
      </c>
      <c r="L593" s="78"/>
      <c r="M593" s="138"/>
      <c r="N593" s="131">
        <v>2</v>
      </c>
      <c r="O593" s="138">
        <f>E593*N593</f>
        <v>60000</v>
      </c>
      <c r="P593" s="78"/>
      <c r="Q593" s="75"/>
      <c r="R593" s="91"/>
    </row>
    <row r="594" ht="15.75" spans="1:18">
      <c r="A594" s="11">
        <v>3</v>
      </c>
      <c r="B594" s="157" t="s">
        <v>501</v>
      </c>
      <c r="C594" s="191" t="s">
        <v>1148</v>
      </c>
      <c r="D594" s="197">
        <v>4</v>
      </c>
      <c r="E594" s="198">
        <v>35000</v>
      </c>
      <c r="F594" s="150">
        <f>D594*E594</f>
        <v>140000</v>
      </c>
      <c r="G594" s="156" t="s">
        <v>104</v>
      </c>
      <c r="H594" s="156" t="s">
        <v>729</v>
      </c>
      <c r="I594" s="156" t="s">
        <v>778</v>
      </c>
      <c r="J594" s="130">
        <v>2</v>
      </c>
      <c r="K594" s="138">
        <f>E594*J594</f>
        <v>70000</v>
      </c>
      <c r="L594" s="78"/>
      <c r="M594" s="138"/>
      <c r="N594" s="131">
        <v>2</v>
      </c>
      <c r="O594" s="138">
        <f>E594*N594</f>
        <v>70000</v>
      </c>
      <c r="P594" s="78"/>
      <c r="Q594" s="75"/>
      <c r="R594" s="91"/>
    </row>
    <row r="595" ht="15.75" spans="1:18">
      <c r="A595" s="11">
        <v>4</v>
      </c>
      <c r="B595" s="157" t="s">
        <v>502</v>
      </c>
      <c r="C595" s="191" t="s">
        <v>1148</v>
      </c>
      <c r="D595" s="197">
        <v>4</v>
      </c>
      <c r="E595" s="198">
        <v>34000</v>
      </c>
      <c r="F595" s="150">
        <f>D595*E595</f>
        <v>136000</v>
      </c>
      <c r="G595" s="156" t="s">
        <v>104</v>
      </c>
      <c r="H595" s="156" t="s">
        <v>729</v>
      </c>
      <c r="I595" s="156" t="s">
        <v>778</v>
      </c>
      <c r="J595" s="130">
        <v>2</v>
      </c>
      <c r="K595" s="138">
        <f>E595*J595</f>
        <v>68000</v>
      </c>
      <c r="L595" s="78"/>
      <c r="M595" s="138"/>
      <c r="N595" s="131">
        <v>2</v>
      </c>
      <c r="O595" s="138">
        <f>E595*N595</f>
        <v>68000</v>
      </c>
      <c r="P595" s="78"/>
      <c r="Q595" s="75"/>
      <c r="R595" s="91"/>
    </row>
    <row r="596" ht="15.75" spans="1:18">
      <c r="A596" s="11">
        <v>5</v>
      </c>
      <c r="B596" s="157" t="s">
        <v>503</v>
      </c>
      <c r="C596" s="191" t="s">
        <v>902</v>
      </c>
      <c r="D596" s="197">
        <v>4</v>
      </c>
      <c r="E596" s="198">
        <v>24000</v>
      </c>
      <c r="F596" s="150">
        <f>D596*E596</f>
        <v>96000</v>
      </c>
      <c r="G596" s="156" t="s">
        <v>104</v>
      </c>
      <c r="H596" s="156" t="s">
        <v>729</v>
      </c>
      <c r="I596" s="156" t="s">
        <v>778</v>
      </c>
      <c r="J596" s="130">
        <v>2</v>
      </c>
      <c r="K596" s="138">
        <f>E596*J596</f>
        <v>48000</v>
      </c>
      <c r="L596" s="78"/>
      <c r="M596" s="138"/>
      <c r="N596" s="131">
        <v>2</v>
      </c>
      <c r="O596" s="138">
        <f>E596*N596</f>
        <v>48000</v>
      </c>
      <c r="P596" s="78"/>
      <c r="Q596" s="75"/>
      <c r="R596" s="91"/>
    </row>
    <row r="597" ht="15.75" spans="1:18">
      <c r="A597" s="11"/>
      <c r="B597" s="157"/>
      <c r="C597" s="157"/>
      <c r="D597" s="169"/>
      <c r="E597" s="169"/>
      <c r="F597" s="77"/>
      <c r="G597" s="77"/>
      <c r="H597" s="77"/>
      <c r="I597" s="77"/>
      <c r="J597" s="73"/>
      <c r="K597" s="73"/>
      <c r="L597" s="73"/>
      <c r="M597" s="73"/>
      <c r="N597" s="73"/>
      <c r="O597" s="73"/>
      <c r="P597" s="73"/>
      <c r="Q597" s="73"/>
      <c r="R597" s="73"/>
    </row>
    <row r="598" ht="15.75" spans="1:18">
      <c r="A598" s="11"/>
      <c r="B598" s="12" t="s">
        <v>22</v>
      </c>
      <c r="C598" s="175"/>
      <c r="D598" s="158"/>
      <c r="E598" s="169"/>
      <c r="F598" s="159">
        <f>SUM(F592:F597)</f>
        <v>570000</v>
      </c>
      <c r="G598" s="77"/>
      <c r="H598" s="14"/>
      <c r="I598" s="14"/>
      <c r="J598" s="77"/>
      <c r="K598" s="77"/>
      <c r="L598" s="77"/>
      <c r="M598" s="77"/>
      <c r="N598" s="77"/>
      <c r="O598" s="77"/>
      <c r="P598" s="77"/>
      <c r="Q598" s="77"/>
      <c r="R598" s="91"/>
    </row>
    <row r="599" ht="15.75" spans="1:18">
      <c r="A599" s="12">
        <v>26</v>
      </c>
      <c r="B599" s="175" t="s">
        <v>414</v>
      </c>
      <c r="C599" s="129"/>
      <c r="D599" s="174"/>
      <c r="E599" s="174"/>
      <c r="F599" s="77"/>
      <c r="G599" s="77"/>
      <c r="H599" s="14"/>
      <c r="I599" s="14"/>
      <c r="J599" s="73"/>
      <c r="K599" s="73"/>
      <c r="L599" s="73"/>
      <c r="M599" s="73"/>
      <c r="N599" s="73"/>
      <c r="O599" s="73"/>
      <c r="P599" s="73"/>
      <c r="Q599" s="73"/>
      <c r="R599" s="73"/>
    </row>
    <row r="600" ht="15.75" spans="1:18">
      <c r="A600" s="11">
        <v>1</v>
      </c>
      <c r="B600" s="157" t="s">
        <v>1150</v>
      </c>
      <c r="C600" s="191" t="s">
        <v>918</v>
      </c>
      <c r="D600" s="157">
        <v>7</v>
      </c>
      <c r="E600" s="167">
        <v>850</v>
      </c>
      <c r="F600" s="150">
        <f t="shared" ref="F600:F610" si="29">D600*E600</f>
        <v>5950</v>
      </c>
      <c r="G600" s="156" t="s">
        <v>104</v>
      </c>
      <c r="H600" s="156" t="s">
        <v>729</v>
      </c>
      <c r="I600" s="156" t="s">
        <v>778</v>
      </c>
      <c r="J600" s="77">
        <v>2</v>
      </c>
      <c r="K600" s="138">
        <f t="shared" ref="K600:K610" si="30">E600*J600</f>
        <v>1700</v>
      </c>
      <c r="L600" s="78"/>
      <c r="M600" s="138"/>
      <c r="N600" s="78">
        <v>5</v>
      </c>
      <c r="O600" s="138">
        <f t="shared" ref="O600:O610" si="31">E600*N600</f>
        <v>4250</v>
      </c>
      <c r="P600" s="78"/>
      <c r="Q600" s="138"/>
      <c r="R600" s="14"/>
    </row>
    <row r="601" ht="15.75" spans="1:18">
      <c r="A601" s="11">
        <v>2</v>
      </c>
      <c r="B601" s="157" t="s">
        <v>1151</v>
      </c>
      <c r="C601" s="191" t="s">
        <v>1125</v>
      </c>
      <c r="D601" s="157">
        <v>5</v>
      </c>
      <c r="E601" s="167">
        <v>1200</v>
      </c>
      <c r="F601" s="150">
        <f t="shared" si="29"/>
        <v>6000</v>
      </c>
      <c r="G601" s="156" t="s">
        <v>104</v>
      </c>
      <c r="H601" s="156" t="s">
        <v>729</v>
      </c>
      <c r="I601" s="156" t="s">
        <v>778</v>
      </c>
      <c r="J601" s="77">
        <v>3</v>
      </c>
      <c r="K601" s="138">
        <f t="shared" si="30"/>
        <v>3600</v>
      </c>
      <c r="L601" s="78"/>
      <c r="M601" s="138"/>
      <c r="N601" s="78">
        <v>2</v>
      </c>
      <c r="O601" s="138">
        <f t="shared" si="31"/>
        <v>2400</v>
      </c>
      <c r="P601" s="78"/>
      <c r="Q601" s="138"/>
      <c r="R601" s="91"/>
    </row>
    <row r="602" ht="15.75" spans="1:18">
      <c r="A602" s="11">
        <v>3</v>
      </c>
      <c r="B602" s="157" t="s">
        <v>1152</v>
      </c>
      <c r="C602" s="191" t="s">
        <v>1125</v>
      </c>
      <c r="D602" s="157">
        <v>2</v>
      </c>
      <c r="E602" s="167">
        <v>850</v>
      </c>
      <c r="F602" s="150">
        <f t="shared" si="29"/>
        <v>1700</v>
      </c>
      <c r="G602" s="156" t="s">
        <v>104</v>
      </c>
      <c r="H602" s="156" t="s">
        <v>729</v>
      </c>
      <c r="I602" s="156" t="s">
        <v>778</v>
      </c>
      <c r="J602" s="77">
        <v>1</v>
      </c>
      <c r="K602" s="138">
        <f t="shared" si="30"/>
        <v>850</v>
      </c>
      <c r="L602" s="78"/>
      <c r="M602" s="138"/>
      <c r="N602" s="78">
        <v>1</v>
      </c>
      <c r="O602" s="138">
        <f t="shared" si="31"/>
        <v>850</v>
      </c>
      <c r="P602" s="78"/>
      <c r="Q602" s="138"/>
      <c r="R602" s="91"/>
    </row>
    <row r="603" ht="15.75" spans="1:18">
      <c r="A603" s="11">
        <v>4</v>
      </c>
      <c r="B603" s="157" t="s">
        <v>1153</v>
      </c>
      <c r="C603" s="191" t="s">
        <v>1125</v>
      </c>
      <c r="D603" s="157">
        <v>4</v>
      </c>
      <c r="E603" s="167">
        <v>800</v>
      </c>
      <c r="F603" s="150">
        <f t="shared" si="29"/>
        <v>3200</v>
      </c>
      <c r="G603" s="156" t="s">
        <v>104</v>
      </c>
      <c r="H603" s="156" t="s">
        <v>729</v>
      </c>
      <c r="I603" s="156" t="s">
        <v>778</v>
      </c>
      <c r="J603" s="77">
        <v>3</v>
      </c>
      <c r="K603" s="138">
        <f t="shared" si="30"/>
        <v>2400</v>
      </c>
      <c r="L603" s="78"/>
      <c r="M603" s="138"/>
      <c r="N603" s="78">
        <v>1</v>
      </c>
      <c r="O603" s="138">
        <f t="shared" si="31"/>
        <v>800</v>
      </c>
      <c r="P603" s="78"/>
      <c r="Q603" s="138"/>
      <c r="R603" s="91"/>
    </row>
    <row r="604" ht="15.75" spans="1:18">
      <c r="A604" s="11">
        <v>5</v>
      </c>
      <c r="B604" s="157" t="s">
        <v>419</v>
      </c>
      <c r="C604" s="191" t="s">
        <v>904</v>
      </c>
      <c r="D604" s="157">
        <v>3</v>
      </c>
      <c r="E604" s="167">
        <v>1590</v>
      </c>
      <c r="F604" s="150">
        <f t="shared" si="29"/>
        <v>4770</v>
      </c>
      <c r="G604" s="156" t="s">
        <v>104</v>
      </c>
      <c r="H604" s="156" t="s">
        <v>729</v>
      </c>
      <c r="I604" s="156" t="s">
        <v>778</v>
      </c>
      <c r="J604" s="77">
        <v>2</v>
      </c>
      <c r="K604" s="138">
        <f t="shared" si="30"/>
        <v>3180</v>
      </c>
      <c r="L604" s="78"/>
      <c r="M604" s="138"/>
      <c r="N604" s="78">
        <v>1</v>
      </c>
      <c r="O604" s="138">
        <f t="shared" si="31"/>
        <v>1590</v>
      </c>
      <c r="P604" s="78"/>
      <c r="Q604" s="138"/>
      <c r="R604" s="91"/>
    </row>
    <row r="605" ht="15.75" spans="1:18">
      <c r="A605" s="11">
        <v>6</v>
      </c>
      <c r="B605" s="157" t="s">
        <v>1154</v>
      </c>
      <c r="C605" s="191" t="s">
        <v>1125</v>
      </c>
      <c r="D605" s="157">
        <v>3</v>
      </c>
      <c r="E605" s="167">
        <v>700</v>
      </c>
      <c r="F605" s="150">
        <f t="shared" si="29"/>
        <v>2100</v>
      </c>
      <c r="G605" s="156" t="s">
        <v>104</v>
      </c>
      <c r="H605" s="156" t="s">
        <v>729</v>
      </c>
      <c r="I605" s="156" t="s">
        <v>778</v>
      </c>
      <c r="J605" s="77">
        <v>1</v>
      </c>
      <c r="K605" s="138">
        <f t="shared" si="30"/>
        <v>700</v>
      </c>
      <c r="L605" s="78"/>
      <c r="M605" s="138"/>
      <c r="N605" s="78">
        <v>2</v>
      </c>
      <c r="O605" s="138">
        <f t="shared" si="31"/>
        <v>1400</v>
      </c>
      <c r="P605" s="78"/>
      <c r="Q605" s="138"/>
      <c r="R605" s="91"/>
    </row>
    <row r="606" ht="15.75" spans="1:18">
      <c r="A606" s="11">
        <v>7</v>
      </c>
      <c r="B606" s="157" t="s">
        <v>1155</v>
      </c>
      <c r="C606" s="191" t="s">
        <v>1125</v>
      </c>
      <c r="D606" s="157">
        <v>6</v>
      </c>
      <c r="E606" s="167">
        <v>800</v>
      </c>
      <c r="F606" s="150">
        <f t="shared" si="29"/>
        <v>4800</v>
      </c>
      <c r="G606" s="156" t="s">
        <v>104</v>
      </c>
      <c r="H606" s="156" t="s">
        <v>729</v>
      </c>
      <c r="I606" s="156" t="s">
        <v>778</v>
      </c>
      <c r="J606" s="77">
        <v>3</v>
      </c>
      <c r="K606" s="138">
        <f t="shared" si="30"/>
        <v>2400</v>
      </c>
      <c r="L606" s="78"/>
      <c r="M606" s="138"/>
      <c r="N606" s="78">
        <v>3</v>
      </c>
      <c r="O606" s="138">
        <f t="shared" si="31"/>
        <v>2400</v>
      </c>
      <c r="P606" s="78"/>
      <c r="Q606" s="138"/>
      <c r="R606" s="91"/>
    </row>
    <row r="607" ht="15.75" spans="1:18">
      <c r="A607" s="11">
        <v>8</v>
      </c>
      <c r="B607" s="157" t="s">
        <v>1156</v>
      </c>
      <c r="C607" s="191" t="s">
        <v>1125</v>
      </c>
      <c r="D607" s="157">
        <v>4</v>
      </c>
      <c r="E607" s="167">
        <v>500</v>
      </c>
      <c r="F607" s="150">
        <f t="shared" si="29"/>
        <v>2000</v>
      </c>
      <c r="G607" s="156" t="s">
        <v>104</v>
      </c>
      <c r="H607" s="156" t="s">
        <v>729</v>
      </c>
      <c r="I607" s="156" t="s">
        <v>778</v>
      </c>
      <c r="J607" s="77">
        <v>2</v>
      </c>
      <c r="K607" s="138">
        <f t="shared" si="30"/>
        <v>1000</v>
      </c>
      <c r="L607" s="78"/>
      <c r="M607" s="138"/>
      <c r="N607" s="78">
        <v>2</v>
      </c>
      <c r="O607" s="138">
        <f t="shared" si="31"/>
        <v>1000</v>
      </c>
      <c r="P607" s="78"/>
      <c r="Q607" s="138"/>
      <c r="R607" s="73"/>
    </row>
    <row r="608" ht="15.75" spans="1:18">
      <c r="A608" s="11">
        <v>9</v>
      </c>
      <c r="B608" s="157" t="s">
        <v>1157</v>
      </c>
      <c r="C608" s="191" t="s">
        <v>1158</v>
      </c>
      <c r="D608" s="157">
        <v>20</v>
      </c>
      <c r="E608" s="167">
        <v>280</v>
      </c>
      <c r="F608" s="150">
        <f t="shared" si="29"/>
        <v>5600</v>
      </c>
      <c r="G608" s="156" t="s">
        <v>104</v>
      </c>
      <c r="H608" s="156" t="s">
        <v>729</v>
      </c>
      <c r="I608" s="156" t="s">
        <v>778</v>
      </c>
      <c r="J608" s="77">
        <v>10</v>
      </c>
      <c r="K608" s="138">
        <f t="shared" si="30"/>
        <v>2800</v>
      </c>
      <c r="L608" s="78"/>
      <c r="M608" s="138"/>
      <c r="N608" s="78">
        <v>10</v>
      </c>
      <c r="O608" s="138">
        <f t="shared" si="31"/>
        <v>2800</v>
      </c>
      <c r="P608" s="78"/>
      <c r="Q608" s="138"/>
      <c r="R608" s="91"/>
    </row>
    <row r="609" ht="15.75" spans="1:18">
      <c r="A609" s="11">
        <v>10</v>
      </c>
      <c r="B609" s="157" t="s">
        <v>424</v>
      </c>
      <c r="C609" s="191" t="s">
        <v>1146</v>
      </c>
      <c r="D609" s="157">
        <v>6</v>
      </c>
      <c r="E609" s="167">
        <v>210</v>
      </c>
      <c r="F609" s="150">
        <f t="shared" si="29"/>
        <v>1260</v>
      </c>
      <c r="G609" s="156" t="s">
        <v>104</v>
      </c>
      <c r="H609" s="156" t="s">
        <v>729</v>
      </c>
      <c r="I609" s="156" t="s">
        <v>778</v>
      </c>
      <c r="J609" s="77">
        <v>3</v>
      </c>
      <c r="K609" s="138">
        <f t="shared" si="30"/>
        <v>630</v>
      </c>
      <c r="L609" s="78"/>
      <c r="M609" s="138"/>
      <c r="N609" s="78">
        <v>3</v>
      </c>
      <c r="O609" s="138">
        <f t="shared" si="31"/>
        <v>630</v>
      </c>
      <c r="P609" s="78"/>
      <c r="Q609" s="138"/>
      <c r="R609" s="91"/>
    </row>
    <row r="610" ht="15.75" spans="1:18">
      <c r="A610" s="11">
        <v>11</v>
      </c>
      <c r="B610" s="157" t="s">
        <v>1159</v>
      </c>
      <c r="C610" s="191" t="s">
        <v>1160</v>
      </c>
      <c r="D610" s="157">
        <v>10</v>
      </c>
      <c r="E610" s="167">
        <v>250</v>
      </c>
      <c r="F610" s="150">
        <f t="shared" si="29"/>
        <v>2500</v>
      </c>
      <c r="G610" s="156" t="s">
        <v>104</v>
      </c>
      <c r="H610" s="156" t="s">
        <v>729</v>
      </c>
      <c r="I610" s="156" t="s">
        <v>778</v>
      </c>
      <c r="J610" s="77">
        <v>5</v>
      </c>
      <c r="K610" s="138">
        <f t="shared" si="30"/>
        <v>1250</v>
      </c>
      <c r="L610" s="78"/>
      <c r="M610" s="138"/>
      <c r="N610" s="78">
        <v>5</v>
      </c>
      <c r="O610" s="138">
        <f t="shared" si="31"/>
        <v>1250</v>
      </c>
      <c r="P610" s="78"/>
      <c r="Q610" s="138"/>
      <c r="R610" s="73"/>
    </row>
    <row r="611" ht="15.75" spans="1:18">
      <c r="A611" s="11"/>
      <c r="B611" s="199"/>
      <c r="C611" s="157"/>
      <c r="D611" s="169"/>
      <c r="E611" s="169"/>
      <c r="F611" s="77"/>
      <c r="G611" s="77"/>
      <c r="H611" s="77"/>
      <c r="I611" s="77"/>
      <c r="J611" s="77"/>
      <c r="K611" s="77"/>
      <c r="L611" s="77"/>
      <c r="M611" s="77"/>
      <c r="N611" s="77"/>
      <c r="O611" s="77"/>
      <c r="P611" s="77"/>
      <c r="Q611" s="77"/>
      <c r="R611" s="91"/>
    </row>
    <row r="612" ht="15.75" spans="1:18">
      <c r="A612" s="11"/>
      <c r="B612" s="12" t="s">
        <v>22</v>
      </c>
      <c r="C612" s="129"/>
      <c r="D612" s="174"/>
      <c r="E612" s="174"/>
      <c r="F612" s="159">
        <f>SUM(F600:F611)</f>
        <v>39880</v>
      </c>
      <c r="G612" s="77"/>
      <c r="H612" s="14"/>
      <c r="I612" s="14"/>
      <c r="J612" s="73"/>
      <c r="K612" s="73"/>
      <c r="L612" s="73"/>
      <c r="M612" s="73"/>
      <c r="N612" s="73"/>
      <c r="O612" s="73"/>
      <c r="P612" s="73"/>
      <c r="Q612" s="73"/>
      <c r="R612" s="73"/>
    </row>
    <row r="613" ht="15.75" spans="1:18">
      <c r="A613" s="11"/>
      <c r="B613" s="11"/>
      <c r="C613" s="175"/>
      <c r="D613" s="158"/>
      <c r="E613" s="169"/>
      <c r="F613" s="77"/>
      <c r="G613" s="77"/>
      <c r="H613" s="14"/>
      <c r="I613" s="14"/>
      <c r="J613" s="77"/>
      <c r="K613" s="77"/>
      <c r="L613" s="77"/>
      <c r="M613" s="77"/>
      <c r="N613" s="91"/>
      <c r="O613" s="91"/>
      <c r="P613" s="91"/>
      <c r="Q613" s="91"/>
      <c r="R613" s="14"/>
    </row>
    <row r="614" ht="15.75" spans="1:18">
      <c r="A614" s="12">
        <v>27</v>
      </c>
      <c r="B614" s="175" t="s">
        <v>426</v>
      </c>
      <c r="C614" s="129"/>
      <c r="D614" s="174"/>
      <c r="E614" s="174"/>
      <c r="F614" s="77"/>
      <c r="G614" s="77"/>
      <c r="H614" s="14"/>
      <c r="I614" s="14"/>
      <c r="J614" s="77"/>
      <c r="K614" s="77"/>
      <c r="L614" s="77"/>
      <c r="M614" s="77"/>
      <c r="N614" s="77"/>
      <c r="O614" s="77"/>
      <c r="P614" s="77"/>
      <c r="Q614" s="77"/>
      <c r="R614" s="91"/>
    </row>
    <row r="615" ht="15.75" spans="1:18">
      <c r="A615" s="11">
        <v>1</v>
      </c>
      <c r="B615" s="157" t="s">
        <v>1161</v>
      </c>
      <c r="C615" s="191" t="s">
        <v>1125</v>
      </c>
      <c r="D615" s="157">
        <v>6</v>
      </c>
      <c r="E615" s="167">
        <v>4500</v>
      </c>
      <c r="F615" s="150">
        <f>D615*E615</f>
        <v>27000</v>
      </c>
      <c r="G615" s="156" t="s">
        <v>104</v>
      </c>
      <c r="H615" s="156" t="s">
        <v>729</v>
      </c>
      <c r="I615" s="156" t="s">
        <v>778</v>
      </c>
      <c r="J615" s="77">
        <v>3</v>
      </c>
      <c r="K615" s="138">
        <f>E615*J615</f>
        <v>13500</v>
      </c>
      <c r="L615" s="78"/>
      <c r="M615" s="138"/>
      <c r="N615" s="78">
        <v>3</v>
      </c>
      <c r="O615" s="138">
        <f>E615*N615</f>
        <v>13500</v>
      </c>
      <c r="P615" s="78"/>
      <c r="Q615" s="138"/>
      <c r="R615" s="73"/>
    </row>
    <row r="616" ht="15.75" spans="1:18">
      <c r="A616" s="11">
        <v>2</v>
      </c>
      <c r="B616" s="157" t="s">
        <v>1162</v>
      </c>
      <c r="C616" s="191" t="s">
        <v>1148</v>
      </c>
      <c r="D616" s="157">
        <v>8</v>
      </c>
      <c r="E616" s="167">
        <v>4800</v>
      </c>
      <c r="F616" s="150">
        <f>D616*E616</f>
        <v>38400</v>
      </c>
      <c r="G616" s="156" t="s">
        <v>104</v>
      </c>
      <c r="H616" s="156" t="s">
        <v>729</v>
      </c>
      <c r="I616" s="156" t="s">
        <v>778</v>
      </c>
      <c r="J616" s="77">
        <v>4</v>
      </c>
      <c r="K616" s="138">
        <f>E616*J616</f>
        <v>19200</v>
      </c>
      <c r="L616" s="78"/>
      <c r="M616" s="138"/>
      <c r="N616" s="78">
        <v>4</v>
      </c>
      <c r="O616" s="138">
        <f>E616*N616</f>
        <v>19200</v>
      </c>
      <c r="P616" s="78"/>
      <c r="Q616" s="138"/>
      <c r="R616" s="91"/>
    </row>
    <row r="617" ht="15.75" spans="1:18">
      <c r="A617" s="11">
        <v>3</v>
      </c>
      <c r="B617" s="157" t="s">
        <v>1163</v>
      </c>
      <c r="C617" s="191" t="s">
        <v>1125</v>
      </c>
      <c r="D617" s="157">
        <v>80</v>
      </c>
      <c r="E617" s="167">
        <v>450</v>
      </c>
      <c r="F617" s="150">
        <f>D617*E617</f>
        <v>36000</v>
      </c>
      <c r="G617" s="156" t="s">
        <v>104</v>
      </c>
      <c r="H617" s="156" t="s">
        <v>729</v>
      </c>
      <c r="I617" s="156" t="s">
        <v>778</v>
      </c>
      <c r="J617" s="77">
        <v>40</v>
      </c>
      <c r="K617" s="138">
        <f>E617*J617</f>
        <v>18000</v>
      </c>
      <c r="L617" s="78"/>
      <c r="M617" s="138"/>
      <c r="N617" s="78">
        <v>40</v>
      </c>
      <c r="O617" s="138">
        <f>E617*N617</f>
        <v>18000</v>
      </c>
      <c r="P617" s="78"/>
      <c r="Q617" s="138"/>
      <c r="R617" s="91"/>
    </row>
    <row r="618" ht="15.75" spans="1:18">
      <c r="A618" s="11"/>
      <c r="B618" s="199"/>
      <c r="C618" s="157"/>
      <c r="D618" s="169"/>
      <c r="E618" s="169"/>
      <c r="F618" s="77"/>
      <c r="G618" s="77"/>
      <c r="H618" s="77"/>
      <c r="I618" s="77"/>
      <c r="J618" s="73"/>
      <c r="K618" s="73"/>
      <c r="L618" s="73"/>
      <c r="M618" s="73"/>
      <c r="N618" s="73"/>
      <c r="O618" s="73"/>
      <c r="P618" s="73"/>
      <c r="Q618" s="73"/>
      <c r="R618" s="73"/>
    </row>
    <row r="619" ht="15.75" spans="1:18">
      <c r="A619" s="11"/>
      <c r="B619" s="175" t="s">
        <v>22</v>
      </c>
      <c r="C619" s="175"/>
      <c r="D619" s="158"/>
      <c r="E619" s="169"/>
      <c r="F619" s="159">
        <f>SUM(F615:F618)</f>
        <v>101400</v>
      </c>
      <c r="G619" s="77"/>
      <c r="H619" s="77"/>
      <c r="I619" s="77"/>
      <c r="J619" s="77"/>
      <c r="K619" s="77"/>
      <c r="L619" s="77"/>
      <c r="M619" s="77"/>
      <c r="N619" s="77"/>
      <c r="O619" s="77"/>
      <c r="P619" s="77"/>
      <c r="Q619" s="77"/>
      <c r="R619" s="91"/>
    </row>
    <row r="620" ht="15.75" spans="1:18">
      <c r="A620" s="12">
        <v>28</v>
      </c>
      <c r="B620" s="175" t="s">
        <v>431</v>
      </c>
      <c r="C620" s="157"/>
      <c r="D620" s="169"/>
      <c r="E620" s="169"/>
      <c r="F620" s="77"/>
      <c r="G620" s="77"/>
      <c r="H620" s="77"/>
      <c r="I620" s="77"/>
      <c r="J620" s="73"/>
      <c r="K620" s="73"/>
      <c r="L620" s="73"/>
      <c r="M620" s="73"/>
      <c r="N620" s="73"/>
      <c r="O620" s="73"/>
      <c r="P620" s="73"/>
      <c r="Q620" s="73"/>
      <c r="R620" s="73"/>
    </row>
    <row r="621" ht="15.75" spans="1:18">
      <c r="A621" s="11">
        <v>1</v>
      </c>
      <c r="B621" s="157" t="s">
        <v>1164</v>
      </c>
      <c r="C621" s="191" t="s">
        <v>914</v>
      </c>
      <c r="D621" s="157">
        <v>2</v>
      </c>
      <c r="E621" s="167">
        <v>2400</v>
      </c>
      <c r="F621" s="159">
        <f>D621*E621</f>
        <v>4800</v>
      </c>
      <c r="G621" s="156" t="s">
        <v>104</v>
      </c>
      <c r="H621" s="156" t="s">
        <v>729</v>
      </c>
      <c r="I621" s="156" t="s">
        <v>778</v>
      </c>
      <c r="J621" s="77">
        <v>1</v>
      </c>
      <c r="K621" s="138">
        <f>E621*J621</f>
        <v>2400</v>
      </c>
      <c r="L621" s="78"/>
      <c r="M621" s="138"/>
      <c r="N621" s="78">
        <v>1</v>
      </c>
      <c r="O621" s="138">
        <f>E621*N621</f>
        <v>2400</v>
      </c>
      <c r="P621" s="78"/>
      <c r="Q621" s="138"/>
      <c r="R621" s="14"/>
    </row>
    <row r="622" ht="15.75" spans="1:18">
      <c r="A622" s="11">
        <v>2</v>
      </c>
      <c r="B622" s="157" t="s">
        <v>1165</v>
      </c>
      <c r="C622" s="191" t="s">
        <v>972</v>
      </c>
      <c r="D622" s="157">
        <v>2</v>
      </c>
      <c r="E622" s="167">
        <v>5000</v>
      </c>
      <c r="F622" s="159">
        <f>D622*E622</f>
        <v>10000</v>
      </c>
      <c r="G622" s="156" t="s">
        <v>104</v>
      </c>
      <c r="H622" s="156" t="s">
        <v>729</v>
      </c>
      <c r="I622" s="156" t="s">
        <v>778</v>
      </c>
      <c r="J622" s="77">
        <v>1</v>
      </c>
      <c r="K622" s="138">
        <f>E622*J622</f>
        <v>5000</v>
      </c>
      <c r="L622" s="78"/>
      <c r="M622" s="138"/>
      <c r="N622" s="78">
        <v>1</v>
      </c>
      <c r="O622" s="138">
        <f>E622*N622</f>
        <v>5000</v>
      </c>
      <c r="P622" s="78"/>
      <c r="Q622" s="138"/>
      <c r="R622" s="14"/>
    </row>
    <row r="623" ht="15.75" spans="1:18">
      <c r="A623" s="11">
        <v>3</v>
      </c>
      <c r="B623" s="157" t="s">
        <v>1166</v>
      </c>
      <c r="C623" s="191" t="s">
        <v>972</v>
      </c>
      <c r="D623" s="157">
        <v>2</v>
      </c>
      <c r="E623" s="167">
        <v>6500</v>
      </c>
      <c r="F623" s="159">
        <f>D623*E623</f>
        <v>13000</v>
      </c>
      <c r="G623" s="156" t="s">
        <v>104</v>
      </c>
      <c r="H623" s="156" t="s">
        <v>729</v>
      </c>
      <c r="I623" s="156" t="s">
        <v>778</v>
      </c>
      <c r="J623" s="77">
        <v>1</v>
      </c>
      <c r="K623" s="138">
        <f>E623*J623</f>
        <v>6500</v>
      </c>
      <c r="L623" s="78"/>
      <c r="M623" s="138"/>
      <c r="N623" s="78">
        <v>1</v>
      </c>
      <c r="O623" s="138">
        <f>E623*N623</f>
        <v>6500</v>
      </c>
      <c r="P623" s="78"/>
      <c r="Q623" s="138"/>
      <c r="R623" s="14"/>
    </row>
    <row r="624" ht="15.75" spans="1:18">
      <c r="A624" s="11"/>
      <c r="B624" s="157"/>
      <c r="C624" s="157"/>
      <c r="D624" s="169"/>
      <c r="E624" s="169"/>
      <c r="F624" s="147"/>
      <c r="G624" s="77"/>
      <c r="H624" s="77"/>
      <c r="I624" s="77"/>
      <c r="J624" s="77"/>
      <c r="K624" s="77"/>
      <c r="L624" s="77"/>
      <c r="M624" s="77"/>
      <c r="N624" s="91"/>
      <c r="O624" s="91"/>
      <c r="P624" s="91"/>
      <c r="Q624" s="91"/>
      <c r="R624" s="14"/>
    </row>
    <row r="625" ht="15.75" spans="1:18">
      <c r="A625" s="11"/>
      <c r="B625" s="175" t="s">
        <v>22</v>
      </c>
      <c r="C625" s="157"/>
      <c r="D625" s="169"/>
      <c r="E625" s="169"/>
      <c r="F625" s="159">
        <f>SUM(F621:F624)</f>
        <v>27800</v>
      </c>
      <c r="G625" s="77"/>
      <c r="H625" s="77"/>
      <c r="I625" s="77"/>
      <c r="J625" s="77"/>
      <c r="K625" s="77"/>
      <c r="L625" s="77"/>
      <c r="M625" s="77"/>
      <c r="N625" s="77"/>
      <c r="O625" s="77"/>
      <c r="P625" s="77"/>
      <c r="Q625" s="77"/>
      <c r="R625" s="91"/>
    </row>
    <row r="626" ht="15.75" spans="1:18">
      <c r="A626" s="11"/>
      <c r="B626" s="157"/>
      <c r="C626" s="175"/>
      <c r="D626" s="158"/>
      <c r="E626" s="169"/>
      <c r="F626" s="77"/>
      <c r="G626" s="77"/>
      <c r="H626" s="77"/>
      <c r="I626" s="77"/>
      <c r="J626" s="73"/>
      <c r="K626" s="73"/>
      <c r="L626" s="73"/>
      <c r="M626" s="73"/>
      <c r="N626" s="73"/>
      <c r="O626" s="73"/>
      <c r="P626" s="73"/>
      <c r="Q626" s="73"/>
      <c r="R626" s="73"/>
    </row>
    <row r="627" ht="15.75" spans="1:18">
      <c r="A627" s="12">
        <v>29</v>
      </c>
      <c r="B627" s="175" t="s">
        <v>435</v>
      </c>
      <c r="C627" s="157"/>
      <c r="D627" s="169"/>
      <c r="E627" s="169"/>
      <c r="F627" s="77"/>
      <c r="G627" s="77"/>
      <c r="H627" s="77"/>
      <c r="I627" s="77"/>
      <c r="J627" s="77"/>
      <c r="K627" s="77"/>
      <c r="L627" s="77"/>
      <c r="M627" s="77"/>
      <c r="N627" s="77"/>
      <c r="O627" s="77"/>
      <c r="P627" s="77"/>
      <c r="Q627" s="77"/>
      <c r="R627" s="91"/>
    </row>
    <row r="628" ht="15.75" spans="1:18">
      <c r="A628" s="11">
        <v>1</v>
      </c>
      <c r="B628" s="157" t="s">
        <v>1167</v>
      </c>
      <c r="C628" s="191" t="s">
        <v>1168</v>
      </c>
      <c r="D628" s="157">
        <v>20</v>
      </c>
      <c r="E628" s="167">
        <v>650</v>
      </c>
      <c r="F628" s="150">
        <f t="shared" ref="F628:F637" si="32">D628*E628</f>
        <v>13000</v>
      </c>
      <c r="G628" s="156" t="s">
        <v>104</v>
      </c>
      <c r="H628" s="156" t="s">
        <v>729</v>
      </c>
      <c r="I628" s="156" t="s">
        <v>778</v>
      </c>
      <c r="J628" s="77">
        <v>10</v>
      </c>
      <c r="K628" s="138">
        <f t="shared" ref="K628:K637" si="33">E628*J628</f>
        <v>6500</v>
      </c>
      <c r="L628" s="78"/>
      <c r="M628" s="138"/>
      <c r="N628" s="78">
        <v>10</v>
      </c>
      <c r="O628" s="138">
        <f t="shared" ref="O628:O637" si="34">E628*N628</f>
        <v>6500</v>
      </c>
      <c r="P628" s="78"/>
      <c r="Q628" s="138"/>
      <c r="R628" s="91"/>
    </row>
    <row r="629" ht="15.75" spans="1:18">
      <c r="A629" s="11">
        <v>2</v>
      </c>
      <c r="B629" s="157" t="s">
        <v>1169</v>
      </c>
      <c r="C629" s="191" t="s">
        <v>1170</v>
      </c>
      <c r="D629" s="157">
        <v>40</v>
      </c>
      <c r="E629" s="167">
        <v>780</v>
      </c>
      <c r="F629" s="150">
        <f t="shared" si="32"/>
        <v>31200</v>
      </c>
      <c r="G629" s="156" t="s">
        <v>104</v>
      </c>
      <c r="H629" s="156" t="s">
        <v>729</v>
      </c>
      <c r="I629" s="156" t="s">
        <v>778</v>
      </c>
      <c r="J629" s="77">
        <v>20</v>
      </c>
      <c r="K629" s="138">
        <f t="shared" si="33"/>
        <v>15600</v>
      </c>
      <c r="L629" s="78"/>
      <c r="M629" s="138"/>
      <c r="N629" s="78">
        <v>20</v>
      </c>
      <c r="O629" s="138">
        <f t="shared" si="34"/>
        <v>15600</v>
      </c>
      <c r="P629" s="78"/>
      <c r="Q629" s="138"/>
      <c r="R629" s="73"/>
    </row>
    <row r="630" ht="15.75" spans="1:18">
      <c r="A630" s="11">
        <v>3</v>
      </c>
      <c r="B630" s="157" t="s">
        <v>1171</v>
      </c>
      <c r="C630" s="191" t="s">
        <v>972</v>
      </c>
      <c r="D630" s="157">
        <v>200</v>
      </c>
      <c r="E630" s="167">
        <v>450</v>
      </c>
      <c r="F630" s="150">
        <f t="shared" si="32"/>
        <v>90000</v>
      </c>
      <c r="G630" s="156" t="s">
        <v>104</v>
      </c>
      <c r="H630" s="156" t="s">
        <v>729</v>
      </c>
      <c r="I630" s="156" t="s">
        <v>778</v>
      </c>
      <c r="J630" s="77">
        <v>100</v>
      </c>
      <c r="K630" s="138">
        <f t="shared" si="33"/>
        <v>45000</v>
      </c>
      <c r="L630" s="78"/>
      <c r="M630" s="138"/>
      <c r="N630" s="78">
        <v>100</v>
      </c>
      <c r="O630" s="138">
        <f t="shared" si="34"/>
        <v>45000</v>
      </c>
      <c r="P630" s="78"/>
      <c r="Q630" s="138"/>
      <c r="R630" s="73"/>
    </row>
    <row r="631" ht="15.75" spans="1:18">
      <c r="A631" s="11">
        <v>4</v>
      </c>
      <c r="B631" s="157" t="s">
        <v>1172</v>
      </c>
      <c r="C631" s="191" t="s">
        <v>967</v>
      </c>
      <c r="D631" s="157">
        <v>10</v>
      </c>
      <c r="E631" s="167">
        <v>1200</v>
      </c>
      <c r="F631" s="150">
        <f t="shared" si="32"/>
        <v>12000</v>
      </c>
      <c r="G631" s="156" t="s">
        <v>104</v>
      </c>
      <c r="H631" s="156" t="s">
        <v>729</v>
      </c>
      <c r="I631" s="156" t="s">
        <v>778</v>
      </c>
      <c r="J631" s="77">
        <v>5</v>
      </c>
      <c r="K631" s="138">
        <f t="shared" si="33"/>
        <v>6000</v>
      </c>
      <c r="L631" s="78"/>
      <c r="M631" s="138"/>
      <c r="N631" s="78">
        <v>5</v>
      </c>
      <c r="O631" s="138">
        <f t="shared" si="34"/>
        <v>6000</v>
      </c>
      <c r="P631" s="78"/>
      <c r="Q631" s="138"/>
      <c r="R631" s="73"/>
    </row>
    <row r="632" ht="15.75" spans="1:18">
      <c r="A632" s="11">
        <v>5</v>
      </c>
      <c r="B632" s="157" t="s">
        <v>1173</v>
      </c>
      <c r="C632" s="191" t="s">
        <v>919</v>
      </c>
      <c r="D632" s="157">
        <v>10</v>
      </c>
      <c r="E632" s="167">
        <v>250</v>
      </c>
      <c r="F632" s="150">
        <f t="shared" si="32"/>
        <v>2500</v>
      </c>
      <c r="G632" s="156" t="s">
        <v>104</v>
      </c>
      <c r="H632" s="156" t="s">
        <v>729</v>
      </c>
      <c r="I632" s="156" t="s">
        <v>778</v>
      </c>
      <c r="J632" s="77">
        <v>5</v>
      </c>
      <c r="K632" s="138">
        <f t="shared" si="33"/>
        <v>1250</v>
      </c>
      <c r="L632" s="78"/>
      <c r="M632" s="138"/>
      <c r="N632" s="78">
        <v>5</v>
      </c>
      <c r="O632" s="138">
        <f t="shared" si="34"/>
        <v>1250</v>
      </c>
      <c r="P632" s="78"/>
      <c r="Q632" s="138"/>
      <c r="R632" s="73"/>
    </row>
    <row r="633" ht="15.75" spans="1:18">
      <c r="A633" s="11">
        <v>6</v>
      </c>
      <c r="B633" s="157" t="s">
        <v>441</v>
      </c>
      <c r="C633" s="191" t="s">
        <v>919</v>
      </c>
      <c r="D633" s="157">
        <v>4</v>
      </c>
      <c r="E633" s="167">
        <v>1800</v>
      </c>
      <c r="F633" s="150">
        <f t="shared" si="32"/>
        <v>7200</v>
      </c>
      <c r="G633" s="156" t="s">
        <v>104</v>
      </c>
      <c r="H633" s="156" t="s">
        <v>729</v>
      </c>
      <c r="I633" s="156" t="s">
        <v>778</v>
      </c>
      <c r="J633" s="77">
        <v>2</v>
      </c>
      <c r="K633" s="138">
        <f t="shared" si="33"/>
        <v>3600</v>
      </c>
      <c r="L633" s="78"/>
      <c r="M633" s="138"/>
      <c r="N633" s="78">
        <v>2</v>
      </c>
      <c r="O633" s="138">
        <f t="shared" si="34"/>
        <v>3600</v>
      </c>
      <c r="P633" s="78"/>
      <c r="Q633" s="138"/>
      <c r="R633" s="73"/>
    </row>
    <row r="634" ht="15.75" spans="1:18">
      <c r="A634" s="11">
        <v>7</v>
      </c>
      <c r="B634" s="157" t="s">
        <v>442</v>
      </c>
      <c r="C634" s="191" t="s">
        <v>919</v>
      </c>
      <c r="D634" s="157">
        <v>8</v>
      </c>
      <c r="E634" s="167">
        <v>1120</v>
      </c>
      <c r="F634" s="150">
        <f t="shared" si="32"/>
        <v>8960</v>
      </c>
      <c r="G634" s="156" t="s">
        <v>104</v>
      </c>
      <c r="H634" s="156" t="s">
        <v>729</v>
      </c>
      <c r="I634" s="156" t="s">
        <v>778</v>
      </c>
      <c r="J634" s="77">
        <v>4</v>
      </c>
      <c r="K634" s="138">
        <f t="shared" si="33"/>
        <v>4480</v>
      </c>
      <c r="L634" s="78"/>
      <c r="M634" s="138"/>
      <c r="N634" s="78">
        <v>4</v>
      </c>
      <c r="O634" s="138">
        <f t="shared" si="34"/>
        <v>4480</v>
      </c>
      <c r="P634" s="78"/>
      <c r="Q634" s="138"/>
      <c r="R634" s="73"/>
    </row>
    <row r="635" ht="15.75" spans="1:18">
      <c r="A635" s="11">
        <v>8</v>
      </c>
      <c r="B635" s="157" t="s">
        <v>1174</v>
      </c>
      <c r="C635" s="191" t="s">
        <v>919</v>
      </c>
      <c r="D635" s="157">
        <v>25</v>
      </c>
      <c r="E635" s="167">
        <v>160</v>
      </c>
      <c r="F635" s="150">
        <f t="shared" si="32"/>
        <v>4000</v>
      </c>
      <c r="G635" s="156" t="s">
        <v>104</v>
      </c>
      <c r="H635" s="156" t="s">
        <v>729</v>
      </c>
      <c r="I635" s="156" t="s">
        <v>778</v>
      </c>
      <c r="J635" s="77">
        <v>10</v>
      </c>
      <c r="K635" s="138">
        <f t="shared" si="33"/>
        <v>1600</v>
      </c>
      <c r="L635" s="78">
        <v>5</v>
      </c>
      <c r="M635" s="138">
        <f>E635*L635</f>
        <v>800</v>
      </c>
      <c r="N635" s="78">
        <v>5</v>
      </c>
      <c r="O635" s="138">
        <f t="shared" si="34"/>
        <v>800</v>
      </c>
      <c r="P635" s="78">
        <v>5</v>
      </c>
      <c r="Q635" s="138">
        <f>E635*P635</f>
        <v>800</v>
      </c>
      <c r="R635" s="91"/>
    </row>
    <row r="636" ht="15.75" spans="1:18">
      <c r="A636" s="11">
        <v>9</v>
      </c>
      <c r="B636" s="157" t="s">
        <v>1175</v>
      </c>
      <c r="C636" s="191" t="s">
        <v>919</v>
      </c>
      <c r="D636" s="157">
        <v>13</v>
      </c>
      <c r="E636" s="167">
        <v>1300</v>
      </c>
      <c r="F636" s="150">
        <f t="shared" si="32"/>
        <v>16900</v>
      </c>
      <c r="G636" s="156" t="s">
        <v>104</v>
      </c>
      <c r="H636" s="156" t="s">
        <v>729</v>
      </c>
      <c r="I636" s="156" t="s">
        <v>778</v>
      </c>
      <c r="J636" s="77">
        <v>5</v>
      </c>
      <c r="K636" s="138">
        <f t="shared" si="33"/>
        <v>6500</v>
      </c>
      <c r="L636" s="78">
        <v>3</v>
      </c>
      <c r="M636" s="138">
        <f>E636*L636</f>
        <v>3900</v>
      </c>
      <c r="N636" s="78">
        <v>3</v>
      </c>
      <c r="O636" s="138">
        <f t="shared" si="34"/>
        <v>3900</v>
      </c>
      <c r="P636" s="78">
        <v>2</v>
      </c>
      <c r="Q636" s="138">
        <f>E636*P636</f>
        <v>2600</v>
      </c>
      <c r="R636" s="91"/>
    </row>
    <row r="637" ht="15.75" spans="1:18">
      <c r="A637" s="11">
        <v>10</v>
      </c>
      <c r="B637" s="157" t="s">
        <v>1176</v>
      </c>
      <c r="C637" s="191" t="s">
        <v>1177</v>
      </c>
      <c r="D637" s="157">
        <v>4</v>
      </c>
      <c r="E637" s="167">
        <v>880</v>
      </c>
      <c r="F637" s="150">
        <f t="shared" si="32"/>
        <v>3520</v>
      </c>
      <c r="G637" s="156" t="s">
        <v>104</v>
      </c>
      <c r="H637" s="156" t="s">
        <v>729</v>
      </c>
      <c r="I637" s="156" t="s">
        <v>778</v>
      </c>
      <c r="J637" s="77">
        <v>2</v>
      </c>
      <c r="K637" s="138">
        <f t="shared" si="33"/>
        <v>1760</v>
      </c>
      <c r="L637" s="78"/>
      <c r="M637" s="138"/>
      <c r="N637" s="78">
        <v>2</v>
      </c>
      <c r="O637" s="138">
        <f t="shared" si="34"/>
        <v>1760</v>
      </c>
      <c r="P637" s="78"/>
      <c r="Q637" s="138"/>
      <c r="R637" s="73"/>
    </row>
    <row r="638" ht="15.75" spans="1:18">
      <c r="A638" s="11"/>
      <c r="B638" s="157"/>
      <c r="C638" s="157"/>
      <c r="D638" s="169"/>
      <c r="E638" s="169"/>
      <c r="F638" s="77"/>
      <c r="G638" s="77"/>
      <c r="H638" s="77"/>
      <c r="I638" s="77"/>
      <c r="J638" s="77"/>
      <c r="K638" s="77"/>
      <c r="L638" s="77"/>
      <c r="M638" s="77"/>
      <c r="N638" s="91"/>
      <c r="O638" s="91"/>
      <c r="P638" s="91"/>
      <c r="Q638" s="91"/>
      <c r="R638" s="91"/>
    </row>
    <row r="639" ht="15.75" spans="1:18">
      <c r="A639" s="11"/>
      <c r="B639" s="175" t="s">
        <v>22</v>
      </c>
      <c r="C639" s="157"/>
      <c r="D639" s="169"/>
      <c r="E639" s="169"/>
      <c r="F639" s="159">
        <f>SUM(F628:F638)</f>
        <v>189280</v>
      </c>
      <c r="G639" s="77"/>
      <c r="H639" s="73"/>
      <c r="I639" s="77"/>
      <c r="J639" s="77"/>
      <c r="K639" s="77"/>
      <c r="L639" s="77"/>
      <c r="M639" s="77"/>
      <c r="N639" s="77"/>
      <c r="O639" s="77"/>
      <c r="P639" s="77"/>
      <c r="Q639" s="77"/>
      <c r="R639" s="91"/>
    </row>
    <row r="640" ht="15.75" spans="1:18">
      <c r="A640" s="12">
        <v>30</v>
      </c>
      <c r="B640" s="175" t="s">
        <v>444</v>
      </c>
      <c r="C640" s="129"/>
      <c r="D640" s="174"/>
      <c r="E640" s="174"/>
      <c r="F640" s="77"/>
      <c r="G640" s="77"/>
      <c r="H640" s="37"/>
      <c r="I640" s="14"/>
      <c r="J640" s="77"/>
      <c r="K640" s="77"/>
      <c r="L640" s="77"/>
      <c r="M640" s="77"/>
      <c r="N640" s="77"/>
      <c r="O640" s="77"/>
      <c r="P640" s="77"/>
      <c r="Q640" s="77"/>
      <c r="R640" s="91"/>
    </row>
    <row r="641" ht="15.75" spans="1:18">
      <c r="A641" s="11">
        <v>1</v>
      </c>
      <c r="B641" s="157" t="s">
        <v>1178</v>
      </c>
      <c r="C641" s="156" t="s">
        <v>972</v>
      </c>
      <c r="D641" s="157">
        <v>12</v>
      </c>
      <c r="E641" s="167">
        <v>3100</v>
      </c>
      <c r="F641" s="159">
        <f>D641*E641</f>
        <v>37200</v>
      </c>
      <c r="G641" s="156" t="s">
        <v>104</v>
      </c>
      <c r="H641" s="156" t="s">
        <v>729</v>
      </c>
      <c r="I641" s="156" t="s">
        <v>778</v>
      </c>
      <c r="J641" s="77">
        <v>5</v>
      </c>
      <c r="K641" s="138">
        <f>E641*J641</f>
        <v>15500</v>
      </c>
      <c r="L641" s="78">
        <v>3</v>
      </c>
      <c r="M641" s="138">
        <f>E641*L641</f>
        <v>9300</v>
      </c>
      <c r="N641" s="78">
        <v>2</v>
      </c>
      <c r="O641" s="138">
        <f>E641*N641</f>
        <v>6200</v>
      </c>
      <c r="P641" s="78">
        <v>2</v>
      </c>
      <c r="Q641" s="138">
        <f>E641*P641</f>
        <v>6200</v>
      </c>
      <c r="R641" s="73"/>
    </row>
    <row r="642" ht="15.75" spans="1:18">
      <c r="A642" s="11">
        <v>2</v>
      </c>
      <c r="B642" s="157" t="s">
        <v>1179</v>
      </c>
      <c r="C642" s="156" t="s">
        <v>967</v>
      </c>
      <c r="D642" s="157">
        <v>12</v>
      </c>
      <c r="E642" s="167">
        <v>9600</v>
      </c>
      <c r="F642" s="159">
        <f t="shared" ref="F642:F648" si="35">D642*E642</f>
        <v>115200</v>
      </c>
      <c r="G642" s="156" t="s">
        <v>104</v>
      </c>
      <c r="H642" s="156" t="s">
        <v>729</v>
      </c>
      <c r="I642" s="156" t="s">
        <v>778</v>
      </c>
      <c r="J642" s="77">
        <v>5</v>
      </c>
      <c r="K642" s="138">
        <f t="shared" ref="K642:K648" si="36">E642*J642</f>
        <v>48000</v>
      </c>
      <c r="L642" s="78">
        <v>3</v>
      </c>
      <c r="M642" s="138">
        <f t="shared" ref="M642:M648" si="37">E642*L642</f>
        <v>28800</v>
      </c>
      <c r="N642" s="78">
        <v>2</v>
      </c>
      <c r="O642" s="138">
        <f t="shared" ref="O642:O648" si="38">E642*N642</f>
        <v>19200</v>
      </c>
      <c r="P642" s="78">
        <v>2</v>
      </c>
      <c r="Q642" s="138">
        <f t="shared" ref="Q642:Q648" si="39">E642*P642</f>
        <v>19200</v>
      </c>
      <c r="R642" s="91"/>
    </row>
    <row r="643" ht="15.75" spans="1:18">
      <c r="A643" s="11">
        <v>3</v>
      </c>
      <c r="B643" s="157" t="s">
        <v>1180</v>
      </c>
      <c r="C643" s="156" t="s">
        <v>967</v>
      </c>
      <c r="D643" s="157">
        <v>12</v>
      </c>
      <c r="E643" s="167">
        <v>9600</v>
      </c>
      <c r="F643" s="159">
        <f t="shared" si="35"/>
        <v>115200</v>
      </c>
      <c r="G643" s="156" t="s">
        <v>104</v>
      </c>
      <c r="H643" s="156" t="s">
        <v>729</v>
      </c>
      <c r="I643" s="156" t="s">
        <v>778</v>
      </c>
      <c r="J643" s="77">
        <v>5</v>
      </c>
      <c r="K643" s="138">
        <f t="shared" si="36"/>
        <v>48000</v>
      </c>
      <c r="L643" s="78">
        <v>3</v>
      </c>
      <c r="M643" s="138">
        <f t="shared" si="37"/>
        <v>28800</v>
      </c>
      <c r="N643" s="78">
        <v>2</v>
      </c>
      <c r="O643" s="138">
        <f t="shared" si="38"/>
        <v>19200</v>
      </c>
      <c r="P643" s="78">
        <v>2</v>
      </c>
      <c r="Q643" s="138">
        <f t="shared" si="39"/>
        <v>19200</v>
      </c>
      <c r="R643" s="91"/>
    </row>
    <row r="644" ht="15.75" spans="1:18">
      <c r="A644" s="11">
        <v>4</v>
      </c>
      <c r="B644" s="157" t="s">
        <v>1181</v>
      </c>
      <c r="C644" s="156" t="s">
        <v>967</v>
      </c>
      <c r="D644" s="157">
        <v>6</v>
      </c>
      <c r="E644" s="167">
        <v>9600</v>
      </c>
      <c r="F644" s="159">
        <f t="shared" si="35"/>
        <v>57600</v>
      </c>
      <c r="G644" s="156" t="s">
        <v>104</v>
      </c>
      <c r="H644" s="156" t="s">
        <v>729</v>
      </c>
      <c r="I644" s="156" t="s">
        <v>778</v>
      </c>
      <c r="J644" s="77">
        <v>3</v>
      </c>
      <c r="K644" s="138">
        <f t="shared" si="36"/>
        <v>28800</v>
      </c>
      <c r="L644" s="207">
        <v>1</v>
      </c>
      <c r="M644" s="138">
        <f t="shared" si="37"/>
        <v>9600</v>
      </c>
      <c r="N644" s="78">
        <v>1</v>
      </c>
      <c r="O644" s="138">
        <f t="shared" si="38"/>
        <v>9600</v>
      </c>
      <c r="P644" s="78">
        <v>1</v>
      </c>
      <c r="Q644" s="138">
        <f t="shared" si="39"/>
        <v>9600</v>
      </c>
      <c r="R644" s="73"/>
    </row>
    <row r="645" ht="15.75" spans="1:18">
      <c r="A645" s="11">
        <v>5</v>
      </c>
      <c r="B645" s="157" t="s">
        <v>1182</v>
      </c>
      <c r="C645" s="156" t="s">
        <v>1183</v>
      </c>
      <c r="D645" s="157">
        <v>10</v>
      </c>
      <c r="E645" s="167">
        <v>12000</v>
      </c>
      <c r="F645" s="159">
        <f t="shared" si="35"/>
        <v>120000</v>
      </c>
      <c r="G645" s="156" t="s">
        <v>104</v>
      </c>
      <c r="H645" s="156" t="s">
        <v>729</v>
      </c>
      <c r="I645" s="156" t="s">
        <v>778</v>
      </c>
      <c r="J645" s="77">
        <v>3</v>
      </c>
      <c r="K645" s="138">
        <f t="shared" si="36"/>
        <v>36000</v>
      </c>
      <c r="L645" s="78">
        <v>3</v>
      </c>
      <c r="M645" s="138">
        <f t="shared" si="37"/>
        <v>36000</v>
      </c>
      <c r="N645" s="78">
        <v>2</v>
      </c>
      <c r="O645" s="138">
        <f t="shared" si="38"/>
        <v>24000</v>
      </c>
      <c r="P645" s="78">
        <v>2</v>
      </c>
      <c r="Q645" s="138">
        <f t="shared" si="39"/>
        <v>24000</v>
      </c>
      <c r="R645" s="73"/>
    </row>
    <row r="646" ht="15.75" spans="1:18">
      <c r="A646" s="11">
        <v>6</v>
      </c>
      <c r="B646" s="157" t="s">
        <v>1184</v>
      </c>
      <c r="C646" s="156" t="s">
        <v>1185</v>
      </c>
      <c r="D646" s="157">
        <v>160</v>
      </c>
      <c r="E646" s="167">
        <v>2500</v>
      </c>
      <c r="F646" s="159">
        <f t="shared" si="35"/>
        <v>400000</v>
      </c>
      <c r="G646" s="156" t="s">
        <v>104</v>
      </c>
      <c r="H646" s="156" t="s">
        <v>729</v>
      </c>
      <c r="I646" s="156" t="s">
        <v>778</v>
      </c>
      <c r="J646" s="77">
        <v>40</v>
      </c>
      <c r="K646" s="138">
        <f t="shared" si="36"/>
        <v>100000</v>
      </c>
      <c r="L646" s="78">
        <v>40</v>
      </c>
      <c r="M646" s="138">
        <f t="shared" si="37"/>
        <v>100000</v>
      </c>
      <c r="N646" s="78">
        <v>40</v>
      </c>
      <c r="O646" s="138">
        <f t="shared" si="38"/>
        <v>100000</v>
      </c>
      <c r="P646" s="78">
        <v>40</v>
      </c>
      <c r="Q646" s="138">
        <f t="shared" si="39"/>
        <v>100000</v>
      </c>
      <c r="R646" s="91"/>
    </row>
    <row r="647" ht="15.75" spans="1:18">
      <c r="A647" s="11">
        <v>7</v>
      </c>
      <c r="B647" s="157" t="s">
        <v>1186</v>
      </c>
      <c r="C647" s="156" t="s">
        <v>1187</v>
      </c>
      <c r="D647" s="157">
        <v>6</v>
      </c>
      <c r="E647" s="167">
        <v>5800</v>
      </c>
      <c r="F647" s="159">
        <f t="shared" si="35"/>
        <v>34800</v>
      </c>
      <c r="G647" s="156" t="s">
        <v>104</v>
      </c>
      <c r="H647" s="156" t="s">
        <v>729</v>
      </c>
      <c r="I647" s="156" t="s">
        <v>778</v>
      </c>
      <c r="J647" s="77">
        <v>3</v>
      </c>
      <c r="K647" s="138">
        <f t="shared" si="36"/>
        <v>17400</v>
      </c>
      <c r="L647" s="78">
        <v>2</v>
      </c>
      <c r="M647" s="138">
        <f t="shared" si="37"/>
        <v>11600</v>
      </c>
      <c r="N647" s="78">
        <v>1</v>
      </c>
      <c r="O647" s="138">
        <f t="shared" si="38"/>
        <v>5800</v>
      </c>
      <c r="P647" s="78"/>
      <c r="Q647" s="138"/>
      <c r="R647" s="91"/>
    </row>
    <row r="648" ht="15.75" spans="1:18">
      <c r="A648" s="11">
        <v>8</v>
      </c>
      <c r="B648" s="157" t="s">
        <v>1188</v>
      </c>
      <c r="C648" s="156" t="s">
        <v>1189</v>
      </c>
      <c r="D648" s="157">
        <v>5</v>
      </c>
      <c r="E648" s="167">
        <v>2400</v>
      </c>
      <c r="F648" s="159">
        <f t="shared" si="35"/>
        <v>12000</v>
      </c>
      <c r="G648" s="156" t="s">
        <v>104</v>
      </c>
      <c r="H648" s="156" t="s">
        <v>729</v>
      </c>
      <c r="I648" s="156" t="s">
        <v>778</v>
      </c>
      <c r="J648" s="77">
        <v>2</v>
      </c>
      <c r="K648" s="138">
        <f t="shared" si="36"/>
        <v>4800</v>
      </c>
      <c r="L648" s="78">
        <v>1</v>
      </c>
      <c r="M648" s="138">
        <f t="shared" si="37"/>
        <v>2400</v>
      </c>
      <c r="N648" s="78">
        <v>1</v>
      </c>
      <c r="O648" s="138">
        <f t="shared" si="38"/>
        <v>2400</v>
      </c>
      <c r="P648" s="78">
        <v>1</v>
      </c>
      <c r="Q648" s="138">
        <f t="shared" si="39"/>
        <v>2400</v>
      </c>
      <c r="R648" s="73"/>
    </row>
    <row r="649" ht="15.75" spans="1:18">
      <c r="A649" s="11"/>
      <c r="B649" s="157"/>
      <c r="C649" s="157"/>
      <c r="D649" s="169"/>
      <c r="E649" s="169"/>
      <c r="F649" s="147"/>
      <c r="G649" s="77"/>
      <c r="H649" s="77"/>
      <c r="I649" s="77"/>
      <c r="J649" s="77"/>
      <c r="K649" s="77"/>
      <c r="L649" s="77"/>
      <c r="M649" s="77"/>
      <c r="N649" s="77"/>
      <c r="O649" s="77"/>
      <c r="P649" s="77"/>
      <c r="Q649" s="77"/>
      <c r="R649" s="91"/>
    </row>
    <row r="650" ht="15.75" spans="1:18">
      <c r="A650" s="11"/>
      <c r="B650" s="175" t="s">
        <v>22</v>
      </c>
      <c r="C650" s="157"/>
      <c r="D650" s="169"/>
      <c r="E650" s="169"/>
      <c r="F650" s="159">
        <f>SUM(F641:F649)</f>
        <v>892000</v>
      </c>
      <c r="G650" s="77"/>
      <c r="H650" s="77"/>
      <c r="I650" s="77"/>
      <c r="J650" s="73"/>
      <c r="K650" s="73"/>
      <c r="L650" s="73"/>
      <c r="M650" s="73"/>
      <c r="N650" s="73"/>
      <c r="O650" s="73"/>
      <c r="P650" s="73"/>
      <c r="Q650" s="73"/>
      <c r="R650" s="73"/>
    </row>
    <row r="651" ht="15.75" spans="1:18">
      <c r="A651" s="12">
        <v>31</v>
      </c>
      <c r="B651" s="202" t="s">
        <v>1190</v>
      </c>
      <c r="C651" s="191"/>
      <c r="D651" s="202"/>
      <c r="E651" s="203"/>
      <c r="F651" s="150"/>
      <c r="G651" s="156"/>
      <c r="H651" s="156"/>
      <c r="I651" s="156"/>
      <c r="J651" s="208"/>
      <c r="K651" s="138"/>
      <c r="L651" s="207"/>
      <c r="M651" s="138"/>
      <c r="N651" s="207"/>
      <c r="O651" s="138"/>
      <c r="P651" s="207"/>
      <c r="Q651" s="138"/>
      <c r="R651" s="73"/>
    </row>
    <row r="652" ht="15.75" spans="1:18">
      <c r="A652" s="11">
        <v>1</v>
      </c>
      <c r="B652" s="157" t="s">
        <v>1191</v>
      </c>
      <c r="C652" s="191" t="s">
        <v>1146</v>
      </c>
      <c r="D652" s="157">
        <v>20</v>
      </c>
      <c r="E652" s="167">
        <v>6550</v>
      </c>
      <c r="F652" s="150">
        <f>D652*E652</f>
        <v>131000</v>
      </c>
      <c r="G652" s="156" t="s">
        <v>104</v>
      </c>
      <c r="H652" s="156" t="s">
        <v>729</v>
      </c>
      <c r="I652" s="156" t="s">
        <v>778</v>
      </c>
      <c r="J652" s="77">
        <v>10</v>
      </c>
      <c r="K652" s="138">
        <f>E652*J652</f>
        <v>65500</v>
      </c>
      <c r="L652" s="78"/>
      <c r="M652" s="138"/>
      <c r="N652" s="78">
        <v>10</v>
      </c>
      <c r="O652" s="138">
        <f>E652*N652</f>
        <v>65500</v>
      </c>
      <c r="P652" s="78"/>
      <c r="Q652" s="138"/>
      <c r="R652" s="14"/>
    </row>
    <row r="653" ht="15.75" spans="1:18">
      <c r="A653" s="11"/>
      <c r="B653" s="157"/>
      <c r="C653" s="157"/>
      <c r="D653" s="169"/>
      <c r="E653" s="169"/>
      <c r="F653" s="77"/>
      <c r="G653" s="77"/>
      <c r="H653" s="77"/>
      <c r="I653" s="77"/>
      <c r="J653" s="77"/>
      <c r="K653" s="77"/>
      <c r="L653" s="77"/>
      <c r="M653" s="77"/>
      <c r="N653" s="77"/>
      <c r="O653" s="77"/>
      <c r="P653" s="77"/>
      <c r="Q653" s="77"/>
      <c r="R653" s="91"/>
    </row>
    <row r="654" ht="15.75" spans="1:18">
      <c r="A654" s="11"/>
      <c r="B654" s="11"/>
      <c r="C654" s="129"/>
      <c r="D654" s="174"/>
      <c r="E654" s="174"/>
      <c r="F654" s="77"/>
      <c r="G654" s="77"/>
      <c r="H654" s="14"/>
      <c r="I654" s="14"/>
      <c r="J654" s="77"/>
      <c r="K654" s="77"/>
      <c r="L654" s="77"/>
      <c r="M654" s="77"/>
      <c r="N654" s="77"/>
      <c r="O654" s="77"/>
      <c r="P654" s="77"/>
      <c r="Q654" s="77"/>
      <c r="R654" s="91"/>
    </row>
    <row r="655" ht="15.75" spans="1:18">
      <c r="A655" s="11"/>
      <c r="B655" s="11"/>
      <c r="C655" s="129"/>
      <c r="D655" s="174"/>
      <c r="E655" s="174"/>
      <c r="F655" s="77"/>
      <c r="G655" s="77"/>
      <c r="H655" s="14"/>
      <c r="I655" s="14"/>
      <c r="J655" s="73"/>
      <c r="K655" s="73"/>
      <c r="L655" s="73"/>
      <c r="M655" s="73"/>
      <c r="N655" s="73"/>
      <c r="O655" s="73"/>
      <c r="P655" s="73"/>
      <c r="Q655" s="73"/>
      <c r="R655" s="73"/>
    </row>
    <row r="656" ht="15.75" spans="1:18">
      <c r="A656" s="11"/>
      <c r="B656" s="12" t="s">
        <v>22</v>
      </c>
      <c r="C656" s="157"/>
      <c r="D656" s="169"/>
      <c r="E656" s="169"/>
      <c r="F656" s="159">
        <f>SUM(F652:F655)</f>
        <v>131000</v>
      </c>
      <c r="G656" s="77"/>
      <c r="H656" s="14"/>
      <c r="I656" s="14"/>
      <c r="J656" s="77"/>
      <c r="K656" s="77"/>
      <c r="L656" s="77"/>
      <c r="M656" s="77"/>
      <c r="N656" s="77"/>
      <c r="O656" s="77"/>
      <c r="P656" s="77"/>
      <c r="Q656" s="77"/>
      <c r="R656" s="91"/>
    </row>
    <row r="657" ht="15.75" spans="1:18">
      <c r="A657" s="12">
        <v>32</v>
      </c>
      <c r="B657" s="175" t="s">
        <v>458</v>
      </c>
      <c r="C657" s="157"/>
      <c r="D657" s="169"/>
      <c r="E657" s="169"/>
      <c r="F657" s="77"/>
      <c r="G657" s="77"/>
      <c r="H657" s="77"/>
      <c r="I657" s="77"/>
      <c r="J657" s="73"/>
      <c r="K657" s="73"/>
      <c r="L657" s="73"/>
      <c r="M657" s="73"/>
      <c r="N657" s="73"/>
      <c r="O657" s="73"/>
      <c r="P657" s="73"/>
      <c r="Q657" s="73"/>
      <c r="R657" s="73"/>
    </row>
    <row r="658" ht="15.75" spans="1:18">
      <c r="A658" s="11">
        <v>1</v>
      </c>
      <c r="B658" s="157" t="s">
        <v>1192</v>
      </c>
      <c r="C658" s="193" t="s">
        <v>972</v>
      </c>
      <c r="D658" s="197">
        <v>25</v>
      </c>
      <c r="E658" s="198">
        <v>700</v>
      </c>
      <c r="F658" s="150">
        <f t="shared" ref="F658:F669" si="40">D658*E658</f>
        <v>17500</v>
      </c>
      <c r="G658" s="156" t="s">
        <v>104</v>
      </c>
      <c r="H658" s="156" t="s">
        <v>729</v>
      </c>
      <c r="I658" s="156" t="s">
        <v>778</v>
      </c>
      <c r="J658" s="130">
        <v>10</v>
      </c>
      <c r="K658" s="138">
        <f t="shared" ref="K658:K669" si="41">E658*J658</f>
        <v>7000</v>
      </c>
      <c r="L658" s="78">
        <v>5</v>
      </c>
      <c r="M658" s="138">
        <f t="shared" ref="M658:M669" si="42">E658*L658</f>
        <v>3500</v>
      </c>
      <c r="N658" s="131">
        <v>5</v>
      </c>
      <c r="O658" s="138">
        <f t="shared" ref="O658:O669" si="43">E658*N658</f>
        <v>3500</v>
      </c>
      <c r="P658" s="78">
        <v>5</v>
      </c>
      <c r="Q658" s="138">
        <f t="shared" ref="Q658:Q669" si="44">E658*P658</f>
        <v>3500</v>
      </c>
      <c r="R658" s="91"/>
    </row>
    <row r="659" ht="15.75" spans="1:18">
      <c r="A659" s="11">
        <v>2</v>
      </c>
      <c r="B659" s="157" t="s">
        <v>1193</v>
      </c>
      <c r="C659" s="193" t="s">
        <v>972</v>
      </c>
      <c r="D659" s="197">
        <v>25</v>
      </c>
      <c r="E659" s="198">
        <v>400</v>
      </c>
      <c r="F659" s="150">
        <f t="shared" si="40"/>
        <v>10000</v>
      </c>
      <c r="G659" s="156" t="s">
        <v>104</v>
      </c>
      <c r="H659" s="156" t="s">
        <v>729</v>
      </c>
      <c r="I659" s="156" t="s">
        <v>778</v>
      </c>
      <c r="J659" s="130">
        <v>10</v>
      </c>
      <c r="K659" s="138">
        <f t="shared" si="41"/>
        <v>4000</v>
      </c>
      <c r="L659" s="78">
        <v>5</v>
      </c>
      <c r="M659" s="138">
        <f t="shared" si="42"/>
        <v>2000</v>
      </c>
      <c r="N659" s="131">
        <v>5</v>
      </c>
      <c r="O659" s="138">
        <f t="shared" si="43"/>
        <v>2000</v>
      </c>
      <c r="P659" s="78">
        <v>5</v>
      </c>
      <c r="Q659" s="138">
        <f t="shared" si="44"/>
        <v>2000</v>
      </c>
      <c r="R659" s="73"/>
    </row>
    <row r="660" ht="15.75" spans="1:18">
      <c r="A660" s="11">
        <v>3</v>
      </c>
      <c r="B660" s="157" t="s">
        <v>1194</v>
      </c>
      <c r="C660" s="193" t="s">
        <v>972</v>
      </c>
      <c r="D660" s="197">
        <v>25</v>
      </c>
      <c r="E660" s="198">
        <v>400</v>
      </c>
      <c r="F660" s="150">
        <f t="shared" si="40"/>
        <v>10000</v>
      </c>
      <c r="G660" s="156" t="s">
        <v>104</v>
      </c>
      <c r="H660" s="156" t="s">
        <v>729</v>
      </c>
      <c r="I660" s="156" t="s">
        <v>778</v>
      </c>
      <c r="J660" s="130">
        <v>10</v>
      </c>
      <c r="K660" s="138">
        <f t="shared" si="41"/>
        <v>4000</v>
      </c>
      <c r="L660" s="78">
        <v>5</v>
      </c>
      <c r="M660" s="138">
        <f t="shared" si="42"/>
        <v>2000</v>
      </c>
      <c r="N660" s="131">
        <v>5</v>
      </c>
      <c r="O660" s="138">
        <f t="shared" si="43"/>
        <v>2000</v>
      </c>
      <c r="P660" s="78">
        <v>5</v>
      </c>
      <c r="Q660" s="138">
        <f t="shared" si="44"/>
        <v>2000</v>
      </c>
      <c r="R660" s="91"/>
    </row>
    <row r="661" ht="15.75" spans="1:18">
      <c r="A661" s="11">
        <v>4</v>
      </c>
      <c r="B661" s="157" t="s">
        <v>1195</v>
      </c>
      <c r="C661" s="193" t="s">
        <v>972</v>
      </c>
      <c r="D661" s="197">
        <v>15</v>
      </c>
      <c r="E661" s="198">
        <v>2400</v>
      </c>
      <c r="F661" s="150">
        <f t="shared" si="40"/>
        <v>36000</v>
      </c>
      <c r="G661" s="156" t="s">
        <v>104</v>
      </c>
      <c r="H661" s="156" t="s">
        <v>729</v>
      </c>
      <c r="I661" s="156" t="s">
        <v>778</v>
      </c>
      <c r="J661" s="130">
        <v>5</v>
      </c>
      <c r="K661" s="138">
        <f t="shared" si="41"/>
        <v>12000</v>
      </c>
      <c r="L661" s="78"/>
      <c r="M661" s="138">
        <f t="shared" si="42"/>
        <v>0</v>
      </c>
      <c r="N661" s="131">
        <v>5</v>
      </c>
      <c r="O661" s="138">
        <f t="shared" si="43"/>
        <v>12000</v>
      </c>
      <c r="P661" s="78">
        <v>5</v>
      </c>
      <c r="Q661" s="138">
        <f t="shared" si="44"/>
        <v>12000</v>
      </c>
      <c r="R661" s="91"/>
    </row>
    <row r="662" ht="15.75" spans="1:18">
      <c r="A662" s="11">
        <v>5</v>
      </c>
      <c r="B662" s="157" t="s">
        <v>1196</v>
      </c>
      <c r="C662" s="193" t="s">
        <v>972</v>
      </c>
      <c r="D662" s="197">
        <v>20</v>
      </c>
      <c r="E662" s="198">
        <v>450</v>
      </c>
      <c r="F662" s="150">
        <f t="shared" si="40"/>
        <v>9000</v>
      </c>
      <c r="G662" s="156" t="s">
        <v>104</v>
      </c>
      <c r="H662" s="156" t="s">
        <v>729</v>
      </c>
      <c r="I662" s="156" t="s">
        <v>778</v>
      </c>
      <c r="J662" s="130">
        <v>5</v>
      </c>
      <c r="K662" s="138">
        <f t="shared" si="41"/>
        <v>2250</v>
      </c>
      <c r="L662" s="78">
        <v>5</v>
      </c>
      <c r="M662" s="138">
        <f t="shared" si="42"/>
        <v>2250</v>
      </c>
      <c r="N662" s="131">
        <v>5</v>
      </c>
      <c r="O662" s="138">
        <f t="shared" si="43"/>
        <v>2250</v>
      </c>
      <c r="P662" s="78">
        <v>5</v>
      </c>
      <c r="Q662" s="138">
        <f t="shared" si="44"/>
        <v>2250</v>
      </c>
      <c r="R662" s="91"/>
    </row>
    <row r="663" ht="15.75" spans="1:18">
      <c r="A663" s="11">
        <v>6</v>
      </c>
      <c r="B663" s="157" t="s">
        <v>1197</v>
      </c>
      <c r="C663" s="193" t="s">
        <v>919</v>
      </c>
      <c r="D663" s="197">
        <v>80</v>
      </c>
      <c r="E663" s="198">
        <v>400</v>
      </c>
      <c r="F663" s="150">
        <f t="shared" si="40"/>
        <v>32000</v>
      </c>
      <c r="G663" s="156" t="s">
        <v>104</v>
      </c>
      <c r="H663" s="156" t="s">
        <v>729</v>
      </c>
      <c r="I663" s="156" t="s">
        <v>778</v>
      </c>
      <c r="J663" s="130">
        <v>20</v>
      </c>
      <c r="K663" s="138">
        <f t="shared" si="41"/>
        <v>8000</v>
      </c>
      <c r="L663" s="78">
        <v>20</v>
      </c>
      <c r="M663" s="138">
        <f t="shared" si="42"/>
        <v>8000</v>
      </c>
      <c r="N663" s="131">
        <v>20</v>
      </c>
      <c r="O663" s="138">
        <f t="shared" si="43"/>
        <v>8000</v>
      </c>
      <c r="P663" s="78">
        <v>20</v>
      </c>
      <c r="Q663" s="138">
        <f t="shared" si="44"/>
        <v>8000</v>
      </c>
      <c r="R663" s="91"/>
    </row>
    <row r="664" ht="15.75" spans="1:18">
      <c r="A664" s="11">
        <v>7</v>
      </c>
      <c r="B664" s="157" t="s">
        <v>1198</v>
      </c>
      <c r="C664" s="193" t="s">
        <v>972</v>
      </c>
      <c r="D664" s="197">
        <v>25</v>
      </c>
      <c r="E664" s="198">
        <v>2400</v>
      </c>
      <c r="F664" s="150">
        <f t="shared" si="40"/>
        <v>60000</v>
      </c>
      <c r="G664" s="156" t="s">
        <v>104</v>
      </c>
      <c r="H664" s="156" t="s">
        <v>729</v>
      </c>
      <c r="I664" s="156" t="s">
        <v>778</v>
      </c>
      <c r="J664" s="130">
        <v>10</v>
      </c>
      <c r="K664" s="138">
        <f t="shared" si="41"/>
        <v>24000</v>
      </c>
      <c r="L664" s="78">
        <v>5</v>
      </c>
      <c r="M664" s="138">
        <f t="shared" si="42"/>
        <v>12000</v>
      </c>
      <c r="N664" s="131">
        <v>5</v>
      </c>
      <c r="O664" s="138">
        <f t="shared" si="43"/>
        <v>12000</v>
      </c>
      <c r="P664" s="78">
        <v>5</v>
      </c>
      <c r="Q664" s="138">
        <f t="shared" si="44"/>
        <v>12000</v>
      </c>
      <c r="R664" s="73"/>
    </row>
    <row r="665" ht="15.75" spans="1:18">
      <c r="A665" s="11">
        <v>8</v>
      </c>
      <c r="B665" s="157" t="s">
        <v>1199</v>
      </c>
      <c r="C665" s="193" t="s">
        <v>972</v>
      </c>
      <c r="D665" s="197">
        <v>25</v>
      </c>
      <c r="E665" s="198">
        <v>700</v>
      </c>
      <c r="F665" s="150">
        <f t="shared" si="40"/>
        <v>17500</v>
      </c>
      <c r="G665" s="156" t="s">
        <v>104</v>
      </c>
      <c r="H665" s="156" t="s">
        <v>729</v>
      </c>
      <c r="I665" s="156" t="s">
        <v>778</v>
      </c>
      <c r="J665" s="130">
        <v>10</v>
      </c>
      <c r="K665" s="138">
        <f t="shared" si="41"/>
        <v>7000</v>
      </c>
      <c r="L665" s="78">
        <v>5</v>
      </c>
      <c r="M665" s="138">
        <f t="shared" si="42"/>
        <v>3500</v>
      </c>
      <c r="N665" s="131">
        <v>5</v>
      </c>
      <c r="O665" s="138">
        <f t="shared" si="43"/>
        <v>3500</v>
      </c>
      <c r="P665" s="78">
        <v>5</v>
      </c>
      <c r="Q665" s="138">
        <f t="shared" si="44"/>
        <v>3500</v>
      </c>
      <c r="R665" s="73"/>
    </row>
    <row r="666" ht="15.75" spans="1:18">
      <c r="A666" s="11">
        <v>9</v>
      </c>
      <c r="B666" s="157" t="s">
        <v>1200</v>
      </c>
      <c r="C666" s="193" t="s">
        <v>972</v>
      </c>
      <c r="D666" s="197">
        <v>25</v>
      </c>
      <c r="E666" s="198">
        <v>690</v>
      </c>
      <c r="F666" s="150">
        <f t="shared" si="40"/>
        <v>17250</v>
      </c>
      <c r="G666" s="156" t="s">
        <v>104</v>
      </c>
      <c r="H666" s="156" t="s">
        <v>729</v>
      </c>
      <c r="I666" s="156" t="s">
        <v>778</v>
      </c>
      <c r="J666" s="130">
        <v>10</v>
      </c>
      <c r="K666" s="138">
        <f t="shared" si="41"/>
        <v>6900</v>
      </c>
      <c r="L666" s="78">
        <v>5</v>
      </c>
      <c r="M666" s="138">
        <f t="shared" si="42"/>
        <v>3450</v>
      </c>
      <c r="N666" s="131">
        <v>5</v>
      </c>
      <c r="O666" s="138">
        <f t="shared" si="43"/>
        <v>3450</v>
      </c>
      <c r="P666" s="78">
        <v>5</v>
      </c>
      <c r="Q666" s="138">
        <f t="shared" si="44"/>
        <v>3450</v>
      </c>
      <c r="R666" s="77"/>
    </row>
    <row r="667" ht="15.75" spans="1:18">
      <c r="A667" s="11">
        <v>10</v>
      </c>
      <c r="B667" s="157" t="s">
        <v>1201</v>
      </c>
      <c r="C667" s="193" t="s">
        <v>972</v>
      </c>
      <c r="D667" s="197">
        <v>30</v>
      </c>
      <c r="E667" s="198">
        <v>900</v>
      </c>
      <c r="F667" s="150">
        <f t="shared" si="40"/>
        <v>27000</v>
      </c>
      <c r="G667" s="156" t="s">
        <v>104</v>
      </c>
      <c r="H667" s="156" t="s">
        <v>729</v>
      </c>
      <c r="I667" s="156" t="s">
        <v>778</v>
      </c>
      <c r="J667" s="130">
        <v>15</v>
      </c>
      <c r="K667" s="138">
        <f t="shared" si="41"/>
        <v>13500</v>
      </c>
      <c r="L667" s="78">
        <v>5</v>
      </c>
      <c r="M667" s="138">
        <f t="shared" si="42"/>
        <v>4500</v>
      </c>
      <c r="N667" s="131">
        <v>5</v>
      </c>
      <c r="O667" s="138">
        <f t="shared" si="43"/>
        <v>4500</v>
      </c>
      <c r="P667" s="78">
        <v>5</v>
      </c>
      <c r="Q667" s="138">
        <f t="shared" si="44"/>
        <v>4500</v>
      </c>
      <c r="R667" s="91"/>
    </row>
    <row r="668" ht="15.75" spans="1:18">
      <c r="A668" s="11">
        <v>11</v>
      </c>
      <c r="B668" s="157" t="s">
        <v>1202</v>
      </c>
      <c r="C668" s="193" t="s">
        <v>972</v>
      </c>
      <c r="D668" s="197">
        <v>25</v>
      </c>
      <c r="E668" s="198">
        <v>1200</v>
      </c>
      <c r="F668" s="150">
        <f t="shared" si="40"/>
        <v>30000</v>
      </c>
      <c r="G668" s="156" t="s">
        <v>104</v>
      </c>
      <c r="H668" s="156" t="s">
        <v>729</v>
      </c>
      <c r="I668" s="156" t="s">
        <v>778</v>
      </c>
      <c r="J668" s="130">
        <v>10</v>
      </c>
      <c r="K668" s="138">
        <f t="shared" si="41"/>
        <v>12000</v>
      </c>
      <c r="L668" s="78">
        <v>5</v>
      </c>
      <c r="M668" s="138">
        <f t="shared" si="42"/>
        <v>6000</v>
      </c>
      <c r="N668" s="131">
        <v>5</v>
      </c>
      <c r="O668" s="138">
        <f t="shared" si="43"/>
        <v>6000</v>
      </c>
      <c r="P668" s="78">
        <v>5</v>
      </c>
      <c r="Q668" s="138">
        <f t="shared" si="44"/>
        <v>6000</v>
      </c>
      <c r="R668" s="73"/>
    </row>
    <row r="669" ht="15.75" spans="1:18">
      <c r="A669" s="11">
        <v>12</v>
      </c>
      <c r="B669" s="157" t="s">
        <v>1203</v>
      </c>
      <c r="C669" s="193" t="s">
        <v>972</v>
      </c>
      <c r="D669" s="197">
        <v>8</v>
      </c>
      <c r="E669" s="198">
        <v>6200</v>
      </c>
      <c r="F669" s="150">
        <f t="shared" si="40"/>
        <v>49600</v>
      </c>
      <c r="G669" s="156" t="s">
        <v>104</v>
      </c>
      <c r="H669" s="156" t="s">
        <v>729</v>
      </c>
      <c r="I669" s="156" t="s">
        <v>778</v>
      </c>
      <c r="J669" s="130">
        <v>2</v>
      </c>
      <c r="K669" s="138">
        <f t="shared" si="41"/>
        <v>12400</v>
      </c>
      <c r="L669" s="78">
        <v>2</v>
      </c>
      <c r="M669" s="138">
        <f t="shared" si="42"/>
        <v>12400</v>
      </c>
      <c r="N669" s="131">
        <v>2</v>
      </c>
      <c r="O669" s="138">
        <f t="shared" si="43"/>
        <v>12400</v>
      </c>
      <c r="P669" s="78">
        <v>2</v>
      </c>
      <c r="Q669" s="138">
        <f t="shared" si="44"/>
        <v>12400</v>
      </c>
      <c r="R669" s="91"/>
    </row>
    <row r="670" ht="15.75" spans="1:18">
      <c r="A670" s="11"/>
      <c r="B670" s="204"/>
      <c r="C670" s="157"/>
      <c r="D670" s="169"/>
      <c r="E670" s="169"/>
      <c r="F670" s="77"/>
      <c r="G670" s="77"/>
      <c r="H670" s="77"/>
      <c r="I670" s="77"/>
      <c r="J670" s="77"/>
      <c r="K670" s="77"/>
      <c r="L670" s="77"/>
      <c r="M670" s="77"/>
      <c r="N670" s="77"/>
      <c r="O670" s="77"/>
      <c r="P670" s="77"/>
      <c r="Q670" s="77"/>
      <c r="R670" s="91"/>
    </row>
    <row r="671" ht="15.75" spans="1:18">
      <c r="A671" s="12"/>
      <c r="B671" s="175" t="s">
        <v>22</v>
      </c>
      <c r="C671" s="175"/>
      <c r="D671" s="175"/>
      <c r="E671" s="158"/>
      <c r="F671" s="158">
        <f>SUM(F658:F670)</f>
        <v>315850</v>
      </c>
      <c r="G671" s="157"/>
      <c r="H671" s="157"/>
      <c r="I671" s="157"/>
      <c r="J671" s="77"/>
      <c r="K671" s="77"/>
      <c r="L671" s="77"/>
      <c r="M671" s="77"/>
      <c r="N671" s="77"/>
      <c r="O671" s="77"/>
      <c r="P671" s="77"/>
      <c r="Q671" s="77"/>
      <c r="R671" s="77"/>
    </row>
    <row r="672" ht="15.75" spans="1:18">
      <c r="A672" s="11"/>
      <c r="B672" s="175"/>
      <c r="C672" s="157"/>
      <c r="D672" s="157"/>
      <c r="E672" s="157"/>
      <c r="F672" s="157"/>
      <c r="G672" s="157"/>
      <c r="H672" s="157"/>
      <c r="I672" s="157"/>
      <c r="J672" s="77"/>
      <c r="K672" s="77"/>
      <c r="L672" s="77"/>
      <c r="M672" s="77"/>
      <c r="N672" s="77"/>
      <c r="O672" s="77"/>
      <c r="P672" s="77"/>
      <c r="Q672" s="77"/>
      <c r="R672" s="77"/>
    </row>
    <row r="673" ht="15.75" spans="1:18">
      <c r="A673" s="11"/>
      <c r="B673" s="11"/>
      <c r="C673" s="11"/>
      <c r="D673" s="11"/>
      <c r="E673" s="11"/>
      <c r="F673" s="11"/>
      <c r="G673" s="11"/>
      <c r="H673" s="11"/>
      <c r="I673" s="11"/>
      <c r="J673" s="14"/>
      <c r="K673" s="14"/>
      <c r="L673" s="14"/>
      <c r="M673" s="14"/>
      <c r="N673" s="14"/>
      <c r="O673" s="14"/>
      <c r="P673" s="14"/>
      <c r="Q673" s="14"/>
      <c r="R673" s="14"/>
    </row>
    <row r="674" ht="15.75" spans="1:18">
      <c r="A674" s="11"/>
      <c r="B674" s="11"/>
      <c r="C674" s="11"/>
      <c r="D674" s="11"/>
      <c r="E674" s="11"/>
      <c r="F674" s="11"/>
      <c r="G674" s="11"/>
      <c r="H674" s="11"/>
      <c r="I674" s="11"/>
      <c r="J674" s="14"/>
      <c r="K674" s="14"/>
      <c r="L674" s="14"/>
      <c r="M674" s="14"/>
      <c r="N674" s="14"/>
      <c r="O674" s="14"/>
      <c r="P674" s="14"/>
      <c r="Q674" s="14"/>
      <c r="R674" s="14"/>
    </row>
    <row r="675" ht="15.75" spans="1:18">
      <c r="A675" s="12">
        <v>33</v>
      </c>
      <c r="B675" s="175" t="s">
        <v>1204</v>
      </c>
      <c r="C675" s="157"/>
      <c r="D675" s="157"/>
      <c r="E675" s="157"/>
      <c r="F675" s="157"/>
      <c r="G675" s="157"/>
      <c r="H675" s="157"/>
      <c r="I675" s="157"/>
      <c r="J675" s="77"/>
      <c r="K675" s="77"/>
      <c r="L675" s="77"/>
      <c r="M675" s="77"/>
      <c r="N675" s="77"/>
      <c r="O675" s="77"/>
      <c r="P675" s="77"/>
      <c r="Q675" s="77"/>
      <c r="R675" s="77"/>
    </row>
    <row r="676" ht="15.75" spans="1:18">
      <c r="A676" s="11">
        <v>1</v>
      </c>
      <c r="B676" s="157" t="s">
        <v>350</v>
      </c>
      <c r="C676" s="157" t="s">
        <v>919</v>
      </c>
      <c r="D676" s="157">
        <v>2</v>
      </c>
      <c r="E676" s="167">
        <v>224000</v>
      </c>
      <c r="F676" s="150">
        <f>D676*E676</f>
        <v>448000</v>
      </c>
      <c r="G676" s="156" t="s">
        <v>104</v>
      </c>
      <c r="H676" s="156" t="s">
        <v>729</v>
      </c>
      <c r="I676" s="156" t="s">
        <v>778</v>
      </c>
      <c r="J676" s="77">
        <v>1</v>
      </c>
      <c r="K676" s="138">
        <f>E676*J676</f>
        <v>224000</v>
      </c>
      <c r="L676" s="78"/>
      <c r="M676" s="138">
        <f>E676*L676</f>
        <v>0</v>
      </c>
      <c r="N676" s="78">
        <v>1</v>
      </c>
      <c r="O676" s="138">
        <f>E676*N676</f>
        <v>224000</v>
      </c>
      <c r="P676" s="78"/>
      <c r="Q676" s="138"/>
      <c r="R676" s="73"/>
    </row>
    <row r="677" ht="15.75" spans="1:18">
      <c r="A677" s="11">
        <v>2</v>
      </c>
      <c r="B677" s="103" t="s">
        <v>350</v>
      </c>
      <c r="C677" s="157"/>
      <c r="D677" s="103">
        <v>1</v>
      </c>
      <c r="E677" s="190">
        <v>224000</v>
      </c>
      <c r="F677" s="190">
        <f>D677*E677</f>
        <v>224000</v>
      </c>
      <c r="G677" s="156" t="s">
        <v>33</v>
      </c>
      <c r="H677" s="156" t="s">
        <v>729</v>
      </c>
      <c r="I677" s="156" t="s">
        <v>778</v>
      </c>
      <c r="J677" s="77">
        <v>1</v>
      </c>
      <c r="K677" s="138">
        <v>224000</v>
      </c>
      <c r="L677" s="78"/>
      <c r="M677" s="138"/>
      <c r="N677" s="78"/>
      <c r="O677" s="138"/>
      <c r="P677" s="78"/>
      <c r="Q677" s="138"/>
      <c r="R677" s="73"/>
    </row>
    <row r="678" ht="15.75" spans="1:18">
      <c r="A678" s="11">
        <v>3</v>
      </c>
      <c r="B678" s="157" t="s">
        <v>1205</v>
      </c>
      <c r="C678" s="157" t="s">
        <v>783</v>
      </c>
      <c r="D678" s="157">
        <v>2</v>
      </c>
      <c r="E678" s="167">
        <v>100000</v>
      </c>
      <c r="F678" s="150">
        <v>200000</v>
      </c>
      <c r="G678" s="156" t="s">
        <v>43</v>
      </c>
      <c r="H678" s="156" t="s">
        <v>729</v>
      </c>
      <c r="I678" s="156" t="s">
        <v>778</v>
      </c>
      <c r="J678" s="77"/>
      <c r="K678" s="138"/>
      <c r="L678" s="78">
        <v>2</v>
      </c>
      <c r="M678" s="138">
        <v>200000</v>
      </c>
      <c r="N678" s="78"/>
      <c r="O678" s="138"/>
      <c r="P678" s="78"/>
      <c r="Q678" s="138"/>
      <c r="R678" s="73"/>
    </row>
    <row r="679" ht="15.75" spans="1:18">
      <c r="A679" s="11">
        <v>4</v>
      </c>
      <c r="B679" s="157" t="s">
        <v>1206</v>
      </c>
      <c r="C679" s="157" t="s">
        <v>783</v>
      </c>
      <c r="D679" s="157">
        <v>1</v>
      </c>
      <c r="E679" s="167">
        <v>350000</v>
      </c>
      <c r="F679" s="150">
        <v>350000</v>
      </c>
      <c r="G679" s="156" t="s">
        <v>43</v>
      </c>
      <c r="H679" s="156" t="s">
        <v>729</v>
      </c>
      <c r="I679" s="156" t="s">
        <v>778</v>
      </c>
      <c r="J679" s="77">
        <v>1</v>
      </c>
      <c r="K679" s="138">
        <v>350000</v>
      </c>
      <c r="L679" s="78"/>
      <c r="M679" s="138"/>
      <c r="N679" s="78"/>
      <c r="O679" s="138"/>
      <c r="P679" s="78"/>
      <c r="Q679" s="138"/>
      <c r="R679" s="73"/>
    </row>
    <row r="680" ht="15.75" spans="1:18">
      <c r="A680" s="11">
        <v>5</v>
      </c>
      <c r="B680" s="157" t="s">
        <v>1207</v>
      </c>
      <c r="C680" s="157" t="s">
        <v>783</v>
      </c>
      <c r="D680" s="157">
        <v>2</v>
      </c>
      <c r="E680" s="167">
        <v>280000</v>
      </c>
      <c r="F680" s="150">
        <v>560000</v>
      </c>
      <c r="G680" s="156" t="s">
        <v>43</v>
      </c>
      <c r="H680" s="156" t="s">
        <v>729</v>
      </c>
      <c r="I680" s="156" t="s">
        <v>778</v>
      </c>
      <c r="J680" s="77">
        <v>2</v>
      </c>
      <c r="K680" s="138">
        <v>560000</v>
      </c>
      <c r="L680" s="78"/>
      <c r="M680" s="138"/>
      <c r="N680" s="78"/>
      <c r="O680" s="138"/>
      <c r="P680" s="78"/>
      <c r="Q680" s="138"/>
      <c r="R680" s="73"/>
    </row>
    <row r="681" ht="15.75" spans="1:18">
      <c r="A681" s="11">
        <v>6</v>
      </c>
      <c r="B681" s="157" t="s">
        <v>1208</v>
      </c>
      <c r="C681" s="157" t="s">
        <v>783</v>
      </c>
      <c r="D681" s="157">
        <v>2</v>
      </c>
      <c r="E681" s="167">
        <v>260000</v>
      </c>
      <c r="F681" s="150">
        <v>520000</v>
      </c>
      <c r="G681" s="156" t="s">
        <v>43</v>
      </c>
      <c r="H681" s="156" t="s">
        <v>729</v>
      </c>
      <c r="I681" s="156" t="s">
        <v>778</v>
      </c>
      <c r="J681" s="77"/>
      <c r="K681" s="138"/>
      <c r="L681" s="78">
        <v>2</v>
      </c>
      <c r="M681" s="138">
        <v>520000</v>
      </c>
      <c r="N681" s="78"/>
      <c r="O681" s="138"/>
      <c r="P681" s="78"/>
      <c r="Q681" s="138"/>
      <c r="R681" s="73"/>
    </row>
    <row r="682" ht="15.75" spans="1:18">
      <c r="A682" s="11">
        <v>7</v>
      </c>
      <c r="B682" s="157" t="s">
        <v>1209</v>
      </c>
      <c r="C682" s="157" t="s">
        <v>783</v>
      </c>
      <c r="D682" s="157">
        <v>2</v>
      </c>
      <c r="E682" s="167">
        <v>140000</v>
      </c>
      <c r="F682" s="150">
        <v>280000</v>
      </c>
      <c r="G682" s="156" t="s">
        <v>43</v>
      </c>
      <c r="H682" s="156" t="s">
        <v>729</v>
      </c>
      <c r="I682" s="156" t="s">
        <v>778</v>
      </c>
      <c r="J682" s="77">
        <v>2</v>
      </c>
      <c r="K682" s="138">
        <v>280000</v>
      </c>
      <c r="L682" s="78"/>
      <c r="M682" s="138"/>
      <c r="N682" s="78"/>
      <c r="O682" s="138"/>
      <c r="P682" s="78"/>
      <c r="Q682" s="138"/>
      <c r="R682" s="73"/>
    </row>
    <row r="683" ht="15.75" spans="1:18">
      <c r="A683" s="11"/>
      <c r="B683" s="157"/>
      <c r="C683" s="157"/>
      <c r="D683" s="157"/>
      <c r="E683" s="167"/>
      <c r="F683" s="150"/>
      <c r="G683" s="156"/>
      <c r="H683" s="156"/>
      <c r="I683" s="156"/>
      <c r="J683" s="77"/>
      <c r="K683" s="138"/>
      <c r="L683" s="78"/>
      <c r="M683" s="138"/>
      <c r="N683" s="78"/>
      <c r="O683" s="138"/>
      <c r="P683" s="78"/>
      <c r="Q683" s="138"/>
      <c r="R683" s="73"/>
    </row>
    <row r="684" ht="15.75" spans="1:18">
      <c r="A684" s="11"/>
      <c r="B684" s="175" t="s">
        <v>22</v>
      </c>
      <c r="C684" s="157"/>
      <c r="D684" s="157"/>
      <c r="E684" s="157"/>
      <c r="F684" s="159">
        <f>SUM(F676:F683)</f>
        <v>2582000</v>
      </c>
      <c r="G684" s="77"/>
      <c r="H684" s="77"/>
      <c r="I684" s="77"/>
      <c r="J684" s="73"/>
      <c r="K684" s="73"/>
      <c r="L684" s="73"/>
      <c r="M684" s="73"/>
      <c r="N684" s="73"/>
      <c r="O684" s="73"/>
      <c r="P684" s="73"/>
      <c r="Q684" s="73"/>
      <c r="R684" s="73"/>
    </row>
    <row r="685" ht="15.75" spans="1:18">
      <c r="A685" s="12">
        <v>34</v>
      </c>
      <c r="B685" s="202" t="s">
        <v>492</v>
      </c>
      <c r="C685" s="157"/>
      <c r="D685" s="202"/>
      <c r="E685" s="203"/>
      <c r="F685" s="150"/>
      <c r="G685" s="156"/>
      <c r="H685" s="156"/>
      <c r="I685" s="156"/>
      <c r="J685" s="208"/>
      <c r="K685" s="138"/>
      <c r="L685" s="207"/>
      <c r="M685" s="138"/>
      <c r="N685" s="207"/>
      <c r="O685" s="138"/>
      <c r="P685" s="207"/>
      <c r="Q685" s="138"/>
      <c r="R685" s="73"/>
    </row>
    <row r="686" ht="15.75" spans="1:18">
      <c r="A686" s="11">
        <v>1</v>
      </c>
      <c r="B686" s="157" t="s">
        <v>1210</v>
      </c>
      <c r="C686" s="157" t="s">
        <v>1148</v>
      </c>
      <c r="D686" s="157">
        <v>2</v>
      </c>
      <c r="E686" s="167">
        <v>11500</v>
      </c>
      <c r="F686" s="150">
        <f>D686*E686</f>
        <v>23000</v>
      </c>
      <c r="G686" s="156" t="s">
        <v>104</v>
      </c>
      <c r="H686" s="156" t="s">
        <v>729</v>
      </c>
      <c r="I686" s="156" t="s">
        <v>778</v>
      </c>
      <c r="J686" s="77">
        <v>1</v>
      </c>
      <c r="K686" s="138">
        <f>E686*J686</f>
        <v>11500</v>
      </c>
      <c r="L686" s="78"/>
      <c r="M686" s="138"/>
      <c r="N686" s="78">
        <v>1</v>
      </c>
      <c r="O686" s="138">
        <f>E686*N686</f>
        <v>11500</v>
      </c>
      <c r="P686" s="78"/>
      <c r="Q686" s="138"/>
      <c r="R686" s="73"/>
    </row>
    <row r="687" ht="15.75" spans="1:18">
      <c r="A687" s="11">
        <v>2</v>
      </c>
      <c r="B687" s="157" t="s">
        <v>1211</v>
      </c>
      <c r="C687" s="157" t="s">
        <v>1148</v>
      </c>
      <c r="D687" s="157">
        <v>2</v>
      </c>
      <c r="E687" s="167">
        <v>10500</v>
      </c>
      <c r="F687" s="150">
        <f>D687*E687</f>
        <v>21000</v>
      </c>
      <c r="G687" s="156" t="s">
        <v>104</v>
      </c>
      <c r="H687" s="156" t="s">
        <v>729</v>
      </c>
      <c r="I687" s="156" t="s">
        <v>778</v>
      </c>
      <c r="J687" s="77">
        <v>1</v>
      </c>
      <c r="K687" s="138">
        <f>E687*J687</f>
        <v>10500</v>
      </c>
      <c r="L687" s="78"/>
      <c r="M687" s="138"/>
      <c r="N687" s="78">
        <v>1</v>
      </c>
      <c r="O687" s="138">
        <f>E687*N687</f>
        <v>10500</v>
      </c>
      <c r="P687" s="78"/>
      <c r="Q687" s="138"/>
      <c r="R687" s="73"/>
    </row>
    <row r="688" ht="15.75" spans="1:18">
      <c r="A688" s="11">
        <v>3</v>
      </c>
      <c r="B688" s="157" t="s">
        <v>1212</v>
      </c>
      <c r="C688" s="157" t="s">
        <v>1148</v>
      </c>
      <c r="D688" s="157">
        <v>2</v>
      </c>
      <c r="E688" s="167">
        <v>9500</v>
      </c>
      <c r="F688" s="150">
        <f>D688*E688</f>
        <v>19000</v>
      </c>
      <c r="G688" s="156" t="s">
        <v>104</v>
      </c>
      <c r="H688" s="156" t="s">
        <v>729</v>
      </c>
      <c r="I688" s="156" t="s">
        <v>778</v>
      </c>
      <c r="J688" s="77">
        <v>1</v>
      </c>
      <c r="K688" s="138">
        <f>E688*J688</f>
        <v>9500</v>
      </c>
      <c r="L688" s="78"/>
      <c r="M688" s="138"/>
      <c r="N688" s="78">
        <v>1</v>
      </c>
      <c r="O688" s="138">
        <f>E688*N688</f>
        <v>9500</v>
      </c>
      <c r="P688" s="78"/>
      <c r="Q688" s="138"/>
      <c r="R688" s="73"/>
    </row>
    <row r="689" ht="15.75" spans="1:18">
      <c r="A689" s="11">
        <v>4</v>
      </c>
      <c r="B689" s="157" t="s">
        <v>1213</v>
      </c>
      <c r="C689" s="157" t="s">
        <v>1214</v>
      </c>
      <c r="D689" s="157">
        <v>2</v>
      </c>
      <c r="E689" s="167">
        <v>2500</v>
      </c>
      <c r="F689" s="150">
        <f>D689*E689</f>
        <v>5000</v>
      </c>
      <c r="G689" s="156" t="s">
        <v>104</v>
      </c>
      <c r="H689" s="156" t="s">
        <v>729</v>
      </c>
      <c r="I689" s="156" t="s">
        <v>778</v>
      </c>
      <c r="J689" s="77">
        <v>1</v>
      </c>
      <c r="K689" s="138">
        <f>E689*J689</f>
        <v>2500</v>
      </c>
      <c r="L689" s="78"/>
      <c r="M689" s="138"/>
      <c r="N689" s="78">
        <v>1</v>
      </c>
      <c r="O689" s="138">
        <f>E689*N689</f>
        <v>2500</v>
      </c>
      <c r="P689" s="78"/>
      <c r="Q689" s="138"/>
      <c r="R689" s="73"/>
    </row>
    <row r="690" ht="15.75" spans="1:18">
      <c r="A690" s="11">
        <v>5</v>
      </c>
      <c r="B690" s="157" t="s">
        <v>1215</v>
      </c>
      <c r="C690" s="157" t="s">
        <v>1214</v>
      </c>
      <c r="D690" s="157">
        <v>2</v>
      </c>
      <c r="E690" s="167">
        <v>2500</v>
      </c>
      <c r="F690" s="150">
        <f>D690*E690</f>
        <v>5000</v>
      </c>
      <c r="G690" s="156" t="s">
        <v>104</v>
      </c>
      <c r="H690" s="156" t="s">
        <v>729</v>
      </c>
      <c r="I690" s="156" t="s">
        <v>778</v>
      </c>
      <c r="J690" s="77">
        <v>1</v>
      </c>
      <c r="K690" s="138">
        <f>E690*J690</f>
        <v>2500</v>
      </c>
      <c r="L690" s="78"/>
      <c r="M690" s="138"/>
      <c r="N690" s="78">
        <v>1</v>
      </c>
      <c r="O690" s="138">
        <f>E690*N690</f>
        <v>2500</v>
      </c>
      <c r="P690" s="78"/>
      <c r="Q690" s="138"/>
      <c r="R690" s="73"/>
    </row>
    <row r="691" ht="15.75" spans="1:18">
      <c r="A691" s="11"/>
      <c r="B691" s="175" t="s">
        <v>22</v>
      </c>
      <c r="C691" s="157"/>
      <c r="D691" s="157"/>
      <c r="E691" s="157"/>
      <c r="F691" s="159">
        <f>SUM(F686:F690)</f>
        <v>73000</v>
      </c>
      <c r="G691" s="77"/>
      <c r="H691" s="77"/>
      <c r="I691" s="77"/>
      <c r="J691" s="77"/>
      <c r="K691" s="77"/>
      <c r="L691" s="77"/>
      <c r="M691" s="77"/>
      <c r="N691" s="77"/>
      <c r="O691" s="77"/>
      <c r="P691" s="77"/>
      <c r="Q691" s="77"/>
      <c r="R691" s="91"/>
    </row>
    <row r="692" ht="15.75" spans="1:18">
      <c r="A692" s="12">
        <v>35</v>
      </c>
      <c r="B692" s="202" t="s">
        <v>1216</v>
      </c>
      <c r="C692" s="157"/>
      <c r="D692" s="202"/>
      <c r="E692" s="203"/>
      <c r="F692" s="150"/>
      <c r="G692" s="156"/>
      <c r="H692" s="156"/>
      <c r="I692" s="156"/>
      <c r="J692" s="208"/>
      <c r="K692" s="138"/>
      <c r="L692" s="207"/>
      <c r="M692" s="138"/>
      <c r="N692" s="207"/>
      <c r="O692" s="138"/>
      <c r="P692" s="207"/>
      <c r="Q692" s="138"/>
      <c r="R692" s="91"/>
    </row>
    <row r="693" ht="15.75" spans="1:18">
      <c r="A693" s="11">
        <v>1</v>
      </c>
      <c r="B693" s="157" t="s">
        <v>348</v>
      </c>
      <c r="C693" s="157" t="s">
        <v>919</v>
      </c>
      <c r="D693" s="157">
        <v>2</v>
      </c>
      <c r="E693" s="167">
        <v>120000</v>
      </c>
      <c r="F693" s="150">
        <f>D693*E693</f>
        <v>240000</v>
      </c>
      <c r="G693" s="156" t="s">
        <v>104</v>
      </c>
      <c r="H693" s="156" t="s">
        <v>729</v>
      </c>
      <c r="I693" s="156" t="s">
        <v>778</v>
      </c>
      <c r="J693" s="77" t="s">
        <v>400</v>
      </c>
      <c r="K693" s="138"/>
      <c r="L693" s="78">
        <v>1</v>
      </c>
      <c r="M693" s="138">
        <f>E693*L693</f>
        <v>120000</v>
      </c>
      <c r="N693" s="78"/>
      <c r="O693" s="138"/>
      <c r="P693" s="78">
        <v>1</v>
      </c>
      <c r="Q693" s="138">
        <f>E693*P693</f>
        <v>120000</v>
      </c>
      <c r="R693" s="91"/>
    </row>
    <row r="694" ht="15.75" spans="1:18">
      <c r="A694" s="11">
        <v>2</v>
      </c>
      <c r="B694" s="157" t="s">
        <v>1217</v>
      </c>
      <c r="C694" s="157" t="s">
        <v>919</v>
      </c>
      <c r="D694" s="157">
        <v>2</v>
      </c>
      <c r="E694" s="167">
        <v>150000</v>
      </c>
      <c r="F694" s="150">
        <f>D694*E694</f>
        <v>300000</v>
      </c>
      <c r="G694" s="156" t="s">
        <v>104</v>
      </c>
      <c r="H694" s="156" t="s">
        <v>729</v>
      </c>
      <c r="I694" s="156" t="s">
        <v>778</v>
      </c>
      <c r="J694" s="77"/>
      <c r="K694" s="138"/>
      <c r="L694" s="78">
        <v>1</v>
      </c>
      <c r="M694" s="138">
        <f>E694*L694</f>
        <v>150000</v>
      </c>
      <c r="N694" s="78"/>
      <c r="O694" s="138"/>
      <c r="P694" s="78">
        <v>1</v>
      </c>
      <c r="Q694" s="138">
        <f>E694*P694</f>
        <v>150000</v>
      </c>
      <c r="R694" s="91"/>
    </row>
    <row r="695" ht="15.75" spans="1:18">
      <c r="A695" s="11">
        <v>3</v>
      </c>
      <c r="B695" s="103" t="s">
        <v>1218</v>
      </c>
      <c r="C695" s="157"/>
      <c r="D695" s="103">
        <v>1</v>
      </c>
      <c r="E695" s="190">
        <v>150000</v>
      </c>
      <c r="F695" s="190">
        <f>D695*E695</f>
        <v>150000</v>
      </c>
      <c r="G695" s="156" t="s">
        <v>33</v>
      </c>
      <c r="H695" s="156" t="s">
        <v>729</v>
      </c>
      <c r="I695" s="156" t="s">
        <v>778</v>
      </c>
      <c r="J695" s="104">
        <v>1</v>
      </c>
      <c r="K695" s="136">
        <v>150000</v>
      </c>
      <c r="L695" s="78"/>
      <c r="M695" s="138"/>
      <c r="N695" s="78"/>
      <c r="O695" s="138"/>
      <c r="P695" s="78"/>
      <c r="Q695" s="138"/>
      <c r="R695" s="91"/>
    </row>
    <row r="696" ht="15.75" spans="1:18">
      <c r="A696" s="11">
        <v>4</v>
      </c>
      <c r="B696" s="103" t="s">
        <v>1219</v>
      </c>
      <c r="C696" s="157"/>
      <c r="D696" s="103">
        <v>2</v>
      </c>
      <c r="E696" s="190">
        <v>120000</v>
      </c>
      <c r="F696" s="190">
        <f>D696*E696</f>
        <v>240000</v>
      </c>
      <c r="G696" s="156" t="s">
        <v>33</v>
      </c>
      <c r="H696" s="156" t="s">
        <v>729</v>
      </c>
      <c r="I696" s="156" t="s">
        <v>778</v>
      </c>
      <c r="J696" s="104">
        <v>2</v>
      </c>
      <c r="K696" s="136">
        <v>120000</v>
      </c>
      <c r="L696" s="78"/>
      <c r="M696" s="138"/>
      <c r="N696" s="78"/>
      <c r="O696" s="138"/>
      <c r="P696" s="78"/>
      <c r="Q696" s="138">
        <v>120000</v>
      </c>
      <c r="R696" s="91"/>
    </row>
    <row r="697" ht="15.75" spans="1:18">
      <c r="A697" s="11"/>
      <c r="B697" s="157"/>
      <c r="C697" s="157"/>
      <c r="D697" s="157"/>
      <c r="E697" s="167"/>
      <c r="F697" s="150"/>
      <c r="G697" s="156"/>
      <c r="H697" s="156"/>
      <c r="I697" s="156"/>
      <c r="J697" s="77"/>
      <c r="K697" s="138"/>
      <c r="L697" s="78"/>
      <c r="M697" s="138"/>
      <c r="N697" s="78"/>
      <c r="O697" s="138"/>
      <c r="P697" s="78"/>
      <c r="Q697" s="138"/>
      <c r="R697" s="91"/>
    </row>
    <row r="698" ht="15.75" spans="1:18">
      <c r="A698" s="11"/>
      <c r="B698" s="175" t="s">
        <v>22</v>
      </c>
      <c r="C698" s="157"/>
      <c r="D698" s="157"/>
      <c r="E698" s="205"/>
      <c r="F698" s="158">
        <f>SUM(F693:F697)</f>
        <v>930000</v>
      </c>
      <c r="G698" s="157"/>
      <c r="H698" s="77"/>
      <c r="I698" s="77"/>
      <c r="J698" s="73"/>
      <c r="K698" s="73"/>
      <c r="L698" s="73"/>
      <c r="M698" s="73"/>
      <c r="N698" s="73"/>
      <c r="O698" s="73"/>
      <c r="P698" s="73"/>
      <c r="Q698" s="73"/>
      <c r="R698" s="73"/>
    </row>
    <row r="699" ht="15.75" spans="1:18">
      <c r="A699" s="12">
        <v>36</v>
      </c>
      <c r="B699" s="12" t="s">
        <v>1204</v>
      </c>
      <c r="C699" s="11"/>
      <c r="D699" s="11"/>
      <c r="E699" s="11"/>
      <c r="F699" s="11"/>
      <c r="G699" s="11"/>
      <c r="H699" s="11"/>
      <c r="I699" s="11"/>
      <c r="J699" s="14"/>
      <c r="K699" s="14"/>
      <c r="L699" s="14"/>
      <c r="M699" s="14"/>
      <c r="N699" s="14"/>
      <c r="O699" s="14"/>
      <c r="P699" s="14"/>
      <c r="Q699" s="14"/>
      <c r="R699" s="14"/>
    </row>
    <row r="700" ht="15.75" spans="1:18">
      <c r="A700" s="12">
        <v>1</v>
      </c>
      <c r="B700" s="11" t="s">
        <v>1220</v>
      </c>
      <c r="C700" s="11" t="s">
        <v>783</v>
      </c>
      <c r="D700" s="11">
        <v>30</v>
      </c>
      <c r="E700" s="170">
        <v>30000</v>
      </c>
      <c r="F700" s="170">
        <v>900000</v>
      </c>
      <c r="G700" s="11" t="s">
        <v>43</v>
      </c>
      <c r="H700" s="11" t="s">
        <v>814</v>
      </c>
      <c r="I700" s="11" t="s">
        <v>778</v>
      </c>
      <c r="J700" s="14"/>
      <c r="K700" s="56">
        <v>300000</v>
      </c>
      <c r="L700" s="14"/>
      <c r="M700" s="56">
        <v>300000</v>
      </c>
      <c r="N700" s="14"/>
      <c r="O700" s="56">
        <v>300000</v>
      </c>
      <c r="P700" s="14"/>
      <c r="Q700" s="14"/>
      <c r="R700" s="14"/>
    </row>
    <row r="701" ht="15.75" spans="1:18">
      <c r="A701" s="12">
        <v>2</v>
      </c>
      <c r="B701" s="11" t="s">
        <v>1221</v>
      </c>
      <c r="C701" s="11" t="s">
        <v>783</v>
      </c>
      <c r="D701" s="11">
        <v>5</v>
      </c>
      <c r="E701" s="170">
        <v>50000</v>
      </c>
      <c r="F701" s="170">
        <v>250000</v>
      </c>
      <c r="G701" s="11" t="s">
        <v>43</v>
      </c>
      <c r="H701" s="11" t="s">
        <v>814</v>
      </c>
      <c r="I701" s="11" t="s">
        <v>778</v>
      </c>
      <c r="J701" s="14"/>
      <c r="K701" s="56">
        <v>100000</v>
      </c>
      <c r="L701" s="14"/>
      <c r="M701" s="56">
        <v>100000</v>
      </c>
      <c r="N701" s="14"/>
      <c r="O701" s="56">
        <v>50000</v>
      </c>
      <c r="P701" s="14"/>
      <c r="Q701" s="14"/>
      <c r="R701" s="14"/>
    </row>
    <row r="702" ht="15.75" spans="1:18">
      <c r="A702" s="12">
        <v>3</v>
      </c>
      <c r="B702" s="11" t="s">
        <v>1222</v>
      </c>
      <c r="C702" s="11" t="s">
        <v>783</v>
      </c>
      <c r="D702" s="11">
        <v>30</v>
      </c>
      <c r="E702" s="170">
        <v>10000</v>
      </c>
      <c r="F702" s="170">
        <v>300000</v>
      </c>
      <c r="G702" s="11" t="s">
        <v>43</v>
      </c>
      <c r="H702" s="11" t="s">
        <v>814</v>
      </c>
      <c r="I702" s="11" t="s">
        <v>778</v>
      </c>
      <c r="J702" s="14"/>
      <c r="K702" s="56">
        <v>100000</v>
      </c>
      <c r="L702" s="14"/>
      <c r="M702" s="56">
        <v>100000</v>
      </c>
      <c r="N702" s="14"/>
      <c r="O702" s="56">
        <v>100000</v>
      </c>
      <c r="P702" s="14"/>
      <c r="Q702" s="14"/>
      <c r="R702" s="14"/>
    </row>
    <row r="703" ht="15.75" spans="1:18">
      <c r="A703" s="12"/>
      <c r="B703" s="12" t="s">
        <v>22</v>
      </c>
      <c r="C703" s="11"/>
      <c r="D703" s="11"/>
      <c r="E703" s="11"/>
      <c r="F703" s="206">
        <f>SUM(F700:F702)</f>
        <v>1450000</v>
      </c>
      <c r="G703" s="11"/>
      <c r="H703" s="11"/>
      <c r="I703" s="11"/>
      <c r="J703" s="14"/>
      <c r="K703" s="14"/>
      <c r="L703" s="14"/>
      <c r="M703" s="14"/>
      <c r="N703" s="14"/>
      <c r="O703" s="14"/>
      <c r="P703" s="14"/>
      <c r="Q703" s="14"/>
      <c r="R703" s="14"/>
    </row>
    <row r="704" ht="15.75" spans="1:18">
      <c r="A704" s="12">
        <v>37</v>
      </c>
      <c r="B704" s="195" t="s">
        <v>1223</v>
      </c>
      <c r="C704" s="157"/>
      <c r="D704" s="195"/>
      <c r="E704" s="195"/>
      <c r="F704" s="150"/>
      <c r="G704" s="156"/>
      <c r="H704" s="156"/>
      <c r="I704" s="156"/>
      <c r="J704" s="200"/>
      <c r="K704" s="138"/>
      <c r="L704" s="200"/>
      <c r="M704" s="138"/>
      <c r="N704" s="200"/>
      <c r="O704" s="138"/>
      <c r="P704" s="200"/>
      <c r="Q704" s="138"/>
      <c r="R704" s="77"/>
    </row>
    <row r="705" ht="15.75" spans="1:18">
      <c r="A705" s="12">
        <v>1</v>
      </c>
      <c r="B705" s="157" t="s">
        <v>1224</v>
      </c>
      <c r="C705" s="157" t="s">
        <v>1225</v>
      </c>
      <c r="D705" s="197">
        <v>2</v>
      </c>
      <c r="E705" s="169">
        <v>19000</v>
      </c>
      <c r="F705" s="150">
        <f t="shared" ref="F705:F722" si="45">D705*E705</f>
        <v>38000</v>
      </c>
      <c r="G705" s="156" t="s">
        <v>104</v>
      </c>
      <c r="H705" s="156" t="s">
        <v>729</v>
      </c>
      <c r="I705" s="156" t="s">
        <v>778</v>
      </c>
      <c r="J705" s="130"/>
      <c r="K705" s="138"/>
      <c r="L705" s="77">
        <v>2</v>
      </c>
      <c r="M705" s="138">
        <f t="shared" ref="M705:M717" si="46">E705*L705</f>
        <v>38000</v>
      </c>
      <c r="N705" s="130"/>
      <c r="O705" s="138"/>
      <c r="P705" s="77"/>
      <c r="Q705" s="138"/>
      <c r="R705" s="77"/>
    </row>
    <row r="706" ht="15.75" spans="1:18">
      <c r="A706" s="12">
        <v>2</v>
      </c>
      <c r="B706" s="157" t="s">
        <v>1226</v>
      </c>
      <c r="C706" s="157" t="s">
        <v>1225</v>
      </c>
      <c r="D706" s="197">
        <v>2</v>
      </c>
      <c r="E706" s="169">
        <v>26000</v>
      </c>
      <c r="F706" s="150">
        <f t="shared" si="45"/>
        <v>52000</v>
      </c>
      <c r="G706" s="156" t="s">
        <v>104</v>
      </c>
      <c r="H706" s="156" t="s">
        <v>729</v>
      </c>
      <c r="I706" s="156" t="s">
        <v>778</v>
      </c>
      <c r="J706" s="130"/>
      <c r="K706" s="138"/>
      <c r="L706" s="77">
        <v>2</v>
      </c>
      <c r="M706" s="138">
        <f t="shared" si="46"/>
        <v>52000</v>
      </c>
      <c r="N706" s="130"/>
      <c r="O706" s="138"/>
      <c r="P706" s="77"/>
      <c r="Q706" s="138"/>
      <c r="R706" s="77"/>
    </row>
    <row r="707" ht="15.75" spans="1:18">
      <c r="A707" s="12">
        <v>3</v>
      </c>
      <c r="B707" s="157" t="s">
        <v>1227</v>
      </c>
      <c r="C707" s="157" t="s">
        <v>1225</v>
      </c>
      <c r="D707" s="197">
        <v>2</v>
      </c>
      <c r="E707" s="169">
        <v>26000</v>
      </c>
      <c r="F707" s="150">
        <f t="shared" si="45"/>
        <v>52000</v>
      </c>
      <c r="G707" s="156" t="s">
        <v>104</v>
      </c>
      <c r="H707" s="156" t="s">
        <v>729</v>
      </c>
      <c r="I707" s="156" t="s">
        <v>778</v>
      </c>
      <c r="J707" s="130"/>
      <c r="K707" s="138"/>
      <c r="L707" s="77">
        <v>2</v>
      </c>
      <c r="M707" s="138">
        <f t="shared" si="46"/>
        <v>52000</v>
      </c>
      <c r="N707" s="130"/>
      <c r="O707" s="138"/>
      <c r="P707" s="77"/>
      <c r="Q707" s="138"/>
      <c r="R707" s="77"/>
    </row>
    <row r="708" ht="15.75" spans="1:18">
      <c r="A708" s="12">
        <v>4</v>
      </c>
      <c r="B708" s="157" t="s">
        <v>1228</v>
      </c>
      <c r="C708" s="191" t="s">
        <v>1225</v>
      </c>
      <c r="D708" s="197">
        <v>2</v>
      </c>
      <c r="E708" s="169">
        <v>26000</v>
      </c>
      <c r="F708" s="150">
        <f t="shared" si="45"/>
        <v>52000</v>
      </c>
      <c r="G708" s="156" t="s">
        <v>104</v>
      </c>
      <c r="H708" s="156" t="s">
        <v>729</v>
      </c>
      <c r="I708" s="156" t="s">
        <v>778</v>
      </c>
      <c r="J708" s="130"/>
      <c r="K708" s="138"/>
      <c r="L708" s="77">
        <v>2</v>
      </c>
      <c r="M708" s="138">
        <f t="shared" si="46"/>
        <v>52000</v>
      </c>
      <c r="N708" s="130"/>
      <c r="O708" s="138"/>
      <c r="P708" s="77"/>
      <c r="Q708" s="138"/>
      <c r="R708" s="77"/>
    </row>
    <row r="709" ht="15.75" spans="1:18">
      <c r="A709" s="12">
        <v>5</v>
      </c>
      <c r="B709" s="157" t="s">
        <v>1229</v>
      </c>
      <c r="C709" s="191" t="s">
        <v>1225</v>
      </c>
      <c r="D709" s="197">
        <v>3</v>
      </c>
      <c r="E709" s="169">
        <v>8500</v>
      </c>
      <c r="F709" s="150">
        <f t="shared" si="45"/>
        <v>25500</v>
      </c>
      <c r="G709" s="156" t="s">
        <v>104</v>
      </c>
      <c r="H709" s="156" t="s">
        <v>729</v>
      </c>
      <c r="I709" s="156" t="s">
        <v>778</v>
      </c>
      <c r="J709" s="130"/>
      <c r="K709" s="138"/>
      <c r="L709" s="77">
        <v>3</v>
      </c>
      <c r="M709" s="138">
        <f t="shared" si="46"/>
        <v>25500</v>
      </c>
      <c r="N709" s="130"/>
      <c r="O709" s="138"/>
      <c r="P709" s="77"/>
      <c r="Q709" s="138"/>
      <c r="R709" s="77"/>
    </row>
    <row r="710" ht="15.75" spans="1:18">
      <c r="A710" s="12">
        <v>6</v>
      </c>
      <c r="B710" s="157" t="s">
        <v>1230</v>
      </c>
      <c r="C710" s="191" t="s">
        <v>1225</v>
      </c>
      <c r="D710" s="197">
        <v>3</v>
      </c>
      <c r="E710" s="169">
        <v>8500</v>
      </c>
      <c r="F710" s="150">
        <f t="shared" si="45"/>
        <v>25500</v>
      </c>
      <c r="G710" s="156" t="s">
        <v>104</v>
      </c>
      <c r="H710" s="156" t="s">
        <v>729</v>
      </c>
      <c r="I710" s="156" t="s">
        <v>778</v>
      </c>
      <c r="J710" s="130"/>
      <c r="K710" s="138"/>
      <c r="L710" s="77">
        <v>3</v>
      </c>
      <c r="M710" s="138">
        <f t="shared" si="46"/>
        <v>25500</v>
      </c>
      <c r="N710" s="130"/>
      <c r="O710" s="138"/>
      <c r="P710" s="77"/>
      <c r="Q710" s="138"/>
      <c r="R710" s="77"/>
    </row>
    <row r="711" ht="15.75" spans="1:18">
      <c r="A711" s="12">
        <v>7</v>
      </c>
      <c r="B711" s="157" t="s">
        <v>1231</v>
      </c>
      <c r="C711" s="191" t="s">
        <v>1225</v>
      </c>
      <c r="D711" s="197">
        <v>3</v>
      </c>
      <c r="E711" s="169">
        <v>8500</v>
      </c>
      <c r="F711" s="150">
        <f t="shared" si="45"/>
        <v>25500</v>
      </c>
      <c r="G711" s="156" t="s">
        <v>104</v>
      </c>
      <c r="H711" s="156" t="s">
        <v>729</v>
      </c>
      <c r="I711" s="156" t="s">
        <v>778</v>
      </c>
      <c r="J711" s="130"/>
      <c r="K711" s="138"/>
      <c r="L711" s="77">
        <v>3</v>
      </c>
      <c r="M711" s="138">
        <f t="shared" si="46"/>
        <v>25500</v>
      </c>
      <c r="N711" s="130"/>
      <c r="O711" s="138"/>
      <c r="P711" s="77"/>
      <c r="Q711" s="138"/>
      <c r="R711" s="77"/>
    </row>
    <row r="712" ht="15.75" spans="1:18">
      <c r="A712" s="12">
        <v>8</v>
      </c>
      <c r="B712" s="157" t="s">
        <v>1232</v>
      </c>
      <c r="C712" s="191" t="s">
        <v>1225</v>
      </c>
      <c r="D712" s="197">
        <v>3</v>
      </c>
      <c r="E712" s="169">
        <v>8500</v>
      </c>
      <c r="F712" s="150">
        <f t="shared" si="45"/>
        <v>25500</v>
      </c>
      <c r="G712" s="156" t="s">
        <v>104</v>
      </c>
      <c r="H712" s="156" t="s">
        <v>729</v>
      </c>
      <c r="I712" s="156" t="s">
        <v>778</v>
      </c>
      <c r="J712" s="130"/>
      <c r="K712" s="138"/>
      <c r="L712" s="77">
        <v>3</v>
      </c>
      <c r="M712" s="138">
        <f t="shared" si="46"/>
        <v>25500</v>
      </c>
      <c r="N712" s="130"/>
      <c r="O712" s="138"/>
      <c r="P712" s="77"/>
      <c r="Q712" s="138"/>
      <c r="R712" s="77"/>
    </row>
    <row r="713" ht="15.75" spans="1:18">
      <c r="A713" s="12">
        <v>9</v>
      </c>
      <c r="B713" s="157" t="s">
        <v>1233</v>
      </c>
      <c r="C713" s="191" t="s">
        <v>1225</v>
      </c>
      <c r="D713" s="197">
        <v>3</v>
      </c>
      <c r="E713" s="169">
        <v>8500</v>
      </c>
      <c r="F713" s="150">
        <f t="shared" si="45"/>
        <v>25500</v>
      </c>
      <c r="G713" s="156" t="s">
        <v>104</v>
      </c>
      <c r="H713" s="156" t="s">
        <v>729</v>
      </c>
      <c r="I713" s="156" t="s">
        <v>778</v>
      </c>
      <c r="J713" s="130"/>
      <c r="K713" s="138"/>
      <c r="L713" s="77">
        <v>3</v>
      </c>
      <c r="M713" s="138">
        <f t="shared" si="46"/>
        <v>25500</v>
      </c>
      <c r="N713" s="130"/>
      <c r="O713" s="138"/>
      <c r="P713" s="77"/>
      <c r="Q713" s="138"/>
      <c r="R713" s="77"/>
    </row>
    <row r="714" ht="15.75" spans="1:18">
      <c r="A714" s="12">
        <v>10</v>
      </c>
      <c r="B714" s="157" t="s">
        <v>1234</v>
      </c>
      <c r="C714" s="191" t="s">
        <v>1225</v>
      </c>
      <c r="D714" s="197">
        <v>3</v>
      </c>
      <c r="E714" s="169">
        <v>8500</v>
      </c>
      <c r="F714" s="150">
        <f t="shared" si="45"/>
        <v>25500</v>
      </c>
      <c r="G714" s="156" t="s">
        <v>104</v>
      </c>
      <c r="H714" s="156" t="s">
        <v>729</v>
      </c>
      <c r="I714" s="156" t="s">
        <v>778</v>
      </c>
      <c r="J714" s="130"/>
      <c r="K714" s="138"/>
      <c r="L714" s="77">
        <v>3</v>
      </c>
      <c r="M714" s="138">
        <f t="shared" si="46"/>
        <v>25500</v>
      </c>
      <c r="N714" s="130"/>
      <c r="O714" s="138"/>
      <c r="P714" s="77"/>
      <c r="Q714" s="138"/>
      <c r="R714" s="77"/>
    </row>
    <row r="715" ht="15.75" spans="1:18">
      <c r="A715" s="12">
        <v>11</v>
      </c>
      <c r="B715" s="157" t="s">
        <v>1235</v>
      </c>
      <c r="C715" s="191" t="s">
        <v>1225</v>
      </c>
      <c r="D715" s="197">
        <v>3</v>
      </c>
      <c r="E715" s="169">
        <v>8500</v>
      </c>
      <c r="F715" s="150">
        <f t="shared" si="45"/>
        <v>25500</v>
      </c>
      <c r="G715" s="156" t="s">
        <v>104</v>
      </c>
      <c r="H715" s="156" t="s">
        <v>729</v>
      </c>
      <c r="I715" s="156" t="s">
        <v>778</v>
      </c>
      <c r="J715" s="130"/>
      <c r="K715" s="138"/>
      <c r="L715" s="77">
        <v>3</v>
      </c>
      <c r="M715" s="138">
        <f t="shared" si="46"/>
        <v>25500</v>
      </c>
      <c r="N715" s="130"/>
      <c r="O715" s="138"/>
      <c r="P715" s="77"/>
      <c r="Q715" s="138"/>
      <c r="R715" s="77"/>
    </row>
    <row r="716" ht="15.75" spans="1:18">
      <c r="A716" s="12">
        <v>12</v>
      </c>
      <c r="B716" s="157" t="s">
        <v>1236</v>
      </c>
      <c r="C716" s="191" t="s">
        <v>1225</v>
      </c>
      <c r="D716" s="197">
        <v>3</v>
      </c>
      <c r="E716" s="169">
        <v>8500</v>
      </c>
      <c r="F716" s="150">
        <f t="shared" si="45"/>
        <v>25500</v>
      </c>
      <c r="G716" s="156" t="s">
        <v>104</v>
      </c>
      <c r="H716" s="156" t="s">
        <v>729</v>
      </c>
      <c r="I716" s="156" t="s">
        <v>778</v>
      </c>
      <c r="J716" s="130"/>
      <c r="K716" s="138"/>
      <c r="L716" s="77">
        <v>3</v>
      </c>
      <c r="M716" s="138">
        <f t="shared" si="46"/>
        <v>25500</v>
      </c>
      <c r="N716" s="130"/>
      <c r="O716" s="138"/>
      <c r="P716" s="77"/>
      <c r="Q716" s="138"/>
      <c r="R716" s="77"/>
    </row>
    <row r="717" ht="15.75" spans="1:18">
      <c r="A717" s="12">
        <v>13</v>
      </c>
      <c r="B717" s="157" t="s">
        <v>1237</v>
      </c>
      <c r="C717" s="191" t="s">
        <v>972</v>
      </c>
      <c r="D717" s="197">
        <v>2</v>
      </c>
      <c r="E717" s="169">
        <v>23500</v>
      </c>
      <c r="F717" s="150">
        <f t="shared" si="45"/>
        <v>47000</v>
      </c>
      <c r="G717" s="156" t="s">
        <v>104</v>
      </c>
      <c r="H717" s="156" t="s">
        <v>729</v>
      </c>
      <c r="I717" s="156" t="s">
        <v>778</v>
      </c>
      <c r="J717" s="130"/>
      <c r="K717" s="138"/>
      <c r="L717" s="77">
        <v>2</v>
      </c>
      <c r="M717" s="138">
        <f t="shared" si="46"/>
        <v>47000</v>
      </c>
      <c r="N717" s="130"/>
      <c r="O717" s="138"/>
      <c r="P717" s="77"/>
      <c r="Q717" s="138"/>
      <c r="R717" s="77"/>
    </row>
    <row r="718" ht="15.75" spans="1:18">
      <c r="A718" s="12">
        <v>14</v>
      </c>
      <c r="B718" s="157" t="s">
        <v>1238</v>
      </c>
      <c r="C718" s="191" t="s">
        <v>1239</v>
      </c>
      <c r="D718" s="197">
        <v>20</v>
      </c>
      <c r="E718" s="209">
        <v>950</v>
      </c>
      <c r="F718" s="150">
        <f t="shared" si="45"/>
        <v>19000</v>
      </c>
      <c r="G718" s="156" t="s">
        <v>104</v>
      </c>
      <c r="H718" s="156" t="s">
        <v>729</v>
      </c>
      <c r="I718" s="156" t="s">
        <v>778</v>
      </c>
      <c r="J718" s="130">
        <v>10</v>
      </c>
      <c r="K718" s="138">
        <f>E718*J718</f>
        <v>9500</v>
      </c>
      <c r="L718" s="77"/>
      <c r="M718" s="138"/>
      <c r="N718" s="130">
        <v>10</v>
      </c>
      <c r="O718" s="138">
        <f>E718*N718</f>
        <v>9500</v>
      </c>
      <c r="P718" s="77"/>
      <c r="Q718" s="138"/>
      <c r="R718" s="77"/>
    </row>
    <row r="719" ht="15.75" spans="1:18">
      <c r="A719" s="12">
        <v>15</v>
      </c>
      <c r="B719" s="157" t="s">
        <v>1240</v>
      </c>
      <c r="C719" s="191" t="s">
        <v>972</v>
      </c>
      <c r="D719" s="197">
        <v>4</v>
      </c>
      <c r="E719" s="209">
        <v>700</v>
      </c>
      <c r="F719" s="150">
        <f t="shared" si="45"/>
        <v>2800</v>
      </c>
      <c r="G719" s="156" t="s">
        <v>104</v>
      </c>
      <c r="H719" s="156" t="s">
        <v>729</v>
      </c>
      <c r="I719" s="156" t="s">
        <v>778</v>
      </c>
      <c r="J719" s="130">
        <v>2</v>
      </c>
      <c r="K719" s="138">
        <f>E719*J719</f>
        <v>1400</v>
      </c>
      <c r="L719" s="77"/>
      <c r="M719" s="138"/>
      <c r="N719" s="130">
        <v>2</v>
      </c>
      <c r="O719" s="138">
        <f>E719*N719</f>
        <v>1400</v>
      </c>
      <c r="P719" s="77"/>
      <c r="Q719" s="138"/>
      <c r="R719" s="77"/>
    </row>
    <row r="720" ht="15.75" spans="1:18">
      <c r="A720" s="12">
        <v>16</v>
      </c>
      <c r="B720" s="157" t="s">
        <v>1241</v>
      </c>
      <c r="C720" s="191" t="s">
        <v>972</v>
      </c>
      <c r="D720" s="197">
        <v>10</v>
      </c>
      <c r="E720" s="209">
        <v>1200</v>
      </c>
      <c r="F720" s="150">
        <f t="shared" si="45"/>
        <v>12000</v>
      </c>
      <c r="G720" s="156" t="s">
        <v>104</v>
      </c>
      <c r="H720" s="156" t="s">
        <v>729</v>
      </c>
      <c r="I720" s="156" t="s">
        <v>778</v>
      </c>
      <c r="J720" s="130">
        <v>5</v>
      </c>
      <c r="K720" s="138">
        <f>E720*J720</f>
        <v>6000</v>
      </c>
      <c r="L720" s="77"/>
      <c r="M720" s="138"/>
      <c r="N720" s="130">
        <v>5</v>
      </c>
      <c r="O720" s="138">
        <f>E720*N720</f>
        <v>6000</v>
      </c>
      <c r="P720" s="77"/>
      <c r="Q720" s="138"/>
      <c r="R720" s="77"/>
    </row>
    <row r="721" ht="15.75" spans="1:18">
      <c r="A721" s="12">
        <v>17</v>
      </c>
      <c r="B721" s="157" t="s">
        <v>1242</v>
      </c>
      <c r="C721" s="191" t="s">
        <v>919</v>
      </c>
      <c r="D721" s="197">
        <v>24</v>
      </c>
      <c r="E721" s="209">
        <v>350</v>
      </c>
      <c r="F721" s="150">
        <f t="shared" si="45"/>
        <v>8400</v>
      </c>
      <c r="G721" s="156" t="s">
        <v>104</v>
      </c>
      <c r="H721" s="156" t="s">
        <v>729</v>
      </c>
      <c r="I721" s="156" t="s">
        <v>778</v>
      </c>
      <c r="J721" s="130">
        <v>12</v>
      </c>
      <c r="K721" s="138">
        <f>E721*J721</f>
        <v>4200</v>
      </c>
      <c r="L721" s="77"/>
      <c r="M721" s="138"/>
      <c r="N721" s="130">
        <v>12</v>
      </c>
      <c r="O721" s="138">
        <f>E721*N721</f>
        <v>4200</v>
      </c>
      <c r="P721" s="77"/>
      <c r="Q721" s="138"/>
      <c r="R721" s="77"/>
    </row>
    <row r="722" ht="15.75" spans="1:18">
      <c r="A722" s="12">
        <v>18</v>
      </c>
      <c r="B722" s="157" t="s">
        <v>1243</v>
      </c>
      <c r="C722" s="191" t="s">
        <v>919</v>
      </c>
      <c r="D722" s="197">
        <v>40</v>
      </c>
      <c r="E722" s="209">
        <v>250</v>
      </c>
      <c r="F722" s="150">
        <f t="shared" si="45"/>
        <v>10000</v>
      </c>
      <c r="G722" s="156" t="s">
        <v>104</v>
      </c>
      <c r="H722" s="156" t="s">
        <v>729</v>
      </c>
      <c r="I722" s="156" t="s">
        <v>778</v>
      </c>
      <c r="J722" s="130">
        <v>20</v>
      </c>
      <c r="K722" s="138">
        <f>E722*J722</f>
        <v>5000</v>
      </c>
      <c r="L722" s="77"/>
      <c r="M722" s="138"/>
      <c r="N722" s="130">
        <v>20</v>
      </c>
      <c r="O722" s="138">
        <f>E722*N722</f>
        <v>5000</v>
      </c>
      <c r="P722" s="77"/>
      <c r="Q722" s="138"/>
      <c r="R722" s="77"/>
    </row>
    <row r="723" ht="15.75" spans="1:18">
      <c r="A723" s="12"/>
      <c r="B723" s="175" t="s">
        <v>22</v>
      </c>
      <c r="C723" s="157"/>
      <c r="D723" s="157"/>
      <c r="E723" s="157"/>
      <c r="F723" s="158">
        <f>SUM(F705:F722)</f>
        <v>497200</v>
      </c>
      <c r="G723" s="157"/>
      <c r="H723" s="157"/>
      <c r="I723" s="157"/>
      <c r="J723" s="77"/>
      <c r="K723" s="77"/>
      <c r="L723" s="77"/>
      <c r="M723" s="77"/>
      <c r="N723" s="77"/>
      <c r="O723" s="77"/>
      <c r="P723" s="77"/>
      <c r="Q723" s="77"/>
      <c r="R723" s="77"/>
    </row>
    <row r="724" ht="15.75" spans="1:18">
      <c r="A724" s="11"/>
      <c r="B724" s="11"/>
      <c r="C724" s="129"/>
      <c r="D724" s="174"/>
      <c r="E724" s="174"/>
      <c r="F724" s="77"/>
      <c r="G724" s="77"/>
      <c r="H724" s="14"/>
      <c r="I724" s="14"/>
      <c r="J724" s="73"/>
      <c r="K724" s="73"/>
      <c r="L724" s="73"/>
      <c r="M724" s="73"/>
      <c r="N724" s="73"/>
      <c r="O724" s="73"/>
      <c r="P724" s="73"/>
      <c r="Q724" s="73"/>
      <c r="R724" s="73"/>
    </row>
    <row r="725" ht="15.75" spans="1:18">
      <c r="A725" s="12">
        <v>38</v>
      </c>
      <c r="B725" s="195" t="s">
        <v>1244</v>
      </c>
      <c r="C725" s="191"/>
      <c r="D725" s="195"/>
      <c r="E725" s="210"/>
      <c r="F725" s="150"/>
      <c r="G725" s="156"/>
      <c r="H725" s="156"/>
      <c r="I725" s="156"/>
      <c r="J725" s="200"/>
      <c r="K725" s="138"/>
      <c r="L725" s="200"/>
      <c r="M725" s="138"/>
      <c r="N725" s="200"/>
      <c r="O725" s="138"/>
      <c r="P725" s="200"/>
      <c r="Q725" s="138"/>
      <c r="R725" s="91"/>
    </row>
    <row r="726" ht="15.75" spans="1:18">
      <c r="A726" s="11">
        <v>1</v>
      </c>
      <c r="B726" s="157" t="s">
        <v>1245</v>
      </c>
      <c r="C726" s="191" t="s">
        <v>972</v>
      </c>
      <c r="D726" s="197">
        <v>2</v>
      </c>
      <c r="E726" s="169">
        <v>21500</v>
      </c>
      <c r="F726" s="150">
        <f t="shared" ref="F726:F733" si="47">D726*E726</f>
        <v>43000</v>
      </c>
      <c r="G726" s="156" t="s">
        <v>104</v>
      </c>
      <c r="H726" s="156" t="s">
        <v>729</v>
      </c>
      <c r="I726" s="156" t="s">
        <v>778</v>
      </c>
      <c r="J726" s="130"/>
      <c r="K726" s="138"/>
      <c r="L726" s="77">
        <v>2</v>
      </c>
      <c r="M726" s="138">
        <f t="shared" ref="M726:M733" si="48">E726*L726</f>
        <v>43000</v>
      </c>
      <c r="N726" s="130"/>
      <c r="O726" s="138"/>
      <c r="P726" s="77"/>
      <c r="Q726" s="138"/>
      <c r="R726" s="73"/>
    </row>
    <row r="727" ht="15.75" spans="1:18">
      <c r="A727" s="11">
        <v>2</v>
      </c>
      <c r="B727" s="157" t="s">
        <v>1246</v>
      </c>
      <c r="C727" s="191" t="s">
        <v>914</v>
      </c>
      <c r="D727" s="197">
        <v>1</v>
      </c>
      <c r="E727" s="169">
        <v>19850</v>
      </c>
      <c r="F727" s="150">
        <f t="shared" si="47"/>
        <v>19850</v>
      </c>
      <c r="G727" s="156" t="s">
        <v>104</v>
      </c>
      <c r="H727" s="156" t="s">
        <v>729</v>
      </c>
      <c r="I727" s="156" t="s">
        <v>778</v>
      </c>
      <c r="J727" s="130"/>
      <c r="K727" s="138"/>
      <c r="L727" s="77">
        <v>1</v>
      </c>
      <c r="M727" s="138">
        <f t="shared" si="48"/>
        <v>19850</v>
      </c>
      <c r="N727" s="130"/>
      <c r="O727" s="138"/>
      <c r="P727" s="77"/>
      <c r="Q727" s="138"/>
      <c r="R727" s="77"/>
    </row>
    <row r="728" ht="15.75" spans="1:18">
      <c r="A728" s="11">
        <v>3</v>
      </c>
      <c r="B728" s="157" t="s">
        <v>1247</v>
      </c>
      <c r="C728" s="191" t="s">
        <v>914</v>
      </c>
      <c r="D728" s="197">
        <v>1</v>
      </c>
      <c r="E728" s="169">
        <v>21500</v>
      </c>
      <c r="F728" s="150">
        <f t="shared" si="47"/>
        <v>21500</v>
      </c>
      <c r="G728" s="156" t="s">
        <v>104</v>
      </c>
      <c r="H728" s="156" t="s">
        <v>729</v>
      </c>
      <c r="I728" s="156" t="s">
        <v>778</v>
      </c>
      <c r="J728" s="130"/>
      <c r="K728" s="138"/>
      <c r="L728" s="77">
        <v>1</v>
      </c>
      <c r="M728" s="138">
        <f t="shared" si="48"/>
        <v>21500</v>
      </c>
      <c r="N728" s="130"/>
      <c r="O728" s="138"/>
      <c r="P728" s="77"/>
      <c r="Q728" s="138"/>
      <c r="R728" s="77"/>
    </row>
    <row r="729" ht="15.75" spans="1:18">
      <c r="A729" s="11">
        <v>4</v>
      </c>
      <c r="B729" s="157" t="s">
        <v>1248</v>
      </c>
      <c r="C729" s="191" t="s">
        <v>972</v>
      </c>
      <c r="D729" s="197">
        <v>1</v>
      </c>
      <c r="E729" s="169">
        <v>18900</v>
      </c>
      <c r="F729" s="150">
        <f t="shared" si="47"/>
        <v>18900</v>
      </c>
      <c r="G729" s="156" t="s">
        <v>104</v>
      </c>
      <c r="H729" s="156" t="s">
        <v>729</v>
      </c>
      <c r="I729" s="156" t="s">
        <v>778</v>
      </c>
      <c r="J729" s="130"/>
      <c r="K729" s="138"/>
      <c r="L729" s="77">
        <v>1</v>
      </c>
      <c r="M729" s="138">
        <f t="shared" si="48"/>
        <v>18900</v>
      </c>
      <c r="N729" s="130"/>
      <c r="O729" s="138"/>
      <c r="P729" s="77"/>
      <c r="Q729" s="138"/>
      <c r="R729" s="91"/>
    </row>
    <row r="730" ht="15.75" spans="1:18">
      <c r="A730" s="11">
        <v>5</v>
      </c>
      <c r="B730" s="157" t="s">
        <v>1249</v>
      </c>
      <c r="C730" s="191" t="s">
        <v>914</v>
      </c>
      <c r="D730" s="197">
        <v>1</v>
      </c>
      <c r="E730" s="169">
        <v>19500</v>
      </c>
      <c r="F730" s="150">
        <f t="shared" si="47"/>
        <v>19500</v>
      </c>
      <c r="G730" s="156" t="s">
        <v>104</v>
      </c>
      <c r="H730" s="156" t="s">
        <v>729</v>
      </c>
      <c r="I730" s="156" t="s">
        <v>778</v>
      </c>
      <c r="J730" s="130"/>
      <c r="K730" s="138"/>
      <c r="L730" s="77">
        <v>1</v>
      </c>
      <c r="M730" s="138">
        <f t="shared" si="48"/>
        <v>19500</v>
      </c>
      <c r="N730" s="130"/>
      <c r="O730" s="138"/>
      <c r="P730" s="77"/>
      <c r="Q730" s="138"/>
      <c r="R730" s="91"/>
    </row>
    <row r="731" ht="15.75" spans="1:18">
      <c r="A731" s="11">
        <v>6</v>
      </c>
      <c r="B731" s="157" t="s">
        <v>1250</v>
      </c>
      <c r="C731" s="191" t="s">
        <v>1125</v>
      </c>
      <c r="D731" s="197">
        <v>2</v>
      </c>
      <c r="E731" s="169">
        <v>3200</v>
      </c>
      <c r="F731" s="150">
        <f t="shared" si="47"/>
        <v>6400</v>
      </c>
      <c r="G731" s="156" t="s">
        <v>104</v>
      </c>
      <c r="H731" s="156" t="s">
        <v>729</v>
      </c>
      <c r="I731" s="156" t="s">
        <v>778</v>
      </c>
      <c r="J731" s="130"/>
      <c r="K731" s="138"/>
      <c r="L731" s="77">
        <v>2</v>
      </c>
      <c r="M731" s="138">
        <f t="shared" si="48"/>
        <v>6400</v>
      </c>
      <c r="N731" s="130"/>
      <c r="O731" s="138"/>
      <c r="P731" s="77"/>
      <c r="Q731" s="138"/>
      <c r="R731" s="73"/>
    </row>
    <row r="732" ht="15.75" spans="1:18">
      <c r="A732" s="11">
        <v>7</v>
      </c>
      <c r="B732" s="157" t="s">
        <v>1251</v>
      </c>
      <c r="C732" s="191" t="s">
        <v>972</v>
      </c>
      <c r="D732" s="197">
        <v>20</v>
      </c>
      <c r="E732" s="169">
        <v>3200</v>
      </c>
      <c r="F732" s="150">
        <f t="shared" si="47"/>
        <v>64000</v>
      </c>
      <c r="G732" s="156" t="s">
        <v>104</v>
      </c>
      <c r="H732" s="156" t="s">
        <v>729</v>
      </c>
      <c r="I732" s="156" t="s">
        <v>778</v>
      </c>
      <c r="J732" s="130"/>
      <c r="K732" s="138"/>
      <c r="L732" s="77">
        <v>20</v>
      </c>
      <c r="M732" s="138">
        <f t="shared" si="48"/>
        <v>64000</v>
      </c>
      <c r="N732" s="130"/>
      <c r="O732" s="138"/>
      <c r="P732" s="77"/>
      <c r="Q732" s="138"/>
      <c r="R732" s="73"/>
    </row>
    <row r="733" ht="15.75" spans="1:18">
      <c r="A733" s="11">
        <v>8</v>
      </c>
      <c r="B733" s="157" t="s">
        <v>1252</v>
      </c>
      <c r="C733" s="191" t="s">
        <v>972</v>
      </c>
      <c r="D733" s="197">
        <v>3</v>
      </c>
      <c r="E733" s="169">
        <v>2150</v>
      </c>
      <c r="F733" s="150">
        <f t="shared" si="47"/>
        <v>6450</v>
      </c>
      <c r="G733" s="156" t="s">
        <v>104</v>
      </c>
      <c r="H733" s="156" t="s">
        <v>729</v>
      </c>
      <c r="I733" s="156" t="s">
        <v>778</v>
      </c>
      <c r="J733" s="130"/>
      <c r="K733" s="138"/>
      <c r="L733" s="77">
        <v>3</v>
      </c>
      <c r="M733" s="138">
        <f t="shared" si="48"/>
        <v>6450</v>
      </c>
      <c r="N733" s="130"/>
      <c r="O733" s="138"/>
      <c r="P733" s="77"/>
      <c r="Q733" s="138"/>
      <c r="R733" s="73"/>
    </row>
    <row r="734" ht="15.75" spans="1:18">
      <c r="A734" s="11"/>
      <c r="B734" s="157"/>
      <c r="C734" s="191"/>
      <c r="D734" s="197"/>
      <c r="E734" s="169"/>
      <c r="F734" s="150"/>
      <c r="G734" s="156"/>
      <c r="H734" s="156"/>
      <c r="I734" s="156"/>
      <c r="J734" s="130"/>
      <c r="K734" s="138"/>
      <c r="L734" s="77"/>
      <c r="M734" s="138"/>
      <c r="N734" s="130"/>
      <c r="O734" s="138"/>
      <c r="P734" s="77"/>
      <c r="Q734" s="138"/>
      <c r="R734" s="73"/>
    </row>
    <row r="735" ht="15.75" spans="1:18">
      <c r="A735" s="11"/>
      <c r="B735" s="175" t="s">
        <v>22</v>
      </c>
      <c r="C735" s="191"/>
      <c r="D735" s="197"/>
      <c r="E735" s="169"/>
      <c r="F735" s="159">
        <f>SUM(F726:F734)</f>
        <v>199600</v>
      </c>
      <c r="G735" s="156"/>
      <c r="H735" s="156"/>
      <c r="I735" s="156"/>
      <c r="J735" s="130"/>
      <c r="K735" s="138"/>
      <c r="L735" s="77"/>
      <c r="M735" s="138"/>
      <c r="N735" s="130"/>
      <c r="O735" s="138"/>
      <c r="P735" s="77"/>
      <c r="Q735" s="138"/>
      <c r="R735" s="73"/>
    </row>
    <row r="736" ht="15.75" spans="1:18">
      <c r="A736" s="11"/>
      <c r="B736" s="157"/>
      <c r="C736" s="191"/>
      <c r="D736" s="197"/>
      <c r="E736" s="169"/>
      <c r="F736" s="150"/>
      <c r="G736" s="156"/>
      <c r="H736" s="156"/>
      <c r="I736" s="156"/>
      <c r="J736" s="130"/>
      <c r="K736" s="138"/>
      <c r="L736" s="77"/>
      <c r="M736" s="138"/>
      <c r="N736" s="130"/>
      <c r="O736" s="138"/>
      <c r="P736" s="77"/>
      <c r="Q736" s="138"/>
      <c r="R736" s="73"/>
    </row>
    <row r="737" ht="15.75" spans="1:18">
      <c r="A737" s="12">
        <v>39</v>
      </c>
      <c r="B737" s="195" t="s">
        <v>488</v>
      </c>
      <c r="C737" s="191"/>
      <c r="D737" s="195"/>
      <c r="E737" s="196"/>
      <c r="F737" s="150"/>
      <c r="G737" s="156"/>
      <c r="H737" s="156"/>
      <c r="I737" s="156"/>
      <c r="J737" s="200"/>
      <c r="K737" s="138"/>
      <c r="L737" s="201"/>
      <c r="M737" s="138"/>
      <c r="N737" s="201"/>
      <c r="O737" s="138"/>
      <c r="P737" s="201"/>
      <c r="Q737" s="138"/>
      <c r="R737" s="73"/>
    </row>
    <row r="738" ht="15.75" spans="1:18">
      <c r="A738" s="11">
        <v>1</v>
      </c>
      <c r="B738" s="157" t="s">
        <v>1253</v>
      </c>
      <c r="C738" s="191" t="s">
        <v>1254</v>
      </c>
      <c r="D738" s="197">
        <v>4</v>
      </c>
      <c r="E738" s="198">
        <v>3800</v>
      </c>
      <c r="F738" s="150">
        <f>D738*E738</f>
        <v>15200</v>
      </c>
      <c r="G738" s="156" t="s">
        <v>104</v>
      </c>
      <c r="H738" s="156" t="s">
        <v>729</v>
      </c>
      <c r="I738" s="156" t="s">
        <v>778</v>
      </c>
      <c r="J738" s="130">
        <v>2</v>
      </c>
      <c r="K738" s="138">
        <f>E738*J738</f>
        <v>7600</v>
      </c>
      <c r="L738" s="78"/>
      <c r="M738" s="138"/>
      <c r="N738" s="131">
        <v>2</v>
      </c>
      <c r="O738" s="138">
        <f>E738*N738</f>
        <v>7600</v>
      </c>
      <c r="P738" s="78"/>
      <c r="Q738" s="138"/>
      <c r="R738" s="73"/>
    </row>
    <row r="739" ht="15.75" spans="1:18">
      <c r="A739" s="11">
        <v>2</v>
      </c>
      <c r="B739" s="157" t="s">
        <v>1255</v>
      </c>
      <c r="C739" s="191" t="s">
        <v>972</v>
      </c>
      <c r="D739" s="197">
        <v>8</v>
      </c>
      <c r="E739" s="198">
        <v>6400</v>
      </c>
      <c r="F739" s="150">
        <f>D739*E739</f>
        <v>51200</v>
      </c>
      <c r="G739" s="156" t="s">
        <v>104</v>
      </c>
      <c r="H739" s="156" t="s">
        <v>729</v>
      </c>
      <c r="I739" s="156" t="s">
        <v>778</v>
      </c>
      <c r="J739" s="130">
        <v>4</v>
      </c>
      <c r="K739" s="138">
        <f>E739*J739</f>
        <v>25600</v>
      </c>
      <c r="L739" s="78"/>
      <c r="M739" s="138"/>
      <c r="N739" s="131">
        <v>4</v>
      </c>
      <c r="O739" s="138">
        <f>E739*N739</f>
        <v>25600</v>
      </c>
      <c r="P739" s="78"/>
      <c r="Q739" s="138"/>
      <c r="R739" s="73"/>
    </row>
    <row r="740" ht="15.75" spans="1:18">
      <c r="A740" s="11">
        <v>3</v>
      </c>
      <c r="B740" s="157" t="s">
        <v>1256</v>
      </c>
      <c r="C740" s="191" t="s">
        <v>972</v>
      </c>
      <c r="D740" s="197">
        <v>1</v>
      </c>
      <c r="E740" s="167">
        <v>15650</v>
      </c>
      <c r="F740" s="150">
        <f>D740*E740</f>
        <v>15650</v>
      </c>
      <c r="G740" s="156" t="s">
        <v>104</v>
      </c>
      <c r="H740" s="156" t="s">
        <v>729</v>
      </c>
      <c r="I740" s="156" t="s">
        <v>778</v>
      </c>
      <c r="J740" s="130"/>
      <c r="K740" s="138"/>
      <c r="L740" s="78">
        <v>1</v>
      </c>
      <c r="M740" s="138">
        <f>E740*L740</f>
        <v>15650</v>
      </c>
      <c r="N740" s="131"/>
      <c r="O740" s="138">
        <f>E740*N740</f>
        <v>0</v>
      </c>
      <c r="P740" s="78"/>
      <c r="Q740" s="138"/>
      <c r="R740" s="73"/>
    </row>
    <row r="741" ht="15.75" spans="1:18">
      <c r="A741" s="11">
        <v>4</v>
      </c>
      <c r="B741" s="157" t="s">
        <v>1257</v>
      </c>
      <c r="C741" s="191" t="s">
        <v>972</v>
      </c>
      <c r="D741" s="197">
        <v>1</v>
      </c>
      <c r="E741" s="167">
        <v>18500</v>
      </c>
      <c r="F741" s="150">
        <f>D741*E741</f>
        <v>18500</v>
      </c>
      <c r="G741" s="156" t="s">
        <v>104</v>
      </c>
      <c r="H741" s="156" t="s">
        <v>729</v>
      </c>
      <c r="I741" s="156" t="s">
        <v>778</v>
      </c>
      <c r="J741" s="130"/>
      <c r="K741" s="138"/>
      <c r="L741" s="78">
        <v>1</v>
      </c>
      <c r="M741" s="138">
        <f>E741*L741</f>
        <v>18500</v>
      </c>
      <c r="N741" s="131"/>
      <c r="O741" s="138">
        <f>E741*N741</f>
        <v>0</v>
      </c>
      <c r="P741" s="78"/>
      <c r="Q741" s="138"/>
      <c r="R741" s="73"/>
    </row>
    <row r="742" ht="15.75" spans="1:18">
      <c r="A742" s="11">
        <v>5</v>
      </c>
      <c r="B742" s="157" t="s">
        <v>1258</v>
      </c>
      <c r="C742" s="191" t="s">
        <v>1259</v>
      </c>
      <c r="D742" s="197">
        <v>6</v>
      </c>
      <c r="E742" s="198">
        <v>4520</v>
      </c>
      <c r="F742" s="150">
        <f>D742*E742</f>
        <v>27120</v>
      </c>
      <c r="G742" s="156" t="s">
        <v>104</v>
      </c>
      <c r="H742" s="156" t="s">
        <v>729</v>
      </c>
      <c r="I742" s="156" t="s">
        <v>778</v>
      </c>
      <c r="J742" s="130">
        <v>3</v>
      </c>
      <c r="K742" s="138">
        <f>E742*J742</f>
        <v>13560</v>
      </c>
      <c r="L742" s="78"/>
      <c r="M742" s="138"/>
      <c r="N742" s="131">
        <v>3</v>
      </c>
      <c r="O742" s="138">
        <f>E742*N742</f>
        <v>13560</v>
      </c>
      <c r="P742" s="78"/>
      <c r="Q742" s="138"/>
      <c r="R742" s="73"/>
    </row>
    <row r="743" ht="15.75" spans="1:18">
      <c r="A743" s="11"/>
      <c r="B743" s="157"/>
      <c r="C743" s="157"/>
      <c r="D743" s="169"/>
      <c r="E743" s="169"/>
      <c r="F743" s="77"/>
      <c r="G743" s="77"/>
      <c r="H743" s="77"/>
      <c r="I743" s="77"/>
      <c r="J743" s="77"/>
      <c r="K743" s="77"/>
      <c r="L743" s="77"/>
      <c r="M743" s="77"/>
      <c r="N743" s="77"/>
      <c r="O743" s="77"/>
      <c r="P743" s="77"/>
      <c r="Q743" s="77"/>
      <c r="R743" s="91"/>
    </row>
    <row r="744" ht="15.75" spans="1:18">
      <c r="A744" s="11"/>
      <c r="B744" s="175" t="s">
        <v>22</v>
      </c>
      <c r="C744" s="175"/>
      <c r="D744" s="158"/>
      <c r="E744" s="169"/>
      <c r="F744" s="159">
        <f>SUM(F738:F743)</f>
        <v>127670</v>
      </c>
      <c r="G744" s="77"/>
      <c r="H744" s="77"/>
      <c r="I744" s="77"/>
      <c r="J744" s="73"/>
      <c r="K744" s="73"/>
      <c r="L744" s="73"/>
      <c r="M744" s="73"/>
      <c r="N744" s="73"/>
      <c r="O744" s="73"/>
      <c r="P744" s="73"/>
      <c r="Q744" s="73"/>
      <c r="R744" s="73"/>
    </row>
    <row r="745" ht="15.75" spans="1:18">
      <c r="A745" s="12">
        <v>40</v>
      </c>
      <c r="B745" s="175" t="s">
        <v>1260</v>
      </c>
      <c r="C745" s="157"/>
      <c r="D745" s="169"/>
      <c r="E745" s="169"/>
      <c r="F745" s="77"/>
      <c r="G745" s="77"/>
      <c r="H745" s="77"/>
      <c r="I745" s="77"/>
      <c r="J745" s="77"/>
      <c r="K745" s="77"/>
      <c r="L745" s="77"/>
      <c r="M745" s="77"/>
      <c r="N745" s="77"/>
      <c r="O745" s="77"/>
      <c r="P745" s="77"/>
      <c r="Q745" s="77"/>
      <c r="R745" s="91"/>
    </row>
    <row r="746" ht="15.75" spans="1:18">
      <c r="A746" s="11">
        <v>1</v>
      </c>
      <c r="B746" s="157" t="s">
        <v>1261</v>
      </c>
      <c r="C746" s="156" t="s">
        <v>972</v>
      </c>
      <c r="D746" s="197">
        <v>240</v>
      </c>
      <c r="E746" s="198">
        <v>1200</v>
      </c>
      <c r="F746" s="150">
        <f>D746*E746</f>
        <v>288000</v>
      </c>
      <c r="G746" s="156" t="s">
        <v>104</v>
      </c>
      <c r="H746" s="156" t="s">
        <v>729</v>
      </c>
      <c r="I746" s="156" t="s">
        <v>778</v>
      </c>
      <c r="J746" s="130">
        <v>60</v>
      </c>
      <c r="K746" s="138">
        <f>E746*J746</f>
        <v>72000</v>
      </c>
      <c r="L746" s="78">
        <v>60</v>
      </c>
      <c r="M746" s="138">
        <f>E746*L746</f>
        <v>72000</v>
      </c>
      <c r="N746" s="131">
        <v>60</v>
      </c>
      <c r="O746" s="138">
        <f>E746*N746</f>
        <v>72000</v>
      </c>
      <c r="P746" s="78">
        <v>60</v>
      </c>
      <c r="Q746" s="138">
        <f>E746*P746</f>
        <v>72000</v>
      </c>
      <c r="R746" s="73"/>
    </row>
    <row r="747" ht="15.75" spans="1:18">
      <c r="A747" s="11">
        <v>2</v>
      </c>
      <c r="B747" s="157" t="s">
        <v>1262</v>
      </c>
      <c r="C747" s="156" t="s">
        <v>972</v>
      </c>
      <c r="D747" s="197">
        <v>80</v>
      </c>
      <c r="E747" s="198">
        <v>1200</v>
      </c>
      <c r="F747" s="150">
        <f>D747*E747</f>
        <v>96000</v>
      </c>
      <c r="G747" s="156" t="s">
        <v>104</v>
      </c>
      <c r="H747" s="156" t="s">
        <v>729</v>
      </c>
      <c r="I747" s="156" t="s">
        <v>778</v>
      </c>
      <c r="J747" s="130">
        <v>20</v>
      </c>
      <c r="K747" s="138">
        <f>E747*J747</f>
        <v>24000</v>
      </c>
      <c r="L747" s="78">
        <v>20</v>
      </c>
      <c r="M747" s="138">
        <f>E747*L747</f>
        <v>24000</v>
      </c>
      <c r="N747" s="131">
        <v>20</v>
      </c>
      <c r="O747" s="138">
        <f>E747*N747</f>
        <v>24000</v>
      </c>
      <c r="P747" s="78">
        <v>20</v>
      </c>
      <c r="Q747" s="138">
        <f>E747*P747</f>
        <v>24000</v>
      </c>
      <c r="R747" s="77"/>
    </row>
    <row r="748" ht="15.75" spans="1:18">
      <c r="A748" s="11">
        <v>3</v>
      </c>
      <c r="B748" s="157" t="s">
        <v>1263</v>
      </c>
      <c r="C748" s="156" t="s">
        <v>972</v>
      </c>
      <c r="D748" s="197">
        <v>240</v>
      </c>
      <c r="E748" s="198">
        <v>550</v>
      </c>
      <c r="F748" s="150">
        <f>D748*E748</f>
        <v>132000</v>
      </c>
      <c r="G748" s="156" t="s">
        <v>104</v>
      </c>
      <c r="H748" s="156" t="s">
        <v>729</v>
      </c>
      <c r="I748" s="156" t="s">
        <v>778</v>
      </c>
      <c r="J748" s="130">
        <v>60</v>
      </c>
      <c r="K748" s="138">
        <f>E748*J748</f>
        <v>33000</v>
      </c>
      <c r="L748" s="78">
        <v>60</v>
      </c>
      <c r="M748" s="138">
        <f>E748*L748</f>
        <v>33000</v>
      </c>
      <c r="N748" s="131">
        <v>60</v>
      </c>
      <c r="O748" s="138">
        <f>E748*N748</f>
        <v>33000</v>
      </c>
      <c r="P748" s="78">
        <v>60</v>
      </c>
      <c r="Q748" s="138">
        <f>E748*P748</f>
        <v>33000</v>
      </c>
      <c r="R748" s="91"/>
    </row>
    <row r="749" ht="15.75" spans="1:18">
      <c r="A749" s="11">
        <v>4</v>
      </c>
      <c r="B749" s="157" t="s">
        <v>456</v>
      </c>
      <c r="C749" s="156" t="s">
        <v>972</v>
      </c>
      <c r="D749" s="197">
        <v>40</v>
      </c>
      <c r="E749" s="198">
        <v>2450</v>
      </c>
      <c r="F749" s="150">
        <f>D749*E749</f>
        <v>98000</v>
      </c>
      <c r="G749" s="156" t="s">
        <v>104</v>
      </c>
      <c r="H749" s="156" t="s">
        <v>729</v>
      </c>
      <c r="I749" s="156" t="s">
        <v>778</v>
      </c>
      <c r="J749" s="130">
        <v>20</v>
      </c>
      <c r="K749" s="138">
        <f>E749*J749</f>
        <v>49000</v>
      </c>
      <c r="L749" s="78">
        <v>10</v>
      </c>
      <c r="M749" s="138">
        <f>E749*L749</f>
        <v>24500</v>
      </c>
      <c r="N749" s="131">
        <v>5</v>
      </c>
      <c r="O749" s="138">
        <f>E749*N749</f>
        <v>12250</v>
      </c>
      <c r="P749" s="78">
        <v>5</v>
      </c>
      <c r="Q749" s="138">
        <f>E749*P749</f>
        <v>12250</v>
      </c>
      <c r="R749" s="73"/>
    </row>
    <row r="750" ht="15.75" spans="1:18">
      <c r="A750" s="11"/>
      <c r="B750" s="157"/>
      <c r="C750" s="175"/>
      <c r="D750" s="158"/>
      <c r="E750" s="169"/>
      <c r="F750" s="77"/>
      <c r="G750" s="77"/>
      <c r="H750" s="77"/>
      <c r="I750" s="77"/>
      <c r="J750" s="77"/>
      <c r="K750" s="77"/>
      <c r="L750" s="77"/>
      <c r="M750" s="77"/>
      <c r="N750" s="77"/>
      <c r="O750" s="77"/>
      <c r="P750" s="77"/>
      <c r="Q750" s="77"/>
      <c r="R750" s="91"/>
    </row>
    <row r="751" ht="15.75" spans="1:18">
      <c r="A751" s="11"/>
      <c r="B751" s="175" t="s">
        <v>22</v>
      </c>
      <c r="C751" s="129"/>
      <c r="D751" s="174"/>
      <c r="E751" s="174"/>
      <c r="F751" s="211">
        <f>SUM(F746:F750)</f>
        <v>614000</v>
      </c>
      <c r="G751" s="33"/>
      <c r="H751" s="33"/>
      <c r="I751" s="33"/>
      <c r="J751" s="33"/>
      <c r="K751" s="33"/>
      <c r="L751" s="33"/>
      <c r="M751" s="33"/>
      <c r="N751" s="33"/>
      <c r="O751" s="33"/>
      <c r="P751" s="33"/>
      <c r="Q751" s="77"/>
      <c r="R751" s="91"/>
    </row>
    <row r="752" ht="15.75" spans="1:18">
      <c r="A752" s="12">
        <v>41</v>
      </c>
      <c r="B752" s="175" t="s">
        <v>1264</v>
      </c>
      <c r="C752" s="157"/>
      <c r="D752" s="169"/>
      <c r="E752" s="169"/>
      <c r="F752" s="77"/>
      <c r="G752" s="77"/>
      <c r="H752" s="77"/>
      <c r="I752" s="77"/>
      <c r="J752" s="73"/>
      <c r="K752" s="73"/>
      <c r="L752" s="73"/>
      <c r="M752" s="73"/>
      <c r="N752" s="73"/>
      <c r="O752" s="73"/>
      <c r="P752" s="73"/>
      <c r="Q752" s="73"/>
      <c r="R752" s="73"/>
    </row>
    <row r="753" ht="15.75" spans="1:18">
      <c r="A753" s="11">
        <v>1</v>
      </c>
      <c r="B753" s="157" t="s">
        <v>544</v>
      </c>
      <c r="C753" s="193" t="s">
        <v>919</v>
      </c>
      <c r="D753" s="157">
        <v>5</v>
      </c>
      <c r="E753" s="167">
        <v>33000</v>
      </c>
      <c r="F753" s="150">
        <f>D753*E753</f>
        <v>165000</v>
      </c>
      <c r="G753" s="156" t="s">
        <v>104</v>
      </c>
      <c r="H753" s="156" t="s">
        <v>729</v>
      </c>
      <c r="I753" s="156" t="s">
        <v>778</v>
      </c>
      <c r="J753" s="77">
        <v>2</v>
      </c>
      <c r="K753" s="138">
        <f>E753*J753</f>
        <v>66000</v>
      </c>
      <c r="L753" s="78">
        <v>1</v>
      </c>
      <c r="M753" s="138">
        <f>E753*L753</f>
        <v>33000</v>
      </c>
      <c r="N753" s="78">
        <v>1</v>
      </c>
      <c r="O753" s="138">
        <f>E753*N753</f>
        <v>33000</v>
      </c>
      <c r="P753" s="78">
        <v>1</v>
      </c>
      <c r="Q753" s="138">
        <f>E753*P753</f>
        <v>33000</v>
      </c>
      <c r="R753" s="91"/>
    </row>
    <row r="754" ht="15.75" spans="1:18">
      <c r="A754" s="11">
        <v>2</v>
      </c>
      <c r="B754" s="157" t="s">
        <v>545</v>
      </c>
      <c r="C754" s="193" t="s">
        <v>919</v>
      </c>
      <c r="D754" s="157">
        <v>5</v>
      </c>
      <c r="E754" s="167">
        <v>2500</v>
      </c>
      <c r="F754" s="150">
        <f>D754*E754</f>
        <v>12500</v>
      </c>
      <c r="G754" s="156" t="s">
        <v>104</v>
      </c>
      <c r="H754" s="156" t="s">
        <v>729</v>
      </c>
      <c r="I754" s="156" t="s">
        <v>778</v>
      </c>
      <c r="J754" s="77">
        <v>2</v>
      </c>
      <c r="K754" s="138">
        <f>E754*J754</f>
        <v>5000</v>
      </c>
      <c r="L754" s="78">
        <v>1</v>
      </c>
      <c r="M754" s="138">
        <f>E754*L754</f>
        <v>2500</v>
      </c>
      <c r="N754" s="78">
        <v>1</v>
      </c>
      <c r="O754" s="138">
        <f>E754*N754</f>
        <v>2500</v>
      </c>
      <c r="P754" s="78">
        <v>1</v>
      </c>
      <c r="Q754" s="138">
        <f>E754*P754</f>
        <v>2500</v>
      </c>
      <c r="R754" s="73"/>
    </row>
    <row r="755" ht="15.75" spans="1:18">
      <c r="A755" s="11">
        <v>3</v>
      </c>
      <c r="B755" s="157" t="s">
        <v>546</v>
      </c>
      <c r="C755" s="193" t="s">
        <v>919</v>
      </c>
      <c r="D755" s="157">
        <v>9</v>
      </c>
      <c r="E755" s="167">
        <v>5000</v>
      </c>
      <c r="F755" s="150">
        <f>D755*E755</f>
        <v>45000</v>
      </c>
      <c r="G755" s="156" t="s">
        <v>104</v>
      </c>
      <c r="H755" s="156" t="s">
        <v>729</v>
      </c>
      <c r="I755" s="156" t="s">
        <v>778</v>
      </c>
      <c r="J755" s="77">
        <v>4</v>
      </c>
      <c r="K755" s="138">
        <f>E755*J755</f>
        <v>20000</v>
      </c>
      <c r="L755" s="78">
        <v>1</v>
      </c>
      <c r="M755" s="138">
        <f>E755*L755</f>
        <v>5000</v>
      </c>
      <c r="N755" s="78">
        <v>2</v>
      </c>
      <c r="O755" s="138">
        <f>E755*N755</f>
        <v>10000</v>
      </c>
      <c r="P755" s="78">
        <v>2</v>
      </c>
      <c r="Q755" s="138">
        <f>E755*P755</f>
        <v>10000</v>
      </c>
      <c r="R755" s="91"/>
    </row>
    <row r="756" ht="15.75" spans="1:18">
      <c r="A756" s="11">
        <v>4</v>
      </c>
      <c r="B756" s="157" t="s">
        <v>1265</v>
      </c>
      <c r="C756" s="157" t="s">
        <v>899</v>
      </c>
      <c r="D756" s="150" t="s">
        <v>1266</v>
      </c>
      <c r="E756" s="169">
        <v>23000</v>
      </c>
      <c r="F756" s="77">
        <v>276000</v>
      </c>
      <c r="G756" s="35" t="s">
        <v>43</v>
      </c>
      <c r="H756" s="35" t="s">
        <v>729</v>
      </c>
      <c r="I756" s="35" t="s">
        <v>778</v>
      </c>
      <c r="J756" s="77"/>
      <c r="K756" s="77">
        <v>69000</v>
      </c>
      <c r="L756" s="77"/>
      <c r="M756" s="77">
        <v>69000</v>
      </c>
      <c r="N756" s="91"/>
      <c r="O756" s="91">
        <v>69000</v>
      </c>
      <c r="P756" s="91"/>
      <c r="Q756" s="91">
        <v>69000</v>
      </c>
      <c r="R756" s="91"/>
    </row>
    <row r="757" ht="15.75" spans="1:18">
      <c r="A757" s="11"/>
      <c r="B757" s="157"/>
      <c r="C757" s="157"/>
      <c r="D757" s="169"/>
      <c r="E757" s="169"/>
      <c r="F757" s="77"/>
      <c r="G757" s="77"/>
      <c r="H757" s="35"/>
      <c r="I757" s="35"/>
      <c r="J757" s="77"/>
      <c r="K757" s="77"/>
      <c r="L757" s="77"/>
      <c r="M757" s="77"/>
      <c r="N757" s="77"/>
      <c r="O757" s="77"/>
      <c r="P757" s="77"/>
      <c r="Q757" s="77"/>
      <c r="R757" s="91"/>
    </row>
    <row r="758" ht="15.75" spans="1:18">
      <c r="A758" s="11"/>
      <c r="B758" s="175" t="s">
        <v>22</v>
      </c>
      <c r="C758" s="157"/>
      <c r="D758" s="169"/>
      <c r="E758" s="169"/>
      <c r="F758" s="159">
        <f>SUM(F753:F757)</f>
        <v>498500</v>
      </c>
      <c r="G758" s="77"/>
      <c r="H758" s="35"/>
      <c r="I758" s="35"/>
      <c r="J758" s="73"/>
      <c r="K758" s="73"/>
      <c r="L758" s="73"/>
      <c r="M758" s="73"/>
      <c r="N758" s="73"/>
      <c r="O758" s="73"/>
      <c r="P758" s="73"/>
      <c r="Q758" s="73"/>
      <c r="R758" s="212"/>
    </row>
    <row r="759" ht="15.75" spans="1:18">
      <c r="A759" s="12">
        <v>42</v>
      </c>
      <c r="B759" s="202" t="s">
        <v>1267</v>
      </c>
      <c r="C759" s="157"/>
      <c r="D759" s="169"/>
      <c r="E759" s="169"/>
      <c r="F759" s="77"/>
      <c r="G759" s="77"/>
      <c r="H759" s="35"/>
      <c r="I759" s="35"/>
      <c r="J759" s="73"/>
      <c r="K759" s="73"/>
      <c r="L759" s="73"/>
      <c r="M759" s="73"/>
      <c r="N759" s="73"/>
      <c r="O759" s="73"/>
      <c r="P759" s="73"/>
      <c r="Q759" s="73"/>
      <c r="R759" s="212"/>
    </row>
    <row r="760" ht="15.75" spans="1:18">
      <c r="A760" s="11"/>
      <c r="B760" s="157" t="s">
        <v>1268</v>
      </c>
      <c r="C760" s="157" t="s">
        <v>972</v>
      </c>
      <c r="D760" s="157">
        <v>2</v>
      </c>
      <c r="E760" s="167">
        <v>250</v>
      </c>
      <c r="F760" s="150">
        <f>D760*E760</f>
        <v>500</v>
      </c>
      <c r="G760" s="156" t="s">
        <v>104</v>
      </c>
      <c r="H760" s="155" t="s">
        <v>729</v>
      </c>
      <c r="I760" s="155" t="s">
        <v>778</v>
      </c>
      <c r="J760" s="77"/>
      <c r="K760" s="138"/>
      <c r="L760" s="78">
        <v>1</v>
      </c>
      <c r="M760" s="138">
        <f>E760*L760</f>
        <v>250</v>
      </c>
      <c r="N760" s="78"/>
      <c r="O760" s="138"/>
      <c r="P760" s="78">
        <v>1</v>
      </c>
      <c r="Q760" s="138">
        <f>E760*P760</f>
        <v>250</v>
      </c>
      <c r="R760" s="91"/>
    </row>
    <row r="761" ht="15.75" spans="1:18">
      <c r="A761" s="11"/>
      <c r="B761" s="157" t="s">
        <v>1269</v>
      </c>
      <c r="C761" s="157" t="s">
        <v>972</v>
      </c>
      <c r="D761" s="157">
        <v>2</v>
      </c>
      <c r="E761" s="167">
        <v>250</v>
      </c>
      <c r="F761" s="150">
        <f>D761*E761</f>
        <v>500</v>
      </c>
      <c r="G761" s="156" t="s">
        <v>104</v>
      </c>
      <c r="H761" s="155" t="s">
        <v>729</v>
      </c>
      <c r="I761" s="155" t="s">
        <v>778</v>
      </c>
      <c r="J761" s="77"/>
      <c r="K761" s="138"/>
      <c r="L761" s="78">
        <v>1</v>
      </c>
      <c r="M761" s="138">
        <f>E761*L761</f>
        <v>250</v>
      </c>
      <c r="N761" s="78"/>
      <c r="O761" s="138"/>
      <c r="P761" s="78">
        <v>1</v>
      </c>
      <c r="Q761" s="138">
        <f>E761*P761</f>
        <v>250</v>
      </c>
      <c r="R761" s="212"/>
    </row>
    <row r="762" ht="15.75" spans="1:18">
      <c r="A762" s="11"/>
      <c r="B762" s="157" t="s">
        <v>1270</v>
      </c>
      <c r="C762" s="157" t="s">
        <v>972</v>
      </c>
      <c r="D762" s="157">
        <v>2</v>
      </c>
      <c r="E762" s="167">
        <v>1250</v>
      </c>
      <c r="F762" s="150">
        <f>D762*E762</f>
        <v>2500</v>
      </c>
      <c r="G762" s="156" t="s">
        <v>104</v>
      </c>
      <c r="H762" s="155" t="s">
        <v>729</v>
      </c>
      <c r="I762" s="155" t="s">
        <v>778</v>
      </c>
      <c r="J762" s="77"/>
      <c r="K762" s="138"/>
      <c r="L762" s="78">
        <v>1</v>
      </c>
      <c r="M762" s="138">
        <f>E762*L762</f>
        <v>1250</v>
      </c>
      <c r="N762" s="78"/>
      <c r="O762" s="138"/>
      <c r="P762" s="78">
        <v>1</v>
      </c>
      <c r="Q762" s="138">
        <f>E762*P762</f>
        <v>1250</v>
      </c>
      <c r="R762" s="157"/>
    </row>
    <row r="763" ht="15.75" spans="1:18">
      <c r="A763" s="11"/>
      <c r="B763" s="157" t="s">
        <v>1271</v>
      </c>
      <c r="C763" s="157" t="s">
        <v>972</v>
      </c>
      <c r="D763" s="157">
        <v>2</v>
      </c>
      <c r="E763" s="167">
        <v>1250</v>
      </c>
      <c r="F763" s="150">
        <f>D763*E763</f>
        <v>2500</v>
      </c>
      <c r="G763" s="156" t="s">
        <v>104</v>
      </c>
      <c r="H763" s="155" t="s">
        <v>729</v>
      </c>
      <c r="I763" s="155" t="s">
        <v>778</v>
      </c>
      <c r="J763" s="77"/>
      <c r="K763" s="138"/>
      <c r="L763" s="78">
        <v>1</v>
      </c>
      <c r="M763" s="138">
        <f>E763*L763</f>
        <v>1250</v>
      </c>
      <c r="N763" s="78"/>
      <c r="O763" s="138"/>
      <c r="P763" s="78">
        <v>1</v>
      </c>
      <c r="Q763" s="138">
        <f>E763*P763</f>
        <v>1250</v>
      </c>
      <c r="R763" s="157"/>
    </row>
    <row r="764" ht="15.75" spans="1:18">
      <c r="A764" s="11"/>
      <c r="B764" s="157" t="s">
        <v>413</v>
      </c>
      <c r="C764" s="157" t="s">
        <v>919</v>
      </c>
      <c r="D764" s="157">
        <v>15</v>
      </c>
      <c r="E764" s="167">
        <v>50</v>
      </c>
      <c r="F764" s="150">
        <f>D764*E764</f>
        <v>750</v>
      </c>
      <c r="G764" s="156" t="s">
        <v>104</v>
      </c>
      <c r="H764" s="155" t="s">
        <v>729</v>
      </c>
      <c r="I764" s="155" t="s">
        <v>778</v>
      </c>
      <c r="J764" s="77"/>
      <c r="K764" s="138"/>
      <c r="L764" s="78">
        <v>10</v>
      </c>
      <c r="M764" s="138">
        <f>E764*L764</f>
        <v>500</v>
      </c>
      <c r="N764" s="78"/>
      <c r="O764" s="138"/>
      <c r="P764" s="78">
        <v>5</v>
      </c>
      <c r="Q764" s="138">
        <f>E764*P764</f>
        <v>250</v>
      </c>
      <c r="R764" s="157"/>
    </row>
    <row r="765" ht="15.75" spans="1:18">
      <c r="A765" s="11"/>
      <c r="B765" s="175" t="s">
        <v>22</v>
      </c>
      <c r="C765" s="157"/>
      <c r="D765" s="157"/>
      <c r="E765" s="167"/>
      <c r="F765" s="159">
        <f>SUM(F760:F764)</f>
        <v>6750</v>
      </c>
      <c r="G765" s="156"/>
      <c r="H765" s="155"/>
      <c r="I765" s="155"/>
      <c r="J765" s="77"/>
      <c r="K765" s="138"/>
      <c r="L765" s="78"/>
      <c r="M765" s="138"/>
      <c r="N765" s="78"/>
      <c r="O765" s="138"/>
      <c r="P765" s="78"/>
      <c r="Q765" s="138"/>
      <c r="R765" s="157"/>
    </row>
    <row r="766" ht="15.75" spans="1:18">
      <c r="A766" s="11"/>
      <c r="B766" s="157"/>
      <c r="C766" s="157"/>
      <c r="D766" s="157"/>
      <c r="E766" s="167"/>
      <c r="F766" s="150"/>
      <c r="G766" s="156"/>
      <c r="H766" s="155"/>
      <c r="I766" s="155"/>
      <c r="J766" s="77"/>
      <c r="K766" s="138"/>
      <c r="L766" s="78"/>
      <c r="M766" s="138"/>
      <c r="N766" s="78"/>
      <c r="O766" s="138"/>
      <c r="P766" s="78"/>
      <c r="Q766" s="138"/>
      <c r="R766" s="157"/>
    </row>
    <row r="767" ht="15.75" spans="1:18">
      <c r="A767" s="12">
        <v>43</v>
      </c>
      <c r="B767" s="175" t="s">
        <v>1272</v>
      </c>
      <c r="C767" s="157"/>
      <c r="D767" s="157"/>
      <c r="E767" s="157"/>
      <c r="F767" s="77"/>
      <c r="G767" s="77"/>
      <c r="H767" s="35"/>
      <c r="I767" s="35"/>
      <c r="J767" s="77"/>
      <c r="K767" s="77"/>
      <c r="L767" s="77"/>
      <c r="M767" s="77"/>
      <c r="N767" s="77"/>
      <c r="O767" s="77"/>
      <c r="P767" s="77"/>
      <c r="Q767" s="77"/>
      <c r="R767" s="91"/>
    </row>
    <row r="768" ht="15.75" spans="1:18">
      <c r="A768" s="11">
        <v>1</v>
      </c>
      <c r="B768" s="157" t="s">
        <v>1273</v>
      </c>
      <c r="C768" s="157" t="s">
        <v>1274</v>
      </c>
      <c r="D768" s="157">
        <v>320</v>
      </c>
      <c r="E768" s="167">
        <v>450</v>
      </c>
      <c r="F768" s="150">
        <f>D768*E768</f>
        <v>144000</v>
      </c>
      <c r="G768" s="156" t="s">
        <v>104</v>
      </c>
      <c r="H768" s="155" t="s">
        <v>729</v>
      </c>
      <c r="I768" s="155" t="s">
        <v>778</v>
      </c>
      <c r="J768" s="77">
        <v>80</v>
      </c>
      <c r="K768" s="138">
        <f>E768*J768</f>
        <v>36000</v>
      </c>
      <c r="L768" s="78">
        <v>80</v>
      </c>
      <c r="M768" s="138">
        <f>E768*L768</f>
        <v>36000</v>
      </c>
      <c r="N768" s="78">
        <v>80</v>
      </c>
      <c r="O768" s="138">
        <f>E768*N768</f>
        <v>36000</v>
      </c>
      <c r="P768" s="78">
        <v>80</v>
      </c>
      <c r="Q768" s="138">
        <f>E768*P768</f>
        <v>36000</v>
      </c>
      <c r="R768" s="91"/>
    </row>
    <row r="769" ht="15.75" spans="1:18">
      <c r="A769" s="11">
        <v>2</v>
      </c>
      <c r="B769" s="157" t="s">
        <v>1275</v>
      </c>
      <c r="C769" s="157" t="s">
        <v>1120</v>
      </c>
      <c r="D769" s="157">
        <v>80</v>
      </c>
      <c r="E769" s="167">
        <v>450</v>
      </c>
      <c r="F769" s="150">
        <f>D769*E769</f>
        <v>36000</v>
      </c>
      <c r="G769" s="156" t="s">
        <v>104</v>
      </c>
      <c r="H769" s="155" t="s">
        <v>729</v>
      </c>
      <c r="I769" s="155" t="s">
        <v>778</v>
      </c>
      <c r="J769" s="77">
        <v>20</v>
      </c>
      <c r="K769" s="138">
        <f>E769*J769</f>
        <v>9000</v>
      </c>
      <c r="L769" s="78">
        <v>20</v>
      </c>
      <c r="M769" s="138">
        <f>E769*L769</f>
        <v>9000</v>
      </c>
      <c r="N769" s="78">
        <v>20</v>
      </c>
      <c r="O769" s="138">
        <f>E769*N769</f>
        <v>9000</v>
      </c>
      <c r="P769" s="78">
        <v>20</v>
      </c>
      <c r="Q769" s="138">
        <f>E769*P769</f>
        <v>9000</v>
      </c>
      <c r="R769" s="212"/>
    </row>
    <row r="770" ht="15.75" spans="1:18">
      <c r="A770" s="11">
        <v>3</v>
      </c>
      <c r="B770" s="157" t="s">
        <v>1276</v>
      </c>
      <c r="C770" s="157" t="s">
        <v>1277</v>
      </c>
      <c r="D770" s="157">
        <v>200</v>
      </c>
      <c r="E770" s="167">
        <v>350</v>
      </c>
      <c r="F770" s="150">
        <f>D770*E770</f>
        <v>70000</v>
      </c>
      <c r="G770" s="156" t="s">
        <v>104</v>
      </c>
      <c r="H770" s="155" t="s">
        <v>729</v>
      </c>
      <c r="I770" s="155" t="s">
        <v>778</v>
      </c>
      <c r="J770" s="77">
        <v>50</v>
      </c>
      <c r="K770" s="138">
        <f>E770*J770</f>
        <v>17500</v>
      </c>
      <c r="L770" s="77">
        <v>50</v>
      </c>
      <c r="M770" s="138">
        <f>E770*L770</f>
        <v>17500</v>
      </c>
      <c r="N770" s="77">
        <v>50</v>
      </c>
      <c r="O770" s="138">
        <f>E770*N770</f>
        <v>17500</v>
      </c>
      <c r="P770" s="77">
        <v>50</v>
      </c>
      <c r="Q770" s="138">
        <f>E770*P770</f>
        <v>17500</v>
      </c>
      <c r="R770" s="212"/>
    </row>
    <row r="771" ht="15.75" spans="1:18">
      <c r="A771" s="11"/>
      <c r="B771" s="157"/>
      <c r="C771" s="157"/>
      <c r="D771" s="157"/>
      <c r="E771" s="167"/>
      <c r="F771" s="150"/>
      <c r="G771" s="156"/>
      <c r="H771" s="155"/>
      <c r="I771" s="155"/>
      <c r="J771" s="77"/>
      <c r="K771" s="138"/>
      <c r="L771" s="77"/>
      <c r="M771" s="138"/>
      <c r="N771" s="77"/>
      <c r="O771" s="138"/>
      <c r="P771" s="77"/>
      <c r="Q771" s="138"/>
      <c r="R771" s="212"/>
    </row>
    <row r="772" ht="15.75" spans="1:18">
      <c r="A772" s="11"/>
      <c r="B772" s="175" t="s">
        <v>22</v>
      </c>
      <c r="C772" s="157"/>
      <c r="D772" s="157"/>
      <c r="E772" s="167"/>
      <c r="F772" s="159">
        <f>SUM(F768:F771)</f>
        <v>250000</v>
      </c>
      <c r="G772" s="156"/>
      <c r="H772" s="155"/>
      <c r="I772" s="155"/>
      <c r="J772" s="77"/>
      <c r="K772" s="138"/>
      <c r="L772" s="77"/>
      <c r="M772" s="138"/>
      <c r="N772" s="77"/>
      <c r="O772" s="138"/>
      <c r="P772" s="77"/>
      <c r="Q772" s="138"/>
      <c r="R772" s="212"/>
    </row>
    <row r="773" ht="15.75" spans="1:18">
      <c r="A773" s="11"/>
      <c r="B773" s="157"/>
      <c r="C773" s="175"/>
      <c r="D773" s="158"/>
      <c r="E773" s="169"/>
      <c r="F773" s="77"/>
      <c r="G773" s="77"/>
      <c r="H773" s="35"/>
      <c r="I773" s="35"/>
      <c r="J773" s="77"/>
      <c r="K773" s="77"/>
      <c r="L773" s="77"/>
      <c r="M773" s="77"/>
      <c r="N773" s="91"/>
      <c r="O773" s="91"/>
      <c r="P773" s="91"/>
      <c r="Q773" s="91"/>
      <c r="R773" s="157"/>
    </row>
    <row r="774" ht="15.75" spans="1:18">
      <c r="A774" s="12">
        <v>44</v>
      </c>
      <c r="B774" s="202" t="s">
        <v>683</v>
      </c>
      <c r="C774" s="157"/>
      <c r="D774" s="169"/>
      <c r="E774" s="169"/>
      <c r="F774" s="77"/>
      <c r="G774" s="77"/>
      <c r="H774" s="35"/>
      <c r="I774" s="35"/>
      <c r="J774" s="77"/>
      <c r="K774" s="77"/>
      <c r="L774" s="77"/>
      <c r="M774" s="77"/>
      <c r="N774" s="77"/>
      <c r="O774" s="77"/>
      <c r="P774" s="77"/>
      <c r="Q774" s="77"/>
      <c r="R774" s="91"/>
    </row>
    <row r="775" ht="15.75" spans="1:18">
      <c r="A775" s="11">
        <v>1</v>
      </c>
      <c r="B775" s="157" t="s">
        <v>1278</v>
      </c>
      <c r="C775" s="156" t="s">
        <v>919</v>
      </c>
      <c r="D775" s="157">
        <v>320</v>
      </c>
      <c r="E775" s="167">
        <v>350</v>
      </c>
      <c r="F775" s="34">
        <f t="shared" ref="F775:F783" si="49">D775*E775</f>
        <v>112000</v>
      </c>
      <c r="G775" s="156" t="s">
        <v>104</v>
      </c>
      <c r="H775" s="155" t="s">
        <v>729</v>
      </c>
      <c r="I775" s="155" t="s">
        <v>778</v>
      </c>
      <c r="J775" s="77">
        <v>80</v>
      </c>
      <c r="K775" s="138">
        <f t="shared" ref="K775:K783" si="50">E775*J775</f>
        <v>28000</v>
      </c>
      <c r="L775" s="78">
        <v>80</v>
      </c>
      <c r="M775" s="138">
        <f t="shared" ref="M775:M780" si="51">E775*L775</f>
        <v>28000</v>
      </c>
      <c r="N775" s="78">
        <v>80</v>
      </c>
      <c r="O775" s="138">
        <f t="shared" ref="O775:O780" si="52">E775*N775</f>
        <v>28000</v>
      </c>
      <c r="P775" s="78">
        <v>80</v>
      </c>
      <c r="Q775" s="138">
        <f t="shared" ref="Q775:Q780" si="53">E775*P775</f>
        <v>28000</v>
      </c>
      <c r="R775" s="212"/>
    </row>
    <row r="776" ht="15.75" spans="1:18">
      <c r="A776" s="11">
        <v>2</v>
      </c>
      <c r="B776" s="157" t="s">
        <v>1279</v>
      </c>
      <c r="C776" s="156" t="s">
        <v>919</v>
      </c>
      <c r="D776" s="157">
        <v>10</v>
      </c>
      <c r="E776" s="167">
        <v>6850</v>
      </c>
      <c r="F776" s="34">
        <f t="shared" si="49"/>
        <v>68500</v>
      </c>
      <c r="G776" s="156" t="s">
        <v>104</v>
      </c>
      <c r="H776" s="155" t="s">
        <v>729</v>
      </c>
      <c r="I776" s="155" t="s">
        <v>778</v>
      </c>
      <c r="J776" s="77">
        <v>10</v>
      </c>
      <c r="K776" s="138">
        <f t="shared" si="50"/>
        <v>68500</v>
      </c>
      <c r="L776" s="78"/>
      <c r="M776" s="138"/>
      <c r="N776" s="78"/>
      <c r="O776" s="138"/>
      <c r="P776" s="78"/>
      <c r="Q776" s="138"/>
      <c r="R776" s="91"/>
    </row>
    <row r="777" ht="15.75" spans="1:18">
      <c r="A777" s="11">
        <v>3</v>
      </c>
      <c r="B777" s="157" t="s">
        <v>685</v>
      </c>
      <c r="C777" s="156" t="s">
        <v>919</v>
      </c>
      <c r="D777" s="157">
        <v>10</v>
      </c>
      <c r="E777" s="167">
        <v>800</v>
      </c>
      <c r="F777" s="34">
        <f t="shared" si="49"/>
        <v>8000</v>
      </c>
      <c r="G777" s="156" t="s">
        <v>104</v>
      </c>
      <c r="H777" s="155" t="s">
        <v>729</v>
      </c>
      <c r="I777" s="155" t="s">
        <v>778</v>
      </c>
      <c r="J777" s="77">
        <v>10</v>
      </c>
      <c r="K777" s="138">
        <f t="shared" si="50"/>
        <v>8000</v>
      </c>
      <c r="L777" s="78"/>
      <c r="M777" s="138"/>
      <c r="N777" s="78"/>
      <c r="O777" s="138"/>
      <c r="P777" s="78"/>
      <c r="Q777" s="138"/>
      <c r="R777" s="91"/>
    </row>
    <row r="778" ht="15.75" spans="1:18">
      <c r="A778" s="11">
        <v>4</v>
      </c>
      <c r="B778" s="157" t="s">
        <v>686</v>
      </c>
      <c r="C778" s="156" t="s">
        <v>919</v>
      </c>
      <c r="D778" s="157">
        <v>20</v>
      </c>
      <c r="E778" s="167">
        <v>850</v>
      </c>
      <c r="F778" s="34">
        <f t="shared" si="49"/>
        <v>17000</v>
      </c>
      <c r="G778" s="156" t="s">
        <v>104</v>
      </c>
      <c r="H778" s="155" t="s">
        <v>729</v>
      </c>
      <c r="I778" s="155" t="s">
        <v>778</v>
      </c>
      <c r="J778" s="77">
        <v>10</v>
      </c>
      <c r="K778" s="138">
        <f t="shared" si="50"/>
        <v>8500</v>
      </c>
      <c r="L778" s="78">
        <v>5</v>
      </c>
      <c r="M778" s="138">
        <f t="shared" si="51"/>
        <v>4250</v>
      </c>
      <c r="N778" s="78"/>
      <c r="O778" s="138"/>
      <c r="P778" s="78">
        <v>5</v>
      </c>
      <c r="Q778" s="138">
        <f t="shared" si="53"/>
        <v>4250</v>
      </c>
      <c r="R778" s="212"/>
    </row>
    <row r="779" ht="15.75" spans="1:18">
      <c r="A779" s="11">
        <v>5</v>
      </c>
      <c r="B779" s="157" t="s">
        <v>687</v>
      </c>
      <c r="C779" s="156" t="s">
        <v>972</v>
      </c>
      <c r="D779" s="157">
        <v>400</v>
      </c>
      <c r="E779" s="167">
        <v>80</v>
      </c>
      <c r="F779" s="34">
        <f t="shared" si="49"/>
        <v>32000</v>
      </c>
      <c r="G779" s="156" t="s">
        <v>104</v>
      </c>
      <c r="H779" s="155" t="s">
        <v>729</v>
      </c>
      <c r="I779" s="155" t="s">
        <v>778</v>
      </c>
      <c r="J779" s="77">
        <v>100</v>
      </c>
      <c r="K779" s="138">
        <f t="shared" si="50"/>
        <v>8000</v>
      </c>
      <c r="L779" s="78">
        <v>100</v>
      </c>
      <c r="M779" s="138">
        <f t="shared" si="51"/>
        <v>8000</v>
      </c>
      <c r="N779" s="78">
        <v>100</v>
      </c>
      <c r="O779" s="138">
        <f t="shared" si="52"/>
        <v>8000</v>
      </c>
      <c r="P779" s="78">
        <v>100</v>
      </c>
      <c r="Q779" s="138">
        <f t="shared" si="53"/>
        <v>8000</v>
      </c>
      <c r="R779" s="212"/>
    </row>
    <row r="780" ht="15.75" spans="1:18">
      <c r="A780" s="11">
        <v>6</v>
      </c>
      <c r="B780" s="157" t="s">
        <v>688</v>
      </c>
      <c r="C780" s="156" t="s">
        <v>972</v>
      </c>
      <c r="D780" s="157">
        <v>80</v>
      </c>
      <c r="E780" s="167">
        <v>900</v>
      </c>
      <c r="F780" s="34">
        <f t="shared" si="49"/>
        <v>72000</v>
      </c>
      <c r="G780" s="156" t="s">
        <v>104</v>
      </c>
      <c r="H780" s="155" t="s">
        <v>729</v>
      </c>
      <c r="I780" s="155" t="s">
        <v>778</v>
      </c>
      <c r="J780" s="77">
        <v>20</v>
      </c>
      <c r="K780" s="138">
        <f t="shared" si="50"/>
        <v>18000</v>
      </c>
      <c r="L780" s="78">
        <v>20</v>
      </c>
      <c r="M780" s="138">
        <f t="shared" si="51"/>
        <v>18000</v>
      </c>
      <c r="N780" s="78">
        <v>20</v>
      </c>
      <c r="O780" s="138">
        <f t="shared" si="52"/>
        <v>18000</v>
      </c>
      <c r="P780" s="78">
        <v>20</v>
      </c>
      <c r="Q780" s="138">
        <f t="shared" si="53"/>
        <v>18000</v>
      </c>
      <c r="R780" s="212"/>
    </row>
    <row r="781" ht="15.75" spans="1:18">
      <c r="A781" s="11">
        <v>7</v>
      </c>
      <c r="B781" s="41" t="s">
        <v>1280</v>
      </c>
      <c r="C781" s="41" t="s">
        <v>799</v>
      </c>
      <c r="D781" s="42">
        <v>2</v>
      </c>
      <c r="E781" s="187">
        <v>60</v>
      </c>
      <c r="F781" s="44">
        <f t="shared" si="49"/>
        <v>120</v>
      </c>
      <c r="G781" s="41" t="s">
        <v>37</v>
      </c>
      <c r="H781" s="31" t="s">
        <v>729</v>
      </c>
      <c r="I781" s="31" t="s">
        <v>778</v>
      </c>
      <c r="J781" s="76">
        <v>1</v>
      </c>
      <c r="K781" s="72">
        <f t="shared" si="50"/>
        <v>60</v>
      </c>
      <c r="L781" s="42"/>
      <c r="M781" s="72"/>
      <c r="N781" s="42">
        <v>1</v>
      </c>
      <c r="O781" s="72"/>
      <c r="P781" s="42"/>
      <c r="Q781" s="72"/>
      <c r="R781" s="212"/>
    </row>
    <row r="782" ht="15.75" spans="1:18">
      <c r="A782" s="11">
        <v>8</v>
      </c>
      <c r="B782" s="41" t="s">
        <v>1281</v>
      </c>
      <c r="C782" s="41" t="s">
        <v>799</v>
      </c>
      <c r="D782" s="41">
        <v>4</v>
      </c>
      <c r="E782" s="187">
        <v>600</v>
      </c>
      <c r="F782" s="44">
        <f t="shared" si="49"/>
        <v>2400</v>
      </c>
      <c r="G782" s="41" t="s">
        <v>37</v>
      </c>
      <c r="H782" s="31" t="s">
        <v>729</v>
      </c>
      <c r="I782" s="31" t="s">
        <v>778</v>
      </c>
      <c r="J782" s="76">
        <v>1</v>
      </c>
      <c r="K782" s="72">
        <f t="shared" si="50"/>
        <v>600</v>
      </c>
      <c r="L782" s="42">
        <v>1</v>
      </c>
      <c r="M782" s="72"/>
      <c r="N782" s="42">
        <v>1</v>
      </c>
      <c r="O782" s="72"/>
      <c r="P782" s="42">
        <v>1</v>
      </c>
      <c r="Q782" s="72"/>
      <c r="R782" s="212"/>
    </row>
    <row r="783" ht="15.75" spans="1:18">
      <c r="A783" s="11">
        <v>9</v>
      </c>
      <c r="B783" s="41" t="s">
        <v>1282</v>
      </c>
      <c r="C783" s="41" t="s">
        <v>799</v>
      </c>
      <c r="D783" s="41">
        <v>3</v>
      </c>
      <c r="E783" s="187">
        <v>6850</v>
      </c>
      <c r="F783" s="44">
        <f t="shared" si="49"/>
        <v>20550</v>
      </c>
      <c r="G783" s="41" t="s">
        <v>37</v>
      </c>
      <c r="H783" s="31" t="s">
        <v>729</v>
      </c>
      <c r="I783" s="31" t="s">
        <v>778</v>
      </c>
      <c r="J783" s="76">
        <v>2</v>
      </c>
      <c r="K783" s="72">
        <f t="shared" si="50"/>
        <v>13700</v>
      </c>
      <c r="L783" s="42"/>
      <c r="M783" s="72"/>
      <c r="N783" s="42">
        <v>1</v>
      </c>
      <c r="O783" s="72"/>
      <c r="P783" s="42"/>
      <c r="Q783" s="72"/>
      <c r="R783" s="212"/>
    </row>
    <row r="784" ht="15.75" spans="1:18">
      <c r="A784" s="11">
        <v>10</v>
      </c>
      <c r="B784" s="103" t="s">
        <v>684</v>
      </c>
      <c r="C784" s="137"/>
      <c r="D784" s="137">
        <v>160</v>
      </c>
      <c r="E784" s="213">
        <v>350</v>
      </c>
      <c r="F784" s="214">
        <v>56000</v>
      </c>
      <c r="G784" s="137" t="s">
        <v>33</v>
      </c>
      <c r="H784" s="215" t="s">
        <v>729</v>
      </c>
      <c r="I784" s="215" t="s">
        <v>778</v>
      </c>
      <c r="J784" s="104">
        <v>80</v>
      </c>
      <c r="K784" s="141">
        <v>28000</v>
      </c>
      <c r="L784" s="142"/>
      <c r="M784" s="141"/>
      <c r="N784" s="104">
        <v>80</v>
      </c>
      <c r="O784" s="141">
        <v>28000</v>
      </c>
      <c r="P784" s="142"/>
      <c r="Q784" s="141"/>
      <c r="R784" s="212"/>
    </row>
    <row r="785" ht="15.75" spans="1:18">
      <c r="A785" s="11">
        <v>11</v>
      </c>
      <c r="B785" s="103" t="s">
        <v>685</v>
      </c>
      <c r="C785" s="137"/>
      <c r="D785" s="137">
        <v>20</v>
      </c>
      <c r="E785" s="213">
        <v>800</v>
      </c>
      <c r="F785" s="214">
        <v>16000</v>
      </c>
      <c r="G785" s="137" t="s">
        <v>33</v>
      </c>
      <c r="H785" s="215" t="s">
        <v>729</v>
      </c>
      <c r="I785" s="215" t="s">
        <v>778</v>
      </c>
      <c r="J785" s="104">
        <v>10</v>
      </c>
      <c r="K785" s="141">
        <v>8000</v>
      </c>
      <c r="L785" s="142"/>
      <c r="M785" s="141"/>
      <c r="N785" s="104">
        <v>10</v>
      </c>
      <c r="O785" s="141">
        <v>8000</v>
      </c>
      <c r="P785" s="142"/>
      <c r="Q785" s="141"/>
      <c r="R785" s="212"/>
    </row>
    <row r="786" ht="15.75" spans="1:18">
      <c r="A786" s="11">
        <v>12</v>
      </c>
      <c r="B786" s="103" t="s">
        <v>686</v>
      </c>
      <c r="C786" s="137"/>
      <c r="D786" s="137">
        <v>20</v>
      </c>
      <c r="E786" s="213">
        <v>850</v>
      </c>
      <c r="F786" s="214">
        <v>17000</v>
      </c>
      <c r="G786" s="137" t="s">
        <v>33</v>
      </c>
      <c r="H786" s="215" t="s">
        <v>729</v>
      </c>
      <c r="I786" s="215" t="s">
        <v>778</v>
      </c>
      <c r="J786" s="104">
        <v>10</v>
      </c>
      <c r="K786" s="141">
        <v>8500</v>
      </c>
      <c r="L786" s="142"/>
      <c r="M786" s="141"/>
      <c r="N786" s="104">
        <v>10</v>
      </c>
      <c r="O786" s="141">
        <v>8500</v>
      </c>
      <c r="P786" s="142"/>
      <c r="Q786" s="141"/>
      <c r="R786" s="212"/>
    </row>
    <row r="787" ht="15.75" spans="1:18">
      <c r="A787" s="11">
        <v>13</v>
      </c>
      <c r="B787" s="103" t="s">
        <v>687</v>
      </c>
      <c r="C787" s="137"/>
      <c r="D787" s="137">
        <v>800</v>
      </c>
      <c r="E787" s="213">
        <v>80</v>
      </c>
      <c r="F787" s="214">
        <v>64000</v>
      </c>
      <c r="G787" s="137" t="s">
        <v>33</v>
      </c>
      <c r="H787" s="215" t="s">
        <v>729</v>
      </c>
      <c r="I787" s="215" t="s">
        <v>778</v>
      </c>
      <c r="J787" s="104">
        <v>400</v>
      </c>
      <c r="K787" s="141">
        <v>32000</v>
      </c>
      <c r="L787" s="142"/>
      <c r="M787" s="141"/>
      <c r="N787" s="104">
        <v>400</v>
      </c>
      <c r="O787" s="141">
        <v>32000</v>
      </c>
      <c r="P787" s="142"/>
      <c r="Q787" s="141"/>
      <c r="R787" s="212"/>
    </row>
    <row r="788" ht="15.75" spans="1:18">
      <c r="A788" s="11">
        <v>14</v>
      </c>
      <c r="B788" s="103" t="s">
        <v>688</v>
      </c>
      <c r="C788" s="137"/>
      <c r="D788" s="137">
        <v>40</v>
      </c>
      <c r="E788" s="213">
        <v>900</v>
      </c>
      <c r="F788" s="214">
        <v>36000</v>
      </c>
      <c r="G788" s="137" t="s">
        <v>33</v>
      </c>
      <c r="H788" s="215" t="s">
        <v>729</v>
      </c>
      <c r="I788" s="215" t="s">
        <v>778</v>
      </c>
      <c r="J788" s="104">
        <v>20</v>
      </c>
      <c r="K788" s="141">
        <v>18000</v>
      </c>
      <c r="L788" s="142"/>
      <c r="M788" s="141"/>
      <c r="N788" s="104">
        <v>20</v>
      </c>
      <c r="O788" s="141">
        <v>18000</v>
      </c>
      <c r="P788" s="142"/>
      <c r="Q788" s="141"/>
      <c r="R788" s="212"/>
    </row>
    <row r="789" ht="15.75" spans="1:18">
      <c r="A789" s="11"/>
      <c r="B789" s="41"/>
      <c r="C789" s="41"/>
      <c r="D789" s="41"/>
      <c r="E789" s="187"/>
      <c r="F789" s="44"/>
      <c r="G789" s="41"/>
      <c r="H789" s="31"/>
      <c r="I789" s="31"/>
      <c r="J789" s="76"/>
      <c r="K789" s="72"/>
      <c r="L789" s="42"/>
      <c r="M789" s="72"/>
      <c r="N789" s="42"/>
      <c r="O789" s="72"/>
      <c r="P789" s="42"/>
      <c r="Q789" s="72"/>
      <c r="R789" s="212"/>
    </row>
    <row r="790" ht="15.75" spans="1:18">
      <c r="A790" s="11"/>
      <c r="B790" s="216" t="s">
        <v>22</v>
      </c>
      <c r="C790" s="216"/>
      <c r="D790" s="216"/>
      <c r="E790" s="217"/>
      <c r="F790" s="218">
        <f>SUM(F775:F789)</f>
        <v>521570</v>
      </c>
      <c r="G790" s="41"/>
      <c r="H790" s="31"/>
      <c r="I790" s="31"/>
      <c r="J790" s="76"/>
      <c r="K790" s="72"/>
      <c r="L790" s="42"/>
      <c r="M790" s="72"/>
      <c r="N790" s="42"/>
      <c r="O790" s="72"/>
      <c r="P790" s="42"/>
      <c r="Q790" s="72"/>
      <c r="R790" s="212"/>
    </row>
    <row r="791" ht="15.75" spans="1:18">
      <c r="A791" s="11"/>
      <c r="B791" s="41"/>
      <c r="C791" s="41"/>
      <c r="D791" s="41"/>
      <c r="E791" s="187"/>
      <c r="F791" s="219"/>
      <c r="G791" s="41"/>
      <c r="H791" s="31"/>
      <c r="I791" s="31"/>
      <c r="J791" s="76"/>
      <c r="K791" s="72"/>
      <c r="L791" s="42"/>
      <c r="M791" s="72"/>
      <c r="N791" s="42"/>
      <c r="O791" s="72"/>
      <c r="P791" s="42"/>
      <c r="Q791" s="72"/>
      <c r="R791" s="212"/>
    </row>
    <row r="792" ht="15.75" spans="1:18">
      <c r="A792" s="12">
        <v>45</v>
      </c>
      <c r="B792" s="195" t="s">
        <v>1283</v>
      </c>
      <c r="C792" s="157"/>
      <c r="D792" s="195"/>
      <c r="E792" s="196"/>
      <c r="F792" s="150"/>
      <c r="G792" s="156"/>
      <c r="H792" s="155"/>
      <c r="I792" s="155"/>
      <c r="J792" s="200"/>
      <c r="K792" s="138"/>
      <c r="L792" s="201"/>
      <c r="M792" s="138"/>
      <c r="N792" s="201"/>
      <c r="O792" s="138"/>
      <c r="P792" s="201"/>
      <c r="Q792" s="138"/>
      <c r="R792" s="212"/>
    </row>
    <row r="793" ht="15.75" spans="1:18">
      <c r="A793" s="11">
        <v>1</v>
      </c>
      <c r="B793" s="157" t="s">
        <v>1284</v>
      </c>
      <c r="C793" s="157" t="s">
        <v>914</v>
      </c>
      <c r="D793" s="197">
        <v>4</v>
      </c>
      <c r="E793" s="198">
        <v>8000</v>
      </c>
      <c r="F793" s="150">
        <f>D793*E793</f>
        <v>32000</v>
      </c>
      <c r="G793" s="156" t="s">
        <v>104</v>
      </c>
      <c r="H793" s="155" t="s">
        <v>729</v>
      </c>
      <c r="I793" s="155" t="s">
        <v>778</v>
      </c>
      <c r="J793" s="130">
        <v>2</v>
      </c>
      <c r="K793" s="138">
        <f>E793*J793</f>
        <v>16000</v>
      </c>
      <c r="L793" s="78"/>
      <c r="M793" s="138"/>
      <c r="N793" s="131">
        <v>2</v>
      </c>
      <c r="O793" s="138">
        <f>E793*N793</f>
        <v>16000</v>
      </c>
      <c r="P793" s="78"/>
      <c r="Q793" s="138"/>
      <c r="R793" s="212"/>
    </row>
    <row r="794" ht="15.75" spans="1:18">
      <c r="A794" s="11">
        <v>2</v>
      </c>
      <c r="B794" s="157" t="s">
        <v>1285</v>
      </c>
      <c r="C794" s="157" t="s">
        <v>914</v>
      </c>
      <c r="D794" s="197">
        <v>4</v>
      </c>
      <c r="E794" s="198">
        <v>9800</v>
      </c>
      <c r="F794" s="150">
        <f>D794*E794</f>
        <v>39200</v>
      </c>
      <c r="G794" s="156" t="s">
        <v>104</v>
      </c>
      <c r="H794" s="155" t="s">
        <v>729</v>
      </c>
      <c r="I794" s="155" t="s">
        <v>778</v>
      </c>
      <c r="J794" s="130">
        <v>2</v>
      </c>
      <c r="K794" s="138">
        <f>E794*J794</f>
        <v>19600</v>
      </c>
      <c r="L794" s="78"/>
      <c r="M794" s="138"/>
      <c r="N794" s="131">
        <v>2</v>
      </c>
      <c r="O794" s="138">
        <f>E794*N794</f>
        <v>19600</v>
      </c>
      <c r="P794" s="78"/>
      <c r="Q794" s="138"/>
      <c r="R794" s="91"/>
    </row>
    <row r="795" ht="15.75" spans="1:18">
      <c r="A795" s="11">
        <v>3</v>
      </c>
      <c r="B795" s="157" t="s">
        <v>1286</v>
      </c>
      <c r="C795" s="157" t="s">
        <v>914</v>
      </c>
      <c r="D795" s="197">
        <v>4</v>
      </c>
      <c r="E795" s="198">
        <v>1800</v>
      </c>
      <c r="F795" s="150">
        <f>D795*E795</f>
        <v>7200</v>
      </c>
      <c r="G795" s="156" t="s">
        <v>104</v>
      </c>
      <c r="H795" s="155" t="s">
        <v>729</v>
      </c>
      <c r="I795" s="155" t="s">
        <v>778</v>
      </c>
      <c r="J795" s="130">
        <v>2</v>
      </c>
      <c r="K795" s="138">
        <f>E795*J795</f>
        <v>3600</v>
      </c>
      <c r="L795" s="78"/>
      <c r="M795" s="138"/>
      <c r="N795" s="131">
        <v>2</v>
      </c>
      <c r="O795" s="138">
        <f>E795*N795</f>
        <v>3600</v>
      </c>
      <c r="P795" s="78"/>
      <c r="Q795" s="138"/>
      <c r="R795" s="212"/>
    </row>
    <row r="796" ht="15.75" spans="1:18">
      <c r="A796" s="11"/>
      <c r="B796" s="157"/>
      <c r="C796" s="157"/>
      <c r="D796" s="197"/>
      <c r="E796" s="198"/>
      <c r="F796" s="150"/>
      <c r="G796" s="156"/>
      <c r="H796" s="155"/>
      <c r="I796" s="155"/>
      <c r="J796" s="130"/>
      <c r="K796" s="138"/>
      <c r="L796" s="78"/>
      <c r="M796" s="138"/>
      <c r="N796" s="131"/>
      <c r="O796" s="138"/>
      <c r="P796" s="78"/>
      <c r="Q796" s="138"/>
      <c r="R796" s="212"/>
    </row>
    <row r="797" ht="15.75" spans="1:18">
      <c r="A797" s="11"/>
      <c r="B797" s="157"/>
      <c r="C797" s="157"/>
      <c r="D797" s="197"/>
      <c r="E797" s="198"/>
      <c r="F797" s="150"/>
      <c r="G797" s="156"/>
      <c r="H797" s="155"/>
      <c r="I797" s="155"/>
      <c r="J797" s="130"/>
      <c r="K797" s="138"/>
      <c r="L797" s="78"/>
      <c r="M797" s="138"/>
      <c r="N797" s="131"/>
      <c r="O797" s="138"/>
      <c r="P797" s="78"/>
      <c r="Q797" s="138"/>
      <c r="R797" s="212"/>
    </row>
    <row r="798" ht="15.75" spans="1:18">
      <c r="A798" s="11"/>
      <c r="B798" s="175" t="s">
        <v>22</v>
      </c>
      <c r="C798" s="175"/>
      <c r="D798" s="158"/>
      <c r="E798" s="158"/>
      <c r="F798" s="159">
        <f>SUM(F793:F797)</f>
        <v>78400</v>
      </c>
      <c r="G798" s="147"/>
      <c r="H798" s="35"/>
      <c r="I798" s="35"/>
      <c r="J798" s="77"/>
      <c r="K798" s="77"/>
      <c r="L798" s="77"/>
      <c r="M798" s="77"/>
      <c r="N798" s="77"/>
      <c r="O798" s="77"/>
      <c r="P798" s="77"/>
      <c r="Q798" s="77"/>
      <c r="R798" s="91"/>
    </row>
    <row r="799" ht="15.75" spans="1:18">
      <c r="A799" s="12">
        <v>46</v>
      </c>
      <c r="B799" s="157"/>
      <c r="C799" s="157"/>
      <c r="D799" s="195"/>
      <c r="E799" s="196"/>
      <c r="F799" s="150"/>
      <c r="G799" s="156"/>
      <c r="H799" s="155"/>
      <c r="I799" s="155"/>
      <c r="J799" s="200"/>
      <c r="K799" s="138"/>
      <c r="L799" s="201"/>
      <c r="M799" s="138"/>
      <c r="N799" s="201"/>
      <c r="O799" s="138"/>
      <c r="P799" s="201"/>
      <c r="Q799" s="138"/>
      <c r="R799" s="212"/>
    </row>
    <row r="800" ht="15.75" spans="1:18">
      <c r="A800" s="11"/>
      <c r="B800" s="195" t="s">
        <v>1287</v>
      </c>
      <c r="C800" s="157" t="s">
        <v>972</v>
      </c>
      <c r="D800" s="197">
        <v>40</v>
      </c>
      <c r="E800" s="198">
        <v>300</v>
      </c>
      <c r="F800" s="150">
        <f>D800*E800</f>
        <v>12000</v>
      </c>
      <c r="G800" s="156" t="s">
        <v>104</v>
      </c>
      <c r="H800" s="155" t="s">
        <v>729</v>
      </c>
      <c r="I800" s="155" t="s">
        <v>778</v>
      </c>
      <c r="J800" s="130">
        <v>20</v>
      </c>
      <c r="K800" s="138">
        <f>E800*J800</f>
        <v>6000</v>
      </c>
      <c r="L800" s="78"/>
      <c r="M800" s="138"/>
      <c r="N800" s="131">
        <v>20</v>
      </c>
      <c r="O800" s="138">
        <f>E800*N800</f>
        <v>6000</v>
      </c>
      <c r="P800" s="78"/>
      <c r="Q800" s="138"/>
      <c r="R800" s="157"/>
    </row>
    <row r="801" ht="15.75" spans="1:18">
      <c r="A801" s="11">
        <v>1</v>
      </c>
      <c r="B801" s="157" t="s">
        <v>1288</v>
      </c>
      <c r="C801" s="157" t="s">
        <v>972</v>
      </c>
      <c r="D801" s="197">
        <v>20</v>
      </c>
      <c r="E801" s="198">
        <v>240</v>
      </c>
      <c r="F801" s="150">
        <f>D801*E801</f>
        <v>4800</v>
      </c>
      <c r="G801" s="156" t="s">
        <v>104</v>
      </c>
      <c r="H801" s="155" t="s">
        <v>729</v>
      </c>
      <c r="I801" s="155" t="s">
        <v>778</v>
      </c>
      <c r="J801" s="130">
        <v>10</v>
      </c>
      <c r="K801" s="138">
        <f>E801*J801</f>
        <v>2400</v>
      </c>
      <c r="L801" s="78"/>
      <c r="M801" s="138"/>
      <c r="N801" s="131">
        <v>10</v>
      </c>
      <c r="O801" s="138">
        <f>E801*N801</f>
        <v>2400</v>
      </c>
      <c r="P801" s="78"/>
      <c r="Q801" s="138"/>
      <c r="R801" s="91"/>
    </row>
    <row r="802" ht="15.75" spans="1:18">
      <c r="A802" s="11">
        <v>2</v>
      </c>
      <c r="B802" s="157" t="s">
        <v>1289</v>
      </c>
      <c r="C802" s="157" t="s">
        <v>972</v>
      </c>
      <c r="D802" s="197">
        <v>40</v>
      </c>
      <c r="E802" s="198">
        <v>240</v>
      </c>
      <c r="F802" s="150">
        <f>D802*E802</f>
        <v>9600</v>
      </c>
      <c r="G802" s="156" t="s">
        <v>104</v>
      </c>
      <c r="H802" s="155" t="s">
        <v>729</v>
      </c>
      <c r="I802" s="155" t="s">
        <v>778</v>
      </c>
      <c r="J802" s="130">
        <v>20</v>
      </c>
      <c r="K802" s="138">
        <f>E802*J802</f>
        <v>4800</v>
      </c>
      <c r="L802" s="78"/>
      <c r="M802" s="138"/>
      <c r="N802" s="131">
        <v>20</v>
      </c>
      <c r="O802" s="138">
        <f>E802*N802</f>
        <v>4800</v>
      </c>
      <c r="P802" s="78"/>
      <c r="Q802" s="138"/>
      <c r="R802" s="91"/>
    </row>
    <row r="803" ht="15.75" spans="1:18">
      <c r="A803" s="11"/>
      <c r="B803" s="157"/>
      <c r="C803" s="157"/>
      <c r="D803" s="197"/>
      <c r="E803" s="198"/>
      <c r="F803" s="150"/>
      <c r="G803" s="156"/>
      <c r="H803" s="155"/>
      <c r="I803" s="155"/>
      <c r="J803" s="130"/>
      <c r="K803" s="138"/>
      <c r="L803" s="78"/>
      <c r="M803" s="138"/>
      <c r="N803" s="131"/>
      <c r="O803" s="138"/>
      <c r="P803" s="78"/>
      <c r="Q803" s="138"/>
      <c r="R803" s="91"/>
    </row>
    <row r="804" ht="15.75" spans="1:18">
      <c r="A804" s="11"/>
      <c r="B804" s="175" t="s">
        <v>22</v>
      </c>
      <c r="C804" s="175"/>
      <c r="D804" s="220"/>
      <c r="E804" s="221"/>
      <c r="F804" s="159">
        <f>SUM(F800:F803)</f>
        <v>26400</v>
      </c>
      <c r="G804" s="156"/>
      <c r="H804" s="155"/>
      <c r="I804" s="155"/>
      <c r="J804" s="130"/>
      <c r="K804" s="138"/>
      <c r="L804" s="78"/>
      <c r="M804" s="138"/>
      <c r="N804" s="131"/>
      <c r="O804" s="138"/>
      <c r="P804" s="78"/>
      <c r="Q804" s="138"/>
      <c r="R804" s="91"/>
    </row>
    <row r="805" ht="15.75" spans="1:18">
      <c r="A805" s="11"/>
      <c r="B805" s="157"/>
      <c r="C805" s="157"/>
      <c r="D805" s="169"/>
      <c r="E805" s="169"/>
      <c r="F805" s="77"/>
      <c r="G805" s="77"/>
      <c r="H805" s="35"/>
      <c r="I805" s="35"/>
      <c r="J805" s="73"/>
      <c r="K805" s="73"/>
      <c r="L805" s="73"/>
      <c r="M805" s="73"/>
      <c r="N805" s="73"/>
      <c r="O805" s="73"/>
      <c r="P805" s="73"/>
      <c r="Q805" s="73"/>
      <c r="R805" s="212"/>
    </row>
    <row r="806" ht="15.75" spans="1:18">
      <c r="A806" s="12">
        <v>47</v>
      </c>
      <c r="B806" s="157"/>
      <c r="C806" s="157"/>
      <c r="D806" s="195"/>
      <c r="E806" s="196"/>
      <c r="F806" s="150"/>
      <c r="G806" s="156"/>
      <c r="H806" s="155"/>
      <c r="I806" s="155"/>
      <c r="J806" s="200"/>
      <c r="K806" s="138"/>
      <c r="L806" s="201"/>
      <c r="M806" s="138"/>
      <c r="N806" s="201"/>
      <c r="O806" s="138"/>
      <c r="P806" s="201"/>
      <c r="Q806" s="138"/>
      <c r="R806" s="212"/>
    </row>
    <row r="807" ht="15.75" spans="1:18">
      <c r="A807" s="11"/>
      <c r="B807" s="195" t="s">
        <v>519</v>
      </c>
      <c r="C807" s="157" t="s">
        <v>904</v>
      </c>
      <c r="D807" s="197">
        <v>4</v>
      </c>
      <c r="E807" s="198">
        <v>4800</v>
      </c>
      <c r="F807" s="34">
        <f t="shared" ref="F807:F816" si="54">D807*E807</f>
        <v>19200</v>
      </c>
      <c r="G807" s="156" t="s">
        <v>104</v>
      </c>
      <c r="H807" s="155" t="s">
        <v>729</v>
      </c>
      <c r="I807" s="155" t="s">
        <v>778</v>
      </c>
      <c r="J807" s="130">
        <v>2</v>
      </c>
      <c r="K807" s="138">
        <f t="shared" ref="K807:K815" si="55">E807*J807</f>
        <v>9600</v>
      </c>
      <c r="L807" s="78"/>
      <c r="M807" s="138"/>
      <c r="N807" s="131">
        <v>2</v>
      </c>
      <c r="O807" s="138">
        <f t="shared" ref="O807:O815" si="56">E807*N807</f>
        <v>9600</v>
      </c>
      <c r="P807" s="78"/>
      <c r="Q807" s="138"/>
      <c r="R807" s="212"/>
    </row>
    <row r="808" ht="15.75" spans="1:18">
      <c r="A808" s="11">
        <v>1</v>
      </c>
      <c r="B808" s="157" t="s">
        <v>1290</v>
      </c>
      <c r="C808" s="157" t="s">
        <v>1177</v>
      </c>
      <c r="D808" s="197">
        <v>6</v>
      </c>
      <c r="E808" s="198">
        <v>5200</v>
      </c>
      <c r="F808" s="34">
        <f t="shared" si="54"/>
        <v>31200</v>
      </c>
      <c r="G808" s="156" t="s">
        <v>104</v>
      </c>
      <c r="H808" s="155" t="s">
        <v>729</v>
      </c>
      <c r="I808" s="155" t="s">
        <v>778</v>
      </c>
      <c r="J808" s="130">
        <v>3</v>
      </c>
      <c r="K808" s="138">
        <f t="shared" si="55"/>
        <v>15600</v>
      </c>
      <c r="L808" s="78"/>
      <c r="M808" s="138"/>
      <c r="N808" s="131">
        <v>3</v>
      </c>
      <c r="O808" s="138">
        <f t="shared" si="56"/>
        <v>15600</v>
      </c>
      <c r="P808" s="78"/>
      <c r="Q808" s="138"/>
      <c r="R808" s="212"/>
    </row>
    <row r="809" ht="15.75" spans="1:18">
      <c r="A809" s="11">
        <v>2</v>
      </c>
      <c r="B809" s="157" t="s">
        <v>1291</v>
      </c>
      <c r="C809" s="157" t="s">
        <v>1177</v>
      </c>
      <c r="D809" s="197">
        <v>6</v>
      </c>
      <c r="E809" s="198">
        <v>5600</v>
      </c>
      <c r="F809" s="34">
        <f t="shared" si="54"/>
        <v>33600</v>
      </c>
      <c r="G809" s="156" t="s">
        <v>104</v>
      </c>
      <c r="H809" s="155" t="s">
        <v>729</v>
      </c>
      <c r="I809" s="155" t="s">
        <v>778</v>
      </c>
      <c r="J809" s="130">
        <v>3</v>
      </c>
      <c r="K809" s="138">
        <f t="shared" si="55"/>
        <v>16800</v>
      </c>
      <c r="L809" s="78"/>
      <c r="M809" s="138"/>
      <c r="N809" s="131">
        <v>3</v>
      </c>
      <c r="O809" s="138">
        <f t="shared" si="56"/>
        <v>16800</v>
      </c>
      <c r="P809" s="78"/>
      <c r="Q809" s="138"/>
      <c r="R809" s="212"/>
    </row>
    <row r="810" ht="15.75" spans="1:18">
      <c r="A810" s="11">
        <v>3</v>
      </c>
      <c r="B810" s="157" t="s">
        <v>1292</v>
      </c>
      <c r="C810" s="157" t="s">
        <v>1177</v>
      </c>
      <c r="D810" s="197">
        <v>2</v>
      </c>
      <c r="E810" s="198">
        <v>4210</v>
      </c>
      <c r="F810" s="34">
        <f t="shared" si="54"/>
        <v>8420</v>
      </c>
      <c r="G810" s="156" t="s">
        <v>104</v>
      </c>
      <c r="H810" s="155" t="s">
        <v>729</v>
      </c>
      <c r="I810" s="155" t="s">
        <v>778</v>
      </c>
      <c r="J810" s="130">
        <v>1</v>
      </c>
      <c r="K810" s="138">
        <f t="shared" si="55"/>
        <v>4210</v>
      </c>
      <c r="L810" s="78"/>
      <c r="M810" s="138"/>
      <c r="N810" s="131">
        <v>1</v>
      </c>
      <c r="O810" s="138">
        <f t="shared" si="56"/>
        <v>4210</v>
      </c>
      <c r="P810" s="78"/>
      <c r="Q810" s="138"/>
      <c r="R810" s="212"/>
    </row>
    <row r="811" ht="15.75" spans="1:18">
      <c r="A811" s="11">
        <v>4</v>
      </c>
      <c r="B811" s="157" t="s">
        <v>1293</v>
      </c>
      <c r="C811" s="157" t="s">
        <v>1177</v>
      </c>
      <c r="D811" s="197">
        <v>16</v>
      </c>
      <c r="E811" s="198">
        <v>6800</v>
      </c>
      <c r="F811" s="34">
        <f t="shared" si="54"/>
        <v>108800</v>
      </c>
      <c r="G811" s="156" t="s">
        <v>104</v>
      </c>
      <c r="H811" s="155" t="s">
        <v>729</v>
      </c>
      <c r="I811" s="155" t="s">
        <v>778</v>
      </c>
      <c r="J811" s="130">
        <v>8</v>
      </c>
      <c r="K811" s="138">
        <f t="shared" si="55"/>
        <v>54400</v>
      </c>
      <c r="L811" s="78"/>
      <c r="M811" s="138"/>
      <c r="N811" s="131">
        <v>8</v>
      </c>
      <c r="O811" s="138">
        <f t="shared" si="56"/>
        <v>54400</v>
      </c>
      <c r="P811" s="78"/>
      <c r="Q811" s="138"/>
      <c r="R811" s="212"/>
    </row>
    <row r="812" ht="15.75" spans="1:18">
      <c r="A812" s="11">
        <v>5</v>
      </c>
      <c r="B812" s="157" t="s">
        <v>1294</v>
      </c>
      <c r="C812" s="157" t="s">
        <v>1177</v>
      </c>
      <c r="D812" s="197">
        <v>2</v>
      </c>
      <c r="E812" s="198">
        <v>5200</v>
      </c>
      <c r="F812" s="34">
        <f t="shared" si="54"/>
        <v>10400</v>
      </c>
      <c r="G812" s="156" t="s">
        <v>104</v>
      </c>
      <c r="H812" s="155" t="s">
        <v>729</v>
      </c>
      <c r="I812" s="155" t="s">
        <v>778</v>
      </c>
      <c r="J812" s="130">
        <v>1</v>
      </c>
      <c r="K812" s="138">
        <f t="shared" si="55"/>
        <v>5200</v>
      </c>
      <c r="L812" s="78"/>
      <c r="M812" s="138"/>
      <c r="N812" s="131">
        <v>1</v>
      </c>
      <c r="O812" s="138">
        <f t="shared" si="56"/>
        <v>5200</v>
      </c>
      <c r="P812" s="78"/>
      <c r="Q812" s="138"/>
      <c r="R812" s="212"/>
    </row>
    <row r="813" ht="15.75" spans="1:18">
      <c r="A813" s="11">
        <v>6</v>
      </c>
      <c r="B813" s="157" t="s">
        <v>1295</v>
      </c>
      <c r="C813" s="157" t="s">
        <v>1177</v>
      </c>
      <c r="D813" s="197">
        <v>2</v>
      </c>
      <c r="E813" s="198">
        <v>3250</v>
      </c>
      <c r="F813" s="34">
        <f t="shared" si="54"/>
        <v>6500</v>
      </c>
      <c r="G813" s="156" t="s">
        <v>104</v>
      </c>
      <c r="H813" s="155" t="s">
        <v>729</v>
      </c>
      <c r="I813" s="155" t="s">
        <v>778</v>
      </c>
      <c r="J813" s="130">
        <v>1</v>
      </c>
      <c r="K813" s="138">
        <f t="shared" si="55"/>
        <v>3250</v>
      </c>
      <c r="L813" s="78"/>
      <c r="M813" s="138"/>
      <c r="N813" s="131">
        <v>1</v>
      </c>
      <c r="O813" s="138">
        <f t="shared" si="56"/>
        <v>3250</v>
      </c>
      <c r="P813" s="78"/>
      <c r="Q813" s="138"/>
      <c r="R813" s="212"/>
    </row>
    <row r="814" ht="15.75" spans="1:18">
      <c r="A814" s="11">
        <v>7</v>
      </c>
      <c r="B814" s="157" t="s">
        <v>1296</v>
      </c>
      <c r="C814" s="157" t="s">
        <v>1129</v>
      </c>
      <c r="D814" s="197">
        <v>2</v>
      </c>
      <c r="E814" s="198">
        <v>2120</v>
      </c>
      <c r="F814" s="34">
        <f t="shared" si="54"/>
        <v>4240</v>
      </c>
      <c r="G814" s="156" t="s">
        <v>104</v>
      </c>
      <c r="H814" s="155" t="s">
        <v>729</v>
      </c>
      <c r="I814" s="155" t="s">
        <v>778</v>
      </c>
      <c r="J814" s="130">
        <v>1</v>
      </c>
      <c r="K814" s="138">
        <f t="shared" si="55"/>
        <v>2120</v>
      </c>
      <c r="L814" s="78"/>
      <c r="M814" s="138"/>
      <c r="N814" s="131">
        <v>1</v>
      </c>
      <c r="O814" s="138">
        <f t="shared" si="56"/>
        <v>2120</v>
      </c>
      <c r="P814" s="78"/>
      <c r="Q814" s="138"/>
      <c r="R814" s="91"/>
    </row>
    <row r="815" ht="15.75" spans="1:18">
      <c r="A815" s="11">
        <v>8</v>
      </c>
      <c r="B815" s="157" t="s">
        <v>1297</v>
      </c>
      <c r="C815" s="157" t="s">
        <v>1129</v>
      </c>
      <c r="D815" s="197">
        <v>2</v>
      </c>
      <c r="E815" s="198">
        <v>3200</v>
      </c>
      <c r="F815" s="34">
        <f t="shared" si="54"/>
        <v>6400</v>
      </c>
      <c r="G815" s="156" t="s">
        <v>104</v>
      </c>
      <c r="H815" s="155" t="s">
        <v>729</v>
      </c>
      <c r="I815" s="155" t="s">
        <v>778</v>
      </c>
      <c r="J815" s="130">
        <v>1</v>
      </c>
      <c r="K815" s="138">
        <f t="shared" si="55"/>
        <v>3200</v>
      </c>
      <c r="L815" s="78"/>
      <c r="M815" s="138"/>
      <c r="N815" s="131">
        <v>1</v>
      </c>
      <c r="O815" s="138">
        <f t="shared" si="56"/>
        <v>3200</v>
      </c>
      <c r="P815" s="78"/>
      <c r="Q815" s="138"/>
      <c r="R815" s="91"/>
    </row>
    <row r="816" ht="15.75" spans="1:18">
      <c r="A816" s="11">
        <v>9</v>
      </c>
      <c r="B816" s="157" t="s">
        <v>1298</v>
      </c>
      <c r="C816" s="137" t="s">
        <v>899</v>
      </c>
      <c r="D816" s="142">
        <v>1</v>
      </c>
      <c r="E816" s="213">
        <v>8000</v>
      </c>
      <c r="F816" s="214">
        <f t="shared" si="54"/>
        <v>8000</v>
      </c>
      <c r="G816" s="137" t="s">
        <v>37</v>
      </c>
      <c r="H816" s="215" t="s">
        <v>729</v>
      </c>
      <c r="I816" s="215" t="s">
        <v>778</v>
      </c>
      <c r="J816" s="140"/>
      <c r="K816" s="141"/>
      <c r="L816" s="142">
        <v>1</v>
      </c>
      <c r="M816" s="141">
        <v>8000</v>
      </c>
      <c r="N816" s="142"/>
      <c r="O816" s="141"/>
      <c r="P816" s="142"/>
      <c r="Q816" s="141"/>
      <c r="R816" s="157"/>
    </row>
    <row r="817" ht="15.75" spans="1:18">
      <c r="A817" s="11">
        <v>10</v>
      </c>
      <c r="B817" s="137" t="s">
        <v>1299</v>
      </c>
      <c r="C817" s="157"/>
      <c r="D817" s="104" t="s">
        <v>1300</v>
      </c>
      <c r="E817" s="103">
        <v>5000</v>
      </c>
      <c r="F817" s="222">
        <v>25000</v>
      </c>
      <c r="G817" s="103" t="s">
        <v>40</v>
      </c>
      <c r="H817" s="223" t="s">
        <v>729</v>
      </c>
      <c r="I817" s="155" t="s">
        <v>778</v>
      </c>
      <c r="J817" s="104">
        <v>2.5</v>
      </c>
      <c r="K817" s="78">
        <v>12500</v>
      </c>
      <c r="L817" s="104">
        <v>2.5</v>
      </c>
      <c r="M817" s="77">
        <v>12500</v>
      </c>
      <c r="N817" s="104"/>
      <c r="O817" s="77"/>
      <c r="P817" s="104"/>
      <c r="Q817" s="77"/>
      <c r="R817" s="157"/>
    </row>
    <row r="818" ht="15.75" spans="1:18">
      <c r="A818" s="11">
        <v>11</v>
      </c>
      <c r="B818" s="19" t="s">
        <v>1301</v>
      </c>
      <c r="C818" s="11"/>
      <c r="D818" s="14"/>
      <c r="E818" s="11"/>
      <c r="F818" s="11"/>
      <c r="G818" s="11"/>
      <c r="H818" s="13"/>
      <c r="I818" s="13"/>
      <c r="J818" s="14"/>
      <c r="K818" s="14"/>
      <c r="L818" s="14"/>
      <c r="M818" s="14"/>
      <c r="N818" s="14"/>
      <c r="O818" s="14"/>
      <c r="P818" s="14"/>
      <c r="Q818" s="14"/>
      <c r="R818" s="11"/>
    </row>
    <row r="819" ht="15.75" spans="1:18">
      <c r="A819" s="11"/>
      <c r="B819" s="19"/>
      <c r="C819" s="11"/>
      <c r="D819" s="14"/>
      <c r="E819" s="11"/>
      <c r="F819" s="11"/>
      <c r="G819" s="11"/>
      <c r="H819" s="13"/>
      <c r="I819" s="13"/>
      <c r="J819" s="14"/>
      <c r="K819" s="14"/>
      <c r="L819" s="14"/>
      <c r="M819" s="14"/>
      <c r="N819" s="14"/>
      <c r="O819" s="14"/>
      <c r="P819" s="14"/>
      <c r="Q819" s="14"/>
      <c r="R819" s="11"/>
    </row>
    <row r="820" ht="15.75" spans="1:18">
      <c r="A820" s="11"/>
      <c r="B820" s="12" t="s">
        <v>22</v>
      </c>
      <c r="C820" s="11"/>
      <c r="D820" s="14"/>
      <c r="E820" s="11"/>
      <c r="F820" s="192">
        <f>SUM(F807:F819)</f>
        <v>261760</v>
      </c>
      <c r="G820" s="11"/>
      <c r="H820" s="13"/>
      <c r="I820" s="13"/>
      <c r="J820" s="14"/>
      <c r="K820" s="14"/>
      <c r="L820" s="14"/>
      <c r="M820" s="14"/>
      <c r="N820" s="14"/>
      <c r="O820" s="14"/>
      <c r="P820" s="14"/>
      <c r="Q820" s="14"/>
      <c r="R820" s="11"/>
    </row>
    <row r="821" ht="15.75" spans="1:18">
      <c r="A821" s="11"/>
      <c r="B821" s="12"/>
      <c r="C821" s="11"/>
      <c r="D821" s="14"/>
      <c r="E821" s="11"/>
      <c r="F821" s="11"/>
      <c r="G821" s="11"/>
      <c r="H821" s="13"/>
      <c r="I821" s="13"/>
      <c r="J821" s="14"/>
      <c r="K821" s="14"/>
      <c r="L821" s="14"/>
      <c r="M821" s="14"/>
      <c r="N821" s="14"/>
      <c r="O821" s="14"/>
      <c r="P821" s="14"/>
      <c r="Q821" s="14"/>
      <c r="R821" s="11"/>
    </row>
    <row r="822" ht="15.75" spans="1:18">
      <c r="A822" s="12">
        <v>48</v>
      </c>
      <c r="B822" s="12" t="s">
        <v>1302</v>
      </c>
      <c r="C822" s="11"/>
      <c r="D822" s="14"/>
      <c r="E822" s="11"/>
      <c r="F822" s="11"/>
      <c r="G822" s="11"/>
      <c r="H822" s="13"/>
      <c r="I822" s="13"/>
      <c r="J822" s="14"/>
      <c r="K822" s="14"/>
      <c r="L822" s="14"/>
      <c r="M822" s="14"/>
      <c r="N822" s="14"/>
      <c r="O822" s="14"/>
      <c r="P822" s="14"/>
      <c r="Q822" s="14"/>
      <c r="R822" s="11"/>
    </row>
    <row r="823" ht="15.75" spans="1:18">
      <c r="A823" s="11">
        <v>1</v>
      </c>
      <c r="B823" s="11" t="s">
        <v>1302</v>
      </c>
      <c r="C823" s="32"/>
      <c r="D823" s="37">
        <v>1</v>
      </c>
      <c r="E823" s="224">
        <v>500000</v>
      </c>
      <c r="F823" s="150">
        <f>D823*E823</f>
        <v>500000</v>
      </c>
      <c r="G823" s="13" t="s">
        <v>42</v>
      </c>
      <c r="H823" s="13" t="s">
        <v>896</v>
      </c>
      <c r="I823" s="13" t="s">
        <v>778</v>
      </c>
      <c r="J823" s="73"/>
      <c r="K823" s="73">
        <v>500000</v>
      </c>
      <c r="L823" s="73"/>
      <c r="M823" s="73"/>
      <c r="N823" s="73"/>
      <c r="O823" s="73"/>
      <c r="P823" s="73"/>
      <c r="Q823" s="73"/>
      <c r="R823" s="212"/>
    </row>
    <row r="824" ht="15.75" spans="1:18">
      <c r="A824" s="11">
        <v>2</v>
      </c>
      <c r="B824" s="32" t="s">
        <v>535</v>
      </c>
      <c r="C824" s="32"/>
      <c r="D824" s="37">
        <v>1</v>
      </c>
      <c r="E824" s="224">
        <v>1000000</v>
      </c>
      <c r="F824" s="150">
        <f>D824*E824</f>
        <v>1000000</v>
      </c>
      <c r="G824" s="13" t="s">
        <v>42</v>
      </c>
      <c r="H824" s="13" t="s">
        <v>896</v>
      </c>
      <c r="I824" s="13" t="s">
        <v>778</v>
      </c>
      <c r="J824" s="77"/>
      <c r="K824" s="77">
        <v>1000000</v>
      </c>
      <c r="L824" s="77"/>
      <c r="M824" s="77"/>
      <c r="N824" s="77"/>
      <c r="O824" s="77"/>
      <c r="P824" s="77"/>
      <c r="Q824" s="77"/>
      <c r="R824" s="91"/>
    </row>
    <row r="825" ht="15.75" spans="1:18">
      <c r="A825" s="11">
        <v>3</v>
      </c>
      <c r="B825" s="32" t="s">
        <v>536</v>
      </c>
      <c r="C825" s="32"/>
      <c r="D825" s="37">
        <v>2</v>
      </c>
      <c r="E825" s="224">
        <v>120000</v>
      </c>
      <c r="F825" s="150">
        <f>D825*E825</f>
        <v>240000</v>
      </c>
      <c r="G825" s="13" t="s">
        <v>42</v>
      </c>
      <c r="H825" s="13" t="s">
        <v>896</v>
      </c>
      <c r="I825" s="13" t="s">
        <v>778</v>
      </c>
      <c r="J825" s="73"/>
      <c r="K825" s="73">
        <v>120000</v>
      </c>
      <c r="L825" s="73"/>
      <c r="M825" s="73">
        <v>120000</v>
      </c>
      <c r="N825" s="73"/>
      <c r="O825" s="73"/>
      <c r="P825" s="73"/>
      <c r="Q825" s="73"/>
      <c r="R825" s="212"/>
    </row>
    <row r="826" ht="15.75" spans="1:18">
      <c r="A826" s="11">
        <v>4</v>
      </c>
      <c r="B826" s="32" t="s">
        <v>537</v>
      </c>
      <c r="C826" s="32"/>
      <c r="D826" s="37">
        <v>1</v>
      </c>
      <c r="E826" s="224">
        <v>1000000</v>
      </c>
      <c r="F826" s="150">
        <f>D826*E826</f>
        <v>1000000</v>
      </c>
      <c r="G826" s="13" t="s">
        <v>42</v>
      </c>
      <c r="H826" s="13" t="s">
        <v>896</v>
      </c>
      <c r="I826" s="13" t="s">
        <v>778</v>
      </c>
      <c r="J826" s="77"/>
      <c r="K826" s="77"/>
      <c r="L826" s="77"/>
      <c r="M826" s="77">
        <v>1000000</v>
      </c>
      <c r="N826" s="77"/>
      <c r="O826" s="77"/>
      <c r="P826" s="77"/>
      <c r="Q826" s="77"/>
      <c r="R826" s="91"/>
    </row>
    <row r="827" ht="15.75" spans="1:18">
      <c r="A827" s="11">
        <v>5</v>
      </c>
      <c r="B827" s="32" t="s">
        <v>538</v>
      </c>
      <c r="C827" s="32"/>
      <c r="D827" s="37">
        <v>10</v>
      </c>
      <c r="E827" s="224">
        <v>10000</v>
      </c>
      <c r="F827" s="150">
        <f>D827*E827</f>
        <v>100000</v>
      </c>
      <c r="G827" s="13" t="s">
        <v>42</v>
      </c>
      <c r="H827" s="13" t="s">
        <v>896</v>
      </c>
      <c r="I827" s="13" t="s">
        <v>778</v>
      </c>
      <c r="J827" s="73"/>
      <c r="K827" s="73"/>
      <c r="L827" s="73"/>
      <c r="M827" s="73">
        <v>100000</v>
      </c>
      <c r="N827" s="73"/>
      <c r="O827" s="73"/>
      <c r="P827" s="73"/>
      <c r="Q827" s="73"/>
      <c r="R827" s="212"/>
    </row>
    <row r="828" ht="15.75" spans="1:18">
      <c r="A828" s="11">
        <v>6</v>
      </c>
      <c r="B828" s="32" t="s">
        <v>539</v>
      </c>
      <c r="C828" s="38"/>
      <c r="D828" s="14">
        <v>5</v>
      </c>
      <c r="E828" s="225">
        <v>250000</v>
      </c>
      <c r="F828" s="75">
        <f>E828*D828</f>
        <v>1250000</v>
      </c>
      <c r="G828" s="38" t="s">
        <v>813</v>
      </c>
      <c r="H828" s="39" t="s">
        <v>896</v>
      </c>
      <c r="I828" s="13" t="s">
        <v>1303</v>
      </c>
      <c r="J828" s="74"/>
      <c r="K828" s="75">
        <f>E828*J828</f>
        <v>0</v>
      </c>
      <c r="L828" s="14">
        <v>2</v>
      </c>
      <c r="M828" s="75">
        <f>E828*L828</f>
        <v>500000</v>
      </c>
      <c r="N828" s="14">
        <v>2</v>
      </c>
      <c r="O828" s="75">
        <f>E828*N828</f>
        <v>500000</v>
      </c>
      <c r="P828" s="14">
        <v>1</v>
      </c>
      <c r="Q828" s="75">
        <f>E828*P828</f>
        <v>250000</v>
      </c>
      <c r="R828" s="212"/>
    </row>
    <row r="829" ht="15.75" spans="1:18">
      <c r="A829" s="11">
        <v>7</v>
      </c>
      <c r="B829" s="38" t="s">
        <v>1304</v>
      </c>
      <c r="C829" s="38"/>
      <c r="D829" s="14">
        <v>6</v>
      </c>
      <c r="E829" s="225">
        <v>300000</v>
      </c>
      <c r="F829" s="132">
        <v>1800000</v>
      </c>
      <c r="G829" s="38" t="s">
        <v>25</v>
      </c>
      <c r="H829" s="39" t="s">
        <v>896</v>
      </c>
      <c r="I829" s="13" t="s">
        <v>778</v>
      </c>
      <c r="J829" s="74"/>
      <c r="K829" s="75">
        <v>900000</v>
      </c>
      <c r="L829" s="14"/>
      <c r="M829" s="75"/>
      <c r="N829" s="14"/>
      <c r="O829" s="75">
        <v>900000</v>
      </c>
      <c r="P829" s="14"/>
      <c r="Q829" s="75"/>
      <c r="R829" s="212"/>
    </row>
    <row r="830" ht="15.75" spans="1:18">
      <c r="A830" s="11">
        <v>8</v>
      </c>
      <c r="B830" s="19" t="s">
        <v>1305</v>
      </c>
      <c r="C830" s="11"/>
      <c r="D830" s="20">
        <v>4</v>
      </c>
      <c r="E830" s="19">
        <v>200000</v>
      </c>
      <c r="F830" s="19">
        <v>800000</v>
      </c>
      <c r="G830" s="11" t="s">
        <v>40</v>
      </c>
      <c r="H830" s="39" t="s">
        <v>896</v>
      </c>
      <c r="I830" s="13" t="s">
        <v>778</v>
      </c>
      <c r="J830" s="77"/>
      <c r="K830" s="19">
        <v>200000</v>
      </c>
      <c r="L830" s="77"/>
      <c r="M830" s="19">
        <v>200000</v>
      </c>
      <c r="N830" s="77"/>
      <c r="O830" s="19">
        <v>200000</v>
      </c>
      <c r="P830" s="77"/>
      <c r="Q830" s="19">
        <v>200000</v>
      </c>
      <c r="R830" s="91"/>
    </row>
    <row r="831" ht="15.75" spans="1:18">
      <c r="A831" s="11">
        <v>9</v>
      </c>
      <c r="B831" s="226" t="s">
        <v>1306</v>
      </c>
      <c r="C831" s="11"/>
      <c r="D831" s="20">
        <v>2</v>
      </c>
      <c r="E831" s="171">
        <v>500000</v>
      </c>
      <c r="F831" s="171">
        <v>1000000</v>
      </c>
      <c r="G831" s="11" t="s">
        <v>40</v>
      </c>
      <c r="H831" s="39" t="s">
        <v>896</v>
      </c>
      <c r="I831" s="13" t="s">
        <v>778</v>
      </c>
      <c r="J831" s="77"/>
      <c r="K831" s="77"/>
      <c r="L831" s="77"/>
      <c r="M831" s="171">
        <v>500000</v>
      </c>
      <c r="N831" s="77"/>
      <c r="O831" s="77"/>
      <c r="P831" s="77"/>
      <c r="Q831" s="171">
        <v>500000</v>
      </c>
      <c r="R831" s="91"/>
    </row>
    <row r="832" ht="15.75" spans="1:18">
      <c r="A832" s="11">
        <v>10</v>
      </c>
      <c r="B832" s="19" t="s">
        <v>1307</v>
      </c>
      <c r="C832" s="11"/>
      <c r="D832" s="20">
        <v>16</v>
      </c>
      <c r="E832" s="171">
        <v>2500000</v>
      </c>
      <c r="F832" s="171">
        <v>40000000</v>
      </c>
      <c r="G832" s="11" t="s">
        <v>1308</v>
      </c>
      <c r="H832" s="39" t="s">
        <v>896</v>
      </c>
      <c r="I832" s="13" t="s">
        <v>778</v>
      </c>
      <c r="J832" s="194">
        <v>4</v>
      </c>
      <c r="K832" s="227">
        <v>10000000</v>
      </c>
      <c r="L832" s="194">
        <v>4</v>
      </c>
      <c r="M832" s="227">
        <v>10000000</v>
      </c>
      <c r="N832" s="194">
        <v>4</v>
      </c>
      <c r="O832" s="227">
        <v>10000000</v>
      </c>
      <c r="P832" s="77">
        <v>4</v>
      </c>
      <c r="Q832" s="227">
        <v>10000000</v>
      </c>
      <c r="R832" s="91"/>
    </row>
    <row r="833" ht="15.75" spans="1:18">
      <c r="A833" s="11">
        <v>11</v>
      </c>
      <c r="B833" s="19" t="s">
        <v>1309</v>
      </c>
      <c r="C833" s="11"/>
      <c r="D833" s="20">
        <v>16</v>
      </c>
      <c r="E833" s="171">
        <v>250000</v>
      </c>
      <c r="F833" s="170">
        <v>4000000</v>
      </c>
      <c r="G833" s="11" t="s">
        <v>33</v>
      </c>
      <c r="H833" s="39" t="s">
        <v>896</v>
      </c>
      <c r="I833" s="13" t="s">
        <v>778</v>
      </c>
      <c r="J833" s="194">
        <v>4</v>
      </c>
      <c r="K833" s="227">
        <v>1000000</v>
      </c>
      <c r="L833" s="194">
        <v>4</v>
      </c>
      <c r="M833" s="227">
        <v>1000000</v>
      </c>
      <c r="N833" s="194">
        <v>4</v>
      </c>
      <c r="O833" s="227">
        <v>1000000</v>
      </c>
      <c r="P833" s="77">
        <v>4</v>
      </c>
      <c r="Q833" s="227">
        <v>1000000</v>
      </c>
      <c r="R833" s="91"/>
    </row>
    <row r="834" ht="15.75" spans="1:18">
      <c r="A834" s="11">
        <v>12</v>
      </c>
      <c r="B834" s="19" t="s">
        <v>1310</v>
      </c>
      <c r="C834" s="11" t="s">
        <v>1311</v>
      </c>
      <c r="D834" s="20">
        <v>5</v>
      </c>
      <c r="E834" s="171">
        <v>100000</v>
      </c>
      <c r="F834" s="228">
        <v>500000</v>
      </c>
      <c r="G834" s="11" t="s">
        <v>43</v>
      </c>
      <c r="H834" s="39" t="s">
        <v>896</v>
      </c>
      <c r="I834" s="13" t="s">
        <v>778</v>
      </c>
      <c r="J834" s="194">
        <v>5</v>
      </c>
      <c r="K834" s="227">
        <v>500000</v>
      </c>
      <c r="L834" s="194"/>
      <c r="M834" s="227"/>
      <c r="N834" s="194"/>
      <c r="O834" s="227"/>
      <c r="P834" s="77"/>
      <c r="Q834" s="227"/>
      <c r="R834" s="91"/>
    </row>
    <row r="835" ht="15.75" spans="1:18">
      <c r="A835" s="11">
        <v>13</v>
      </c>
      <c r="B835" s="19" t="s">
        <v>1309</v>
      </c>
      <c r="C835" s="11" t="s">
        <v>1311</v>
      </c>
      <c r="D835" s="20">
        <v>2</v>
      </c>
      <c r="E835" s="171">
        <v>300000</v>
      </c>
      <c r="F835" s="228">
        <v>600000</v>
      </c>
      <c r="G835" s="11" t="s">
        <v>43</v>
      </c>
      <c r="H835" s="39" t="s">
        <v>896</v>
      </c>
      <c r="I835" s="13" t="s">
        <v>778</v>
      </c>
      <c r="J835" s="194"/>
      <c r="K835" s="227"/>
      <c r="L835" s="194">
        <v>2</v>
      </c>
      <c r="M835" s="227">
        <v>600000</v>
      </c>
      <c r="N835" s="194"/>
      <c r="O835" s="227"/>
      <c r="P835" s="77"/>
      <c r="Q835" s="227"/>
      <c r="R835" s="91"/>
    </row>
    <row r="836" ht="15.75" spans="1:257">
      <c r="A836" s="11">
        <v>14</v>
      </c>
      <c r="B836" s="19" t="s">
        <v>1312</v>
      </c>
      <c r="C836" s="12"/>
      <c r="D836" s="47"/>
      <c r="E836" s="192"/>
      <c r="F836" s="90"/>
      <c r="G836" s="11"/>
      <c r="H836" s="13"/>
      <c r="I836" s="13"/>
      <c r="J836" s="14"/>
      <c r="K836" s="14"/>
      <c r="L836" s="14"/>
      <c r="M836" s="14"/>
      <c r="N836" s="14"/>
      <c r="O836" s="14"/>
      <c r="P836" s="14"/>
      <c r="Q836" s="14"/>
      <c r="R836" s="11"/>
      <c r="IW836" s="236" t="s">
        <v>1313</v>
      </c>
    </row>
    <row r="837" ht="15.75" spans="1:18">
      <c r="A837" s="11"/>
      <c r="B837" s="11"/>
      <c r="C837" s="11"/>
      <c r="D837" s="14"/>
      <c r="E837" s="11"/>
      <c r="F837" s="11"/>
      <c r="G837" s="11"/>
      <c r="H837" s="13"/>
      <c r="I837" s="13"/>
      <c r="J837" s="14"/>
      <c r="K837" s="14"/>
      <c r="L837" s="14"/>
      <c r="M837" s="14"/>
      <c r="N837" s="14"/>
      <c r="O837" s="14"/>
      <c r="P837" s="14"/>
      <c r="Q837" s="14"/>
      <c r="R837" s="11"/>
    </row>
    <row r="838" ht="15.75" spans="1:18">
      <c r="A838" s="11"/>
      <c r="B838" s="229" t="s">
        <v>22</v>
      </c>
      <c r="C838" s="129"/>
      <c r="D838" s="230"/>
      <c r="E838" s="174"/>
      <c r="F838" s="159">
        <f>SUM(F823:F837)</f>
        <v>52790000</v>
      </c>
      <c r="G838" s="77"/>
      <c r="H838" s="13"/>
      <c r="I838" s="13"/>
      <c r="J838" s="77"/>
      <c r="K838" s="77"/>
      <c r="L838" s="77"/>
      <c r="M838" s="77"/>
      <c r="N838" s="77"/>
      <c r="O838" s="77"/>
      <c r="P838" s="77"/>
      <c r="Q838" s="77"/>
      <c r="R838" s="91"/>
    </row>
    <row r="839" ht="15.75" spans="1:18">
      <c r="A839" s="12">
        <v>49</v>
      </c>
      <c r="B839" s="231" t="s">
        <v>485</v>
      </c>
      <c r="C839" s="191"/>
      <c r="D839" s="200"/>
      <c r="E839" s="196"/>
      <c r="F839" s="150"/>
      <c r="G839" s="156"/>
      <c r="H839" s="155"/>
      <c r="I839" s="155"/>
      <c r="J839" s="200"/>
      <c r="K839" s="138"/>
      <c r="L839" s="201"/>
      <c r="M839" s="138"/>
      <c r="N839" s="201"/>
      <c r="O839" s="138"/>
      <c r="P839" s="201"/>
      <c r="Q839" s="138"/>
      <c r="R839" s="91"/>
    </row>
    <row r="840" ht="15.75" spans="1:18">
      <c r="A840" s="11"/>
      <c r="B840" s="232" t="s">
        <v>485</v>
      </c>
      <c r="C840" s="191" t="s">
        <v>919</v>
      </c>
      <c r="D840" s="130">
        <v>200</v>
      </c>
      <c r="E840" s="198">
        <v>240</v>
      </c>
      <c r="F840" s="34">
        <f>D840*E840</f>
        <v>48000</v>
      </c>
      <c r="G840" s="156" t="s">
        <v>104</v>
      </c>
      <c r="H840" s="155" t="s">
        <v>729</v>
      </c>
      <c r="I840" s="155" t="s">
        <v>778</v>
      </c>
      <c r="J840" s="130">
        <v>200</v>
      </c>
      <c r="K840" s="138">
        <f>E840*J840</f>
        <v>48000</v>
      </c>
      <c r="L840" s="78"/>
      <c r="M840" s="138"/>
      <c r="N840" s="131"/>
      <c r="O840" s="138">
        <f>E840*N840</f>
        <v>0</v>
      </c>
      <c r="P840" s="78"/>
      <c r="Q840" s="138"/>
      <c r="R840" s="91"/>
    </row>
    <row r="841" ht="15.75" spans="1:18">
      <c r="A841" s="11"/>
      <c r="B841" s="157" t="s">
        <v>486</v>
      </c>
      <c r="C841" s="191" t="s">
        <v>972</v>
      </c>
      <c r="D841" s="130">
        <v>10</v>
      </c>
      <c r="E841" s="198">
        <v>2500</v>
      </c>
      <c r="F841" s="34">
        <f>D841*E841</f>
        <v>25000</v>
      </c>
      <c r="G841" s="156" t="s">
        <v>104</v>
      </c>
      <c r="H841" s="155" t="s">
        <v>729</v>
      </c>
      <c r="I841" s="155" t="s">
        <v>778</v>
      </c>
      <c r="J841" s="130">
        <v>5</v>
      </c>
      <c r="K841" s="138">
        <f>E841*J841</f>
        <v>12500</v>
      </c>
      <c r="L841" s="78"/>
      <c r="M841" s="138"/>
      <c r="N841" s="131">
        <v>5</v>
      </c>
      <c r="O841" s="138">
        <f>E841*N841</f>
        <v>12500</v>
      </c>
      <c r="P841" s="78"/>
      <c r="Q841" s="138"/>
      <c r="R841" s="91"/>
    </row>
    <row r="842" ht="15.75" spans="1:18">
      <c r="A842" s="11"/>
      <c r="B842" s="157" t="s">
        <v>487</v>
      </c>
      <c r="C842" s="191" t="s">
        <v>972</v>
      </c>
      <c r="D842" s="130">
        <v>10</v>
      </c>
      <c r="E842" s="198">
        <v>3000</v>
      </c>
      <c r="F842" s="34">
        <f>D842*E842</f>
        <v>30000</v>
      </c>
      <c r="G842" s="156" t="s">
        <v>104</v>
      </c>
      <c r="H842" s="155" t="s">
        <v>729</v>
      </c>
      <c r="I842" s="155" t="s">
        <v>778</v>
      </c>
      <c r="J842" s="130">
        <v>10</v>
      </c>
      <c r="K842" s="138">
        <f>E842*J842</f>
        <v>30000</v>
      </c>
      <c r="L842" s="78"/>
      <c r="M842" s="138"/>
      <c r="N842" s="131"/>
      <c r="O842" s="138">
        <f>E842*N842</f>
        <v>0</v>
      </c>
      <c r="P842" s="78"/>
      <c r="Q842" s="138"/>
      <c r="R842" s="91"/>
    </row>
    <row r="843" ht="15.75" spans="1:18">
      <c r="A843" s="11"/>
      <c r="B843" s="157" t="s">
        <v>1314</v>
      </c>
      <c r="C843" s="191" t="s">
        <v>972</v>
      </c>
      <c r="D843" s="130">
        <v>20</v>
      </c>
      <c r="E843" s="198">
        <v>3500</v>
      </c>
      <c r="F843" s="34">
        <f>D843*E843</f>
        <v>70000</v>
      </c>
      <c r="G843" s="156" t="s">
        <v>104</v>
      </c>
      <c r="H843" s="155" t="s">
        <v>729</v>
      </c>
      <c r="I843" s="155" t="s">
        <v>778</v>
      </c>
      <c r="J843" s="130">
        <v>20</v>
      </c>
      <c r="K843" s="138">
        <f>E843*J843</f>
        <v>70000</v>
      </c>
      <c r="L843" s="78"/>
      <c r="M843" s="138"/>
      <c r="N843" s="131"/>
      <c r="O843" s="138">
        <f>E843*N843</f>
        <v>0</v>
      </c>
      <c r="P843" s="78"/>
      <c r="Q843" s="138"/>
      <c r="R843" s="91"/>
    </row>
    <row r="844" ht="15.75" spans="1:18">
      <c r="A844" s="11"/>
      <c r="B844" s="157" t="s">
        <v>1315</v>
      </c>
      <c r="C844" s="137" t="s">
        <v>799</v>
      </c>
      <c r="D844" s="142">
        <v>3</v>
      </c>
      <c r="E844" s="213">
        <v>2000</v>
      </c>
      <c r="F844" s="214">
        <v>6000</v>
      </c>
      <c r="G844" s="137" t="s">
        <v>37</v>
      </c>
      <c r="H844" s="215" t="s">
        <v>729</v>
      </c>
      <c r="I844" s="215" t="s">
        <v>778</v>
      </c>
      <c r="J844" s="140"/>
      <c r="K844" s="141"/>
      <c r="L844" s="142">
        <v>1</v>
      </c>
      <c r="M844" s="141">
        <v>2000</v>
      </c>
      <c r="N844" s="142">
        <v>2</v>
      </c>
      <c r="O844" s="141">
        <v>4000</v>
      </c>
      <c r="P844" s="142"/>
      <c r="Q844" s="141"/>
      <c r="R844" s="212"/>
    </row>
    <row r="845" ht="15.75" spans="1:18">
      <c r="A845" s="12"/>
      <c r="B845" s="137" t="s">
        <v>1316</v>
      </c>
      <c r="C845" s="175" t="s">
        <v>825</v>
      </c>
      <c r="D845" s="147">
        <v>10</v>
      </c>
      <c r="E845" s="158">
        <v>15000</v>
      </c>
      <c r="F845" s="233">
        <v>150000</v>
      </c>
      <c r="G845" s="137" t="s">
        <v>37</v>
      </c>
      <c r="H845" s="215" t="s">
        <v>729</v>
      </c>
      <c r="I845" s="215" t="s">
        <v>778</v>
      </c>
      <c r="J845" s="77"/>
      <c r="K845" s="77"/>
      <c r="L845" s="77"/>
      <c r="M845" s="77"/>
      <c r="N845" s="77">
        <v>10</v>
      </c>
      <c r="O845" s="150">
        <v>150000</v>
      </c>
      <c r="P845" s="77"/>
      <c r="Q845" s="77"/>
      <c r="R845" s="11"/>
    </row>
    <row r="846" ht="15.75" spans="1:18">
      <c r="A846" s="11"/>
      <c r="B846" s="157"/>
      <c r="C846" s="157"/>
      <c r="D846" s="77"/>
      <c r="E846" s="157"/>
      <c r="F846" s="157"/>
      <c r="G846" s="157"/>
      <c r="H846" s="35"/>
      <c r="I846" s="35"/>
      <c r="J846" s="77"/>
      <c r="K846" s="77"/>
      <c r="L846" s="77"/>
      <c r="M846" s="77"/>
      <c r="N846" s="77"/>
      <c r="O846" s="77"/>
      <c r="P846" s="77"/>
      <c r="Q846" s="77"/>
      <c r="R846" s="11"/>
    </row>
    <row r="847" ht="15.75" spans="1:18">
      <c r="A847" s="11"/>
      <c r="B847" s="12" t="s">
        <v>22</v>
      </c>
      <c r="C847" s="11"/>
      <c r="D847" s="14"/>
      <c r="E847" s="11"/>
      <c r="F847" s="192">
        <f>SUM(F840:F846)</f>
        <v>329000</v>
      </c>
      <c r="G847" s="11"/>
      <c r="H847" s="13"/>
      <c r="I847" s="13"/>
      <c r="J847" s="14"/>
      <c r="K847" s="14"/>
      <c r="L847" s="14"/>
      <c r="M847" s="14"/>
      <c r="N847" s="14"/>
      <c r="O847" s="14"/>
      <c r="P847" s="14"/>
      <c r="Q847" s="14"/>
      <c r="R847" s="11"/>
    </row>
    <row r="848" ht="15.75" spans="1:18">
      <c r="A848" s="11"/>
      <c r="B848" s="11"/>
      <c r="C848" s="11"/>
      <c r="D848" s="14"/>
      <c r="E848" s="11"/>
      <c r="F848" s="11"/>
      <c r="G848" s="11"/>
      <c r="H848" s="13"/>
      <c r="I848" s="13"/>
      <c r="J848" s="14"/>
      <c r="K848" s="14"/>
      <c r="L848" s="14"/>
      <c r="M848" s="14"/>
      <c r="N848" s="14"/>
      <c r="O848" s="14"/>
      <c r="P848" s="14"/>
      <c r="Q848" s="14"/>
      <c r="R848" s="11"/>
    </row>
    <row r="849" ht="15.75" spans="1:18">
      <c r="A849" s="12"/>
      <c r="B849" s="11" t="s">
        <v>400</v>
      </c>
      <c r="C849" s="11"/>
      <c r="D849" s="14"/>
      <c r="E849" s="11"/>
      <c r="F849" s="11"/>
      <c r="G849" s="11"/>
      <c r="H849" s="13"/>
      <c r="I849" s="13"/>
      <c r="J849" s="14"/>
      <c r="K849" s="14"/>
      <c r="L849" s="14"/>
      <c r="M849" s="14"/>
      <c r="N849" s="14"/>
      <c r="O849" s="14"/>
      <c r="P849" s="14"/>
      <c r="Q849" s="14"/>
      <c r="R849" s="11"/>
    </row>
    <row r="850" ht="15.75" spans="1:18">
      <c r="A850" s="12">
        <v>50</v>
      </c>
      <c r="B850" s="12" t="s">
        <v>1317</v>
      </c>
      <c r="C850" s="11"/>
      <c r="D850" s="14"/>
      <c r="E850" s="11"/>
      <c r="F850" s="11"/>
      <c r="G850" s="11"/>
      <c r="H850" s="13"/>
      <c r="I850" s="13"/>
      <c r="J850" s="14"/>
      <c r="K850" s="14"/>
      <c r="L850" s="14"/>
      <c r="M850" s="14"/>
      <c r="N850" s="14"/>
      <c r="O850" s="14"/>
      <c r="P850" s="14"/>
      <c r="Q850" s="14"/>
      <c r="R850" s="11"/>
    </row>
    <row r="851" ht="15.75" spans="1:18">
      <c r="A851" s="11"/>
      <c r="B851" s="11"/>
      <c r="C851" s="11"/>
      <c r="D851" s="14"/>
      <c r="E851" s="11"/>
      <c r="F851" s="11"/>
      <c r="G851" s="11"/>
      <c r="H851" s="13"/>
      <c r="I851" s="13"/>
      <c r="J851" s="14"/>
      <c r="K851" s="14"/>
      <c r="L851" s="14"/>
      <c r="M851" s="14"/>
      <c r="N851" s="14"/>
      <c r="O851" s="14"/>
      <c r="P851" s="14"/>
      <c r="Q851" s="14"/>
      <c r="R851" s="11"/>
    </row>
    <row r="852" ht="15.75" spans="1:18">
      <c r="A852" s="11">
        <v>51</v>
      </c>
      <c r="B852" s="229" t="s">
        <v>1318</v>
      </c>
      <c r="C852" s="11"/>
      <c r="D852" s="14"/>
      <c r="E852" s="11"/>
      <c r="F852" s="11"/>
      <c r="G852" s="11"/>
      <c r="H852" s="13"/>
      <c r="I852" s="13"/>
      <c r="J852" s="14"/>
      <c r="K852" s="14"/>
      <c r="L852" s="14"/>
      <c r="M852" s="14"/>
      <c r="N852" s="14"/>
      <c r="O852" s="14"/>
      <c r="P852" s="14"/>
      <c r="Q852" s="14"/>
      <c r="R852" s="11"/>
    </row>
    <row r="853" ht="15.75" spans="1:18">
      <c r="A853" s="12">
        <v>1</v>
      </c>
      <c r="B853" s="38" t="s">
        <v>1319</v>
      </c>
      <c r="C853" s="38" t="s">
        <v>1088</v>
      </c>
      <c r="D853" s="14">
        <v>365</v>
      </c>
      <c r="E853" s="225">
        <v>50</v>
      </c>
      <c r="F853" s="234">
        <f>E853*D853</f>
        <v>18250</v>
      </c>
      <c r="G853" s="38" t="s">
        <v>813</v>
      </c>
      <c r="H853" s="39" t="s">
        <v>729</v>
      </c>
      <c r="I853" s="39" t="s">
        <v>303</v>
      </c>
      <c r="J853" s="74">
        <v>91</v>
      </c>
      <c r="K853" s="75">
        <f>E853*J853</f>
        <v>4550</v>
      </c>
      <c r="L853" s="14">
        <v>91</v>
      </c>
      <c r="M853" s="75">
        <f>E853*L853</f>
        <v>4550</v>
      </c>
      <c r="N853" s="14">
        <v>91</v>
      </c>
      <c r="O853" s="75">
        <f>E853*N853</f>
        <v>4550</v>
      </c>
      <c r="P853" s="14">
        <v>92</v>
      </c>
      <c r="Q853" s="75">
        <f>E853*P853</f>
        <v>4600</v>
      </c>
      <c r="R853" s="11"/>
    </row>
    <row r="854" ht="15.75" spans="1:18">
      <c r="A854" s="11"/>
      <c r="B854" s="38"/>
      <c r="C854" s="11"/>
      <c r="D854" s="14"/>
      <c r="E854" s="11"/>
      <c r="F854" s="11"/>
      <c r="G854" s="11"/>
      <c r="H854" s="13"/>
      <c r="I854" s="13"/>
      <c r="J854" s="14"/>
      <c r="K854" s="14"/>
      <c r="L854" s="14"/>
      <c r="M854" s="14"/>
      <c r="N854" s="14"/>
      <c r="O854" s="14"/>
      <c r="P854" s="14"/>
      <c r="Q854" s="14"/>
      <c r="R854" s="11"/>
    </row>
    <row r="855" ht="15.75" spans="1:18">
      <c r="A855" s="11"/>
      <c r="B855" s="12" t="s">
        <v>22</v>
      </c>
      <c r="C855" s="12"/>
      <c r="D855" s="47"/>
      <c r="E855" s="12"/>
      <c r="F855" s="192">
        <f>SUM(F853:F854)</f>
        <v>18250</v>
      </c>
      <c r="G855" s="12"/>
      <c r="H855" s="13"/>
      <c r="I855" s="13"/>
      <c r="J855" s="14"/>
      <c r="K855" s="14"/>
      <c r="L855" s="14"/>
      <c r="M855" s="14"/>
      <c r="N855" s="14"/>
      <c r="O855" s="14"/>
      <c r="P855" s="14"/>
      <c r="Q855" s="14"/>
      <c r="R855" s="11"/>
    </row>
    <row r="856" ht="15.75" spans="1:18">
      <c r="A856" s="11"/>
      <c r="B856" s="11"/>
      <c r="C856" s="11"/>
      <c r="D856" s="14"/>
      <c r="E856" s="11"/>
      <c r="F856" s="11"/>
      <c r="G856" s="11"/>
      <c r="H856" s="13"/>
      <c r="I856" s="13"/>
      <c r="J856" s="14"/>
      <c r="K856" s="14"/>
      <c r="L856" s="14"/>
      <c r="M856" s="14"/>
      <c r="N856" s="14"/>
      <c r="O856" s="14"/>
      <c r="P856" s="14"/>
      <c r="Q856" s="14"/>
      <c r="R856" s="11"/>
    </row>
    <row r="857" ht="15.75" spans="1:18">
      <c r="A857" s="12">
        <v>52</v>
      </c>
      <c r="B857" s="12" t="s">
        <v>1320</v>
      </c>
      <c r="C857" s="11"/>
      <c r="D857" s="14"/>
      <c r="E857" s="11"/>
      <c r="F857" s="11"/>
      <c r="G857" s="11"/>
      <c r="H857" s="13"/>
      <c r="I857" s="13"/>
      <c r="J857" s="14"/>
      <c r="K857" s="14"/>
      <c r="L857" s="14"/>
      <c r="M857" s="14"/>
      <c r="N857" s="14"/>
      <c r="O857" s="14"/>
      <c r="P857" s="14"/>
      <c r="Q857" s="14"/>
      <c r="R857" s="11"/>
    </row>
    <row r="858" ht="15.75" spans="1:18">
      <c r="A858" s="11">
        <v>1</v>
      </c>
      <c r="B858" s="19" t="s">
        <v>1321</v>
      </c>
      <c r="C858" s="11"/>
      <c r="D858" s="14">
        <v>16</v>
      </c>
      <c r="E858" s="11">
        <v>150000</v>
      </c>
      <c r="F858" s="170">
        <v>2400000</v>
      </c>
      <c r="G858" s="11"/>
      <c r="H858" s="13"/>
      <c r="I858" s="13"/>
      <c r="J858" s="14">
        <v>4</v>
      </c>
      <c r="K858" s="14">
        <v>600000</v>
      </c>
      <c r="L858" s="14">
        <v>4</v>
      </c>
      <c r="M858" s="14">
        <v>600000</v>
      </c>
      <c r="N858" s="14">
        <v>4</v>
      </c>
      <c r="O858" s="14">
        <v>600000</v>
      </c>
      <c r="P858" s="14">
        <v>4</v>
      </c>
      <c r="Q858" s="14">
        <v>600000</v>
      </c>
      <c r="R858" s="11"/>
    </row>
    <row r="859" ht="15.75" spans="1:18">
      <c r="A859" s="11"/>
      <c r="B859" s="11"/>
      <c r="C859" s="11"/>
      <c r="D859" s="14"/>
      <c r="E859" s="11"/>
      <c r="F859" s="11"/>
      <c r="G859" s="11"/>
      <c r="H859" s="13"/>
      <c r="I859" s="13"/>
      <c r="J859" s="14"/>
      <c r="K859" s="14"/>
      <c r="L859" s="14"/>
      <c r="M859" s="14"/>
      <c r="N859" s="14"/>
      <c r="O859" s="14"/>
      <c r="P859" s="14"/>
      <c r="Q859" s="14"/>
      <c r="R859" s="11"/>
    </row>
    <row r="860" ht="15.75" spans="1:18">
      <c r="A860" s="11"/>
      <c r="B860" s="235" t="s">
        <v>22</v>
      </c>
      <c r="C860" s="12"/>
      <c r="D860" s="47"/>
      <c r="E860" s="12"/>
      <c r="F860" s="206">
        <f>SUM(F858:F859)</f>
        <v>2400000</v>
      </c>
      <c r="G860" s="11"/>
      <c r="H860" s="13"/>
      <c r="I860" s="13"/>
      <c r="J860" s="14"/>
      <c r="K860" s="14"/>
      <c r="L860" s="14"/>
      <c r="M860" s="14"/>
      <c r="N860" s="14"/>
      <c r="O860" s="14"/>
      <c r="P860" s="14"/>
      <c r="Q860" s="14"/>
      <c r="R860" s="11"/>
    </row>
    <row r="861" ht="15.75" spans="1:18">
      <c r="A861" s="11">
        <v>53</v>
      </c>
      <c r="B861" s="12" t="s">
        <v>1322</v>
      </c>
      <c r="C861" s="11"/>
      <c r="D861" s="14"/>
      <c r="E861" s="11"/>
      <c r="F861" s="11"/>
      <c r="G861" s="11"/>
      <c r="H861" s="13"/>
      <c r="I861" s="13"/>
      <c r="J861" s="14"/>
      <c r="K861" s="14"/>
      <c r="L861" s="14"/>
      <c r="M861" s="14"/>
      <c r="N861" s="14"/>
      <c r="O861" s="14"/>
      <c r="P861" s="14"/>
      <c r="Q861" s="14"/>
      <c r="R861" s="11"/>
    </row>
    <row r="862" ht="31.5" spans="1:18">
      <c r="A862" s="11"/>
      <c r="B862" s="38" t="s">
        <v>1323</v>
      </c>
      <c r="C862" s="38" t="s">
        <v>1324</v>
      </c>
      <c r="D862" s="14">
        <v>3</v>
      </c>
      <c r="E862" s="225">
        <v>11000</v>
      </c>
      <c r="F862" s="75">
        <f>E862*D862</f>
        <v>33000</v>
      </c>
      <c r="G862" s="38" t="s">
        <v>813</v>
      </c>
      <c r="H862" s="39" t="s">
        <v>729</v>
      </c>
      <c r="I862" s="39" t="s">
        <v>1303</v>
      </c>
      <c r="J862" s="74"/>
      <c r="K862" s="75">
        <f>E862*J862</f>
        <v>0</v>
      </c>
      <c r="L862" s="14"/>
      <c r="M862" s="75">
        <f>E862*L862</f>
        <v>0</v>
      </c>
      <c r="N862" s="14"/>
      <c r="O862" s="75">
        <f>E862*N862</f>
        <v>0</v>
      </c>
      <c r="P862" s="14">
        <v>3</v>
      </c>
      <c r="Q862" s="75">
        <f>E862*P862</f>
        <v>33000</v>
      </c>
      <c r="R862" s="11"/>
    </row>
    <row r="863" ht="15.75" spans="1:18">
      <c r="A863" s="11"/>
      <c r="B863" s="236" t="s">
        <v>1322</v>
      </c>
      <c r="C863" s="11"/>
      <c r="D863" s="20">
        <v>4</v>
      </c>
      <c r="E863" s="19">
        <v>20000</v>
      </c>
      <c r="F863" s="19">
        <v>80000</v>
      </c>
      <c r="G863" s="11" t="s">
        <v>40</v>
      </c>
      <c r="H863" s="39" t="s">
        <v>729</v>
      </c>
      <c r="I863" s="13" t="s">
        <v>778</v>
      </c>
      <c r="J863" s="14"/>
      <c r="K863" s="14"/>
      <c r="L863" s="14">
        <v>4</v>
      </c>
      <c r="M863" s="14">
        <v>80000</v>
      </c>
      <c r="N863" s="14"/>
      <c r="O863" s="14"/>
      <c r="P863" s="14"/>
      <c r="Q863" s="14"/>
      <c r="R863" s="11"/>
    </row>
    <row r="864" ht="15.75" spans="1:18">
      <c r="A864" s="11"/>
      <c r="B864" s="19" t="s">
        <v>1325</v>
      </c>
      <c r="C864" s="11"/>
      <c r="D864" s="180">
        <v>4</v>
      </c>
      <c r="E864" s="102">
        <v>20000</v>
      </c>
      <c r="F864" s="102">
        <v>80000</v>
      </c>
      <c r="G864" s="11" t="s">
        <v>40</v>
      </c>
      <c r="H864" s="39" t="s">
        <v>729</v>
      </c>
      <c r="I864" s="13" t="s">
        <v>778</v>
      </c>
      <c r="J864" s="14"/>
      <c r="K864" s="14"/>
      <c r="L864" s="14">
        <v>4</v>
      </c>
      <c r="M864" s="14">
        <v>80000</v>
      </c>
      <c r="N864" s="14"/>
      <c r="O864" s="14"/>
      <c r="P864" s="14"/>
      <c r="Q864" s="14"/>
      <c r="R864" s="11"/>
    </row>
    <row r="865" ht="15.75" spans="1:18">
      <c r="A865" s="11"/>
      <c r="B865" s="102" t="s">
        <v>1326</v>
      </c>
      <c r="C865" s="11"/>
      <c r="D865" s="180">
        <v>2</v>
      </c>
      <c r="E865" s="237">
        <v>500000</v>
      </c>
      <c r="F865" s="102">
        <v>1000000</v>
      </c>
      <c r="G865" s="11" t="s">
        <v>40</v>
      </c>
      <c r="H865" s="39" t="s">
        <v>729</v>
      </c>
      <c r="I865" s="13" t="s">
        <v>778</v>
      </c>
      <c r="J865" s="14"/>
      <c r="K865" s="14"/>
      <c r="L865" s="14">
        <v>2</v>
      </c>
      <c r="M865" s="14">
        <v>1000000</v>
      </c>
      <c r="N865" s="14"/>
      <c r="O865" s="14"/>
      <c r="P865" s="14"/>
      <c r="Q865" s="14"/>
      <c r="R865" s="11"/>
    </row>
    <row r="866" ht="15.75" spans="1:18">
      <c r="A866" s="11"/>
      <c r="B866" s="102" t="s">
        <v>1306</v>
      </c>
      <c r="C866" s="11"/>
      <c r="D866" s="14"/>
      <c r="E866" s="11"/>
      <c r="F866" s="11"/>
      <c r="G866" s="11"/>
      <c r="H866" s="39" t="s">
        <v>729</v>
      </c>
      <c r="I866" s="13" t="s">
        <v>778</v>
      </c>
      <c r="J866" s="14"/>
      <c r="K866" s="14"/>
      <c r="L866" s="14"/>
      <c r="M866" s="14"/>
      <c r="N866" s="14"/>
      <c r="O866" s="14"/>
      <c r="P866" s="14"/>
      <c r="Q866" s="14"/>
      <c r="R866" s="11"/>
    </row>
    <row r="867" ht="15.75" spans="1:18">
      <c r="A867" s="11"/>
      <c r="B867" s="238" t="s">
        <v>1327</v>
      </c>
      <c r="C867" s="11" t="s">
        <v>1328</v>
      </c>
      <c r="D867" s="14">
        <v>6</v>
      </c>
      <c r="E867" s="11">
        <v>6000</v>
      </c>
      <c r="F867" s="11">
        <v>36000</v>
      </c>
      <c r="G867" s="11" t="s">
        <v>1329</v>
      </c>
      <c r="H867" s="39" t="s">
        <v>729</v>
      </c>
      <c r="I867" s="13" t="s">
        <v>778</v>
      </c>
      <c r="J867" s="14"/>
      <c r="K867" s="14"/>
      <c r="L867" s="14">
        <v>6</v>
      </c>
      <c r="M867" s="14">
        <v>36000</v>
      </c>
      <c r="N867" s="14"/>
      <c r="O867" s="14"/>
      <c r="P867" s="14"/>
      <c r="Q867" s="14"/>
      <c r="R867" s="11"/>
    </row>
    <row r="868" ht="15.75" spans="1:18">
      <c r="A868" s="11"/>
      <c r="B868" s="12" t="s">
        <v>22</v>
      </c>
      <c r="C868" s="12"/>
      <c r="D868" s="47"/>
      <c r="E868" s="12"/>
      <c r="F868" s="192">
        <f>SUM(F862:F867)</f>
        <v>1229000</v>
      </c>
      <c r="G868" s="11"/>
      <c r="H868" s="13"/>
      <c r="I868" s="13"/>
      <c r="J868" s="14"/>
      <c r="K868" s="14"/>
      <c r="L868" s="14"/>
      <c r="M868" s="14"/>
      <c r="N868" s="14"/>
      <c r="O868" s="14"/>
      <c r="P868" s="14"/>
      <c r="Q868" s="14"/>
      <c r="R868" s="11"/>
    </row>
    <row r="869" ht="15.75" spans="1:18">
      <c r="A869" s="12"/>
      <c r="B869" s="11"/>
      <c r="C869" s="11"/>
      <c r="D869" s="14"/>
      <c r="E869" s="11"/>
      <c r="F869" s="11"/>
      <c r="G869" s="11"/>
      <c r="H869" s="13"/>
      <c r="I869" s="13"/>
      <c r="J869" s="14"/>
      <c r="K869" s="14"/>
      <c r="L869" s="14"/>
      <c r="M869" s="14"/>
      <c r="N869" s="14"/>
      <c r="O869" s="14"/>
      <c r="P869" s="14"/>
      <c r="Q869" s="14"/>
      <c r="R869" s="11"/>
    </row>
    <row r="870" ht="15.75" spans="1:18">
      <c r="A870" s="12">
        <v>54</v>
      </c>
      <c r="B870" s="12" t="s">
        <v>1330</v>
      </c>
      <c r="C870" s="11"/>
      <c r="D870" s="14"/>
      <c r="E870" s="11"/>
      <c r="F870" s="11"/>
      <c r="G870" s="11"/>
      <c r="H870" s="13"/>
      <c r="I870" s="13"/>
      <c r="J870" s="14"/>
      <c r="K870" s="14"/>
      <c r="L870" s="14"/>
      <c r="M870" s="14"/>
      <c r="N870" s="14"/>
      <c r="O870" s="14"/>
      <c r="P870" s="14"/>
      <c r="Q870" s="14"/>
      <c r="R870" s="11"/>
    </row>
    <row r="871" ht="15.75" spans="1:18">
      <c r="A871" s="11"/>
      <c r="B871" s="11"/>
      <c r="C871" s="11"/>
      <c r="D871" s="14"/>
      <c r="E871" s="11"/>
      <c r="F871" s="11"/>
      <c r="G871" s="11"/>
      <c r="H871" s="13"/>
      <c r="I871" s="13"/>
      <c r="J871" s="14"/>
      <c r="K871" s="14"/>
      <c r="L871" s="14"/>
      <c r="M871" s="14"/>
      <c r="N871" s="14"/>
      <c r="O871" s="14"/>
      <c r="P871" s="14"/>
      <c r="Q871" s="14"/>
      <c r="R871" s="11"/>
    </row>
    <row r="872" ht="15.75" spans="1:18">
      <c r="A872" s="11"/>
      <c r="B872" s="11"/>
      <c r="C872" s="11"/>
      <c r="D872" s="14"/>
      <c r="E872" s="11"/>
      <c r="F872" s="11"/>
      <c r="G872" s="11"/>
      <c r="H872" s="13"/>
      <c r="I872" s="13"/>
      <c r="J872" s="14"/>
      <c r="K872" s="14"/>
      <c r="L872" s="14"/>
      <c r="M872" s="14"/>
      <c r="N872" s="14"/>
      <c r="O872" s="14"/>
      <c r="P872" s="14"/>
      <c r="Q872" s="14"/>
      <c r="R872" s="11"/>
    </row>
    <row r="873" ht="15.75" spans="1:18">
      <c r="A873" s="11"/>
      <c r="B873" s="11"/>
      <c r="C873" s="11"/>
      <c r="D873" s="14"/>
      <c r="E873" s="11"/>
      <c r="F873" s="11"/>
      <c r="G873" s="11"/>
      <c r="H873" s="13"/>
      <c r="I873" s="13"/>
      <c r="J873" s="14"/>
      <c r="K873" s="14"/>
      <c r="L873" s="14"/>
      <c r="M873" s="14"/>
      <c r="N873" s="14"/>
      <c r="O873" s="14"/>
      <c r="P873" s="14"/>
      <c r="Q873" s="14"/>
      <c r="R873" s="11"/>
    </row>
    <row r="874" ht="15.75" spans="1:18">
      <c r="A874" s="12"/>
      <c r="B874" s="11"/>
      <c r="C874" s="11"/>
      <c r="D874" s="14"/>
      <c r="E874" s="11"/>
      <c r="F874" s="11"/>
      <c r="G874" s="11"/>
      <c r="H874" s="13"/>
      <c r="I874" s="13"/>
      <c r="J874" s="14"/>
      <c r="K874" s="14"/>
      <c r="L874" s="14"/>
      <c r="M874" s="14"/>
      <c r="N874" s="14"/>
      <c r="O874" s="14"/>
      <c r="P874" s="14"/>
      <c r="Q874" s="14"/>
      <c r="R874" s="11"/>
    </row>
    <row r="875" ht="15.75" spans="1:18">
      <c r="A875" s="12">
        <v>55</v>
      </c>
      <c r="B875" s="12" t="s">
        <v>1331</v>
      </c>
      <c r="C875" s="11"/>
      <c r="D875" s="14"/>
      <c r="E875" s="11"/>
      <c r="F875" s="11"/>
      <c r="G875" s="11"/>
      <c r="H875" s="13"/>
      <c r="I875" s="13"/>
      <c r="J875" s="14"/>
      <c r="K875" s="14"/>
      <c r="L875" s="14"/>
      <c r="M875" s="14"/>
      <c r="N875" s="14"/>
      <c r="O875" s="14"/>
      <c r="P875" s="14"/>
      <c r="Q875" s="14"/>
      <c r="R875" s="11"/>
    </row>
    <row r="876" ht="15.75" spans="1:18">
      <c r="A876" s="12"/>
      <c r="B876" s="11"/>
      <c r="C876" s="11"/>
      <c r="D876" s="14"/>
      <c r="E876" s="11"/>
      <c r="F876" s="11"/>
      <c r="G876" s="11"/>
      <c r="H876" s="13"/>
      <c r="I876" s="13"/>
      <c r="J876" s="14"/>
      <c r="K876" s="14"/>
      <c r="L876" s="14"/>
      <c r="M876" s="14"/>
      <c r="N876" s="14"/>
      <c r="O876" s="14"/>
      <c r="P876" s="14"/>
      <c r="Q876" s="14"/>
      <c r="R876" s="11"/>
    </row>
    <row r="877" ht="15.75" spans="1:18">
      <c r="A877" s="11"/>
      <c r="B877" s="11"/>
      <c r="C877" s="11"/>
      <c r="D877" s="14"/>
      <c r="E877" s="11"/>
      <c r="F877" s="11"/>
      <c r="G877" s="11"/>
      <c r="H877" s="13"/>
      <c r="I877" s="13"/>
      <c r="J877" s="14"/>
      <c r="K877" s="14"/>
      <c r="L877" s="14"/>
      <c r="M877" s="14"/>
      <c r="N877" s="14"/>
      <c r="O877" s="14"/>
      <c r="P877" s="14"/>
      <c r="Q877" s="14"/>
      <c r="R877" s="11"/>
    </row>
    <row r="878" ht="15.75" spans="1:18">
      <c r="A878" s="11"/>
      <c r="B878" s="11"/>
      <c r="C878" s="11"/>
      <c r="D878" s="14"/>
      <c r="E878" s="11"/>
      <c r="F878" s="11"/>
      <c r="G878" s="11"/>
      <c r="H878" s="13"/>
      <c r="I878" s="13"/>
      <c r="J878" s="14"/>
      <c r="K878" s="14"/>
      <c r="L878" s="14"/>
      <c r="M878" s="14"/>
      <c r="N878" s="14"/>
      <c r="O878" s="14"/>
      <c r="P878" s="14"/>
      <c r="Q878" s="14"/>
      <c r="R878" s="11"/>
    </row>
    <row r="879" ht="15.75" spans="1:18">
      <c r="A879" s="11">
        <v>56</v>
      </c>
      <c r="B879" s="12" t="s">
        <v>1332</v>
      </c>
      <c r="C879" s="11"/>
      <c r="D879" s="14"/>
      <c r="E879" s="11"/>
      <c r="F879" s="11"/>
      <c r="G879" s="11"/>
      <c r="H879" s="13"/>
      <c r="I879" s="13"/>
      <c r="J879" s="14"/>
      <c r="K879" s="14"/>
      <c r="L879" s="14"/>
      <c r="M879" s="14"/>
      <c r="N879" s="14"/>
      <c r="O879" s="14"/>
      <c r="P879" s="14"/>
      <c r="Q879" s="14"/>
      <c r="R879" s="11"/>
    </row>
    <row r="880" ht="15.75" spans="1:18">
      <c r="A880" s="11">
        <v>1</v>
      </c>
      <c r="B880" s="32" t="s">
        <v>554</v>
      </c>
      <c r="C880" s="32" t="s">
        <v>1087</v>
      </c>
      <c r="D880" s="37">
        <v>2</v>
      </c>
      <c r="E880" s="169">
        <v>24000</v>
      </c>
      <c r="F880" s="169">
        <v>48000</v>
      </c>
      <c r="G880" s="35" t="s">
        <v>35</v>
      </c>
      <c r="H880" s="13" t="s">
        <v>896</v>
      </c>
      <c r="I880" s="13" t="s">
        <v>1333</v>
      </c>
      <c r="J880" s="77"/>
      <c r="K880" s="77">
        <v>48000</v>
      </c>
      <c r="L880" s="77"/>
      <c r="M880" s="77"/>
      <c r="N880" s="77"/>
      <c r="O880" s="77"/>
      <c r="P880" s="77"/>
      <c r="Q880" s="77"/>
      <c r="R880" s="91"/>
    </row>
    <row r="881" ht="15.75" spans="1:18">
      <c r="A881" s="11"/>
      <c r="C881" s="11"/>
      <c r="D881" s="14"/>
      <c r="E881" s="11"/>
      <c r="F881" s="11"/>
      <c r="G881" s="11"/>
      <c r="H881" s="13"/>
      <c r="I881" s="13"/>
      <c r="J881" s="14"/>
      <c r="K881" s="14"/>
      <c r="L881" s="14"/>
      <c r="M881" s="14"/>
      <c r="N881" s="14"/>
      <c r="O881" s="14"/>
      <c r="P881" s="14"/>
      <c r="Q881" s="14"/>
      <c r="R881" s="11"/>
    </row>
    <row r="882" ht="15.75" spans="1:18">
      <c r="A882" s="11"/>
      <c r="B882" s="133"/>
      <c r="C882" s="11"/>
      <c r="D882" s="14"/>
      <c r="E882" s="11"/>
      <c r="F882" s="11"/>
      <c r="G882" s="11"/>
      <c r="H882" s="13"/>
      <c r="I882" s="13"/>
      <c r="J882" s="14"/>
      <c r="K882" s="14"/>
      <c r="L882" s="14"/>
      <c r="M882" s="14"/>
      <c r="N882" s="14"/>
      <c r="O882" s="14"/>
      <c r="P882" s="14"/>
      <c r="Q882" s="14"/>
      <c r="R882" s="11"/>
    </row>
    <row r="883" ht="15.75" spans="1:18">
      <c r="A883" s="12"/>
      <c r="B883" s="32"/>
      <c r="C883" s="12"/>
      <c r="D883" s="118"/>
      <c r="E883" s="11"/>
      <c r="F883" s="11"/>
      <c r="G883" s="11"/>
      <c r="H883" s="13"/>
      <c r="I883" s="13"/>
      <c r="J883" s="14"/>
      <c r="K883" s="14"/>
      <c r="L883" s="14"/>
      <c r="M883" s="14"/>
      <c r="N883" s="14"/>
      <c r="O883" s="14"/>
      <c r="P883" s="14"/>
      <c r="Q883" s="14"/>
      <c r="R883" s="11"/>
    </row>
    <row r="884" ht="15.75" spans="1:18">
      <c r="A884" s="11"/>
      <c r="B884" s="11"/>
      <c r="C884" s="11"/>
      <c r="D884" s="14"/>
      <c r="E884" s="11"/>
      <c r="F884" s="11"/>
      <c r="G884" s="11"/>
      <c r="H884" s="13"/>
      <c r="I884" s="13"/>
      <c r="J884" s="14"/>
      <c r="K884" s="14"/>
      <c r="L884" s="14"/>
      <c r="M884" s="14"/>
      <c r="N884" s="14"/>
      <c r="O884" s="14"/>
      <c r="P884" s="14"/>
      <c r="Q884" s="14"/>
      <c r="R884" s="11"/>
    </row>
    <row r="885" ht="15.75" spans="1:18">
      <c r="A885" s="11"/>
      <c r="B885" s="12" t="s">
        <v>22</v>
      </c>
      <c r="C885" s="11"/>
      <c r="D885" s="14"/>
      <c r="E885" s="11"/>
      <c r="F885" s="192">
        <f>SUM(F880:F884)</f>
        <v>48000</v>
      </c>
      <c r="G885" s="11"/>
      <c r="H885" s="13"/>
      <c r="I885" s="13"/>
      <c r="J885" s="14"/>
      <c r="K885" s="14"/>
      <c r="L885" s="14"/>
      <c r="M885" s="14"/>
      <c r="N885" s="14"/>
      <c r="O885" s="14"/>
      <c r="P885" s="14"/>
      <c r="Q885" s="14"/>
      <c r="R885" s="11"/>
    </row>
    <row r="886" ht="15.75" spans="1:18">
      <c r="A886" s="12">
        <v>56</v>
      </c>
      <c r="B886" s="11"/>
      <c r="C886" s="11"/>
      <c r="D886" s="14"/>
      <c r="E886" s="11"/>
      <c r="F886" s="11"/>
      <c r="G886" s="11"/>
      <c r="H886" s="13"/>
      <c r="I886" s="13"/>
      <c r="J886" s="14"/>
      <c r="K886" s="14"/>
      <c r="L886" s="14"/>
      <c r="M886" s="14"/>
      <c r="N886" s="14"/>
      <c r="O886" s="14"/>
      <c r="P886" s="14"/>
      <c r="Q886" s="14"/>
      <c r="R886" s="11"/>
    </row>
    <row r="887" ht="15.75" spans="1:18">
      <c r="A887" s="12"/>
      <c r="B887" s="12" t="s">
        <v>1334</v>
      </c>
      <c r="C887" s="11"/>
      <c r="D887" s="14"/>
      <c r="E887" s="11"/>
      <c r="F887" s="11"/>
      <c r="G887" s="11"/>
      <c r="H887" s="13"/>
      <c r="I887" s="13"/>
      <c r="J887" s="14"/>
      <c r="K887" s="14"/>
      <c r="L887" s="14"/>
      <c r="M887" s="14"/>
      <c r="N887" s="14"/>
      <c r="O887" s="14"/>
      <c r="P887" s="14"/>
      <c r="Q887" s="14"/>
      <c r="R887" s="11"/>
    </row>
    <row r="888" ht="51" customHeight="1" spans="1:18">
      <c r="A888" s="11"/>
      <c r="B888" s="16" t="s">
        <v>1335</v>
      </c>
      <c r="C888" s="16"/>
      <c r="D888" s="17"/>
      <c r="E888" s="49"/>
      <c r="F888" s="239">
        <v>5000000</v>
      </c>
      <c r="G888" s="16" t="s">
        <v>46</v>
      </c>
      <c r="H888" s="16"/>
      <c r="I888" s="16"/>
      <c r="J888" s="245"/>
      <c r="K888" s="111">
        <v>2500000</v>
      </c>
      <c r="L888" s="181"/>
      <c r="M888" s="69">
        <v>2500000</v>
      </c>
      <c r="N888" s="181"/>
      <c r="O888" s="69"/>
      <c r="P888" s="68"/>
      <c r="Q888" s="69"/>
      <c r="R888" s="11"/>
    </row>
    <row r="889" ht="44.25" customHeight="1" spans="1:18">
      <c r="A889" s="11"/>
      <c r="B889" s="240" t="s">
        <v>1336</v>
      </c>
      <c r="C889" s="16"/>
      <c r="D889" s="17"/>
      <c r="E889" s="49"/>
      <c r="F889" s="239">
        <v>30000000</v>
      </c>
      <c r="G889" s="16" t="s">
        <v>46</v>
      </c>
      <c r="H889" s="16"/>
      <c r="I889" s="16"/>
      <c r="J889" s="68"/>
      <c r="K889" s="69"/>
      <c r="L889" s="68"/>
      <c r="M889" s="69">
        <v>10000000</v>
      </c>
      <c r="N889" s="68"/>
      <c r="O889" s="69">
        <v>10000000</v>
      </c>
      <c r="P889" s="68"/>
      <c r="Q889" s="69">
        <v>10000000</v>
      </c>
      <c r="R889" s="11"/>
    </row>
    <row r="890" ht="31.5" spans="1:18">
      <c r="A890" s="11"/>
      <c r="B890" s="240" t="s">
        <v>1337</v>
      </c>
      <c r="C890" s="16"/>
      <c r="D890" s="17"/>
      <c r="E890" s="49"/>
      <c r="F890" s="241">
        <v>200000</v>
      </c>
      <c r="G890" s="16" t="s">
        <v>46</v>
      </c>
      <c r="H890" s="16"/>
      <c r="I890" s="16"/>
      <c r="J890" s="245"/>
      <c r="K890" s="69">
        <v>200000</v>
      </c>
      <c r="L890" s="68"/>
      <c r="M890" s="69"/>
      <c r="N890" s="70"/>
      <c r="O890" s="69"/>
      <c r="P890" s="70"/>
      <c r="Q890" s="69"/>
      <c r="R890" s="11"/>
    </row>
    <row r="891" ht="18" customHeight="1" spans="1:18">
      <c r="A891" s="11"/>
      <c r="B891" s="48" t="s">
        <v>1338</v>
      </c>
      <c r="C891" s="49" t="s">
        <v>1339</v>
      </c>
      <c r="D891" s="17">
        <v>1</v>
      </c>
      <c r="E891" s="49">
        <v>36000</v>
      </c>
      <c r="F891" s="17">
        <v>36000</v>
      </c>
      <c r="G891" s="16" t="s">
        <v>46</v>
      </c>
      <c r="H891" s="49"/>
      <c r="I891" s="49"/>
      <c r="J891" s="68"/>
      <c r="K891" s="17"/>
      <c r="L891" s="17">
        <v>1</v>
      </c>
      <c r="M891" s="17">
        <v>36000</v>
      </c>
      <c r="N891" s="17"/>
      <c r="O891" s="17"/>
      <c r="P891" s="17"/>
      <c r="Q891" s="17"/>
      <c r="R891" s="11"/>
    </row>
    <row r="892" ht="21.75" customHeight="1" spans="1:18">
      <c r="A892" s="11"/>
      <c r="B892" s="48" t="s">
        <v>1340</v>
      </c>
      <c r="C892" s="49" t="s">
        <v>1341</v>
      </c>
      <c r="D892" s="17">
        <v>1</v>
      </c>
      <c r="E892" s="242">
        <v>24000</v>
      </c>
      <c r="F892" s="111">
        <v>24000</v>
      </c>
      <c r="G892" s="16" t="s">
        <v>46</v>
      </c>
      <c r="H892" s="49"/>
      <c r="I892" s="49"/>
      <c r="J892" s="68"/>
      <c r="K892" s="17"/>
      <c r="L892" s="17">
        <v>1</v>
      </c>
      <c r="M892" s="17">
        <v>24000</v>
      </c>
      <c r="N892" s="17"/>
      <c r="O892" s="17"/>
      <c r="P892" s="17"/>
      <c r="Q892" s="17"/>
      <c r="R892" s="11"/>
    </row>
    <row r="893" ht="18.75" customHeight="1" spans="1:18">
      <c r="A893" s="11"/>
      <c r="B893" s="48" t="s">
        <v>1342</v>
      </c>
      <c r="C893" s="49" t="s">
        <v>1341</v>
      </c>
      <c r="D893" s="17">
        <v>1</v>
      </c>
      <c r="E893" s="242">
        <v>24000</v>
      </c>
      <c r="F893" s="111">
        <v>24000</v>
      </c>
      <c r="G893" s="16" t="s">
        <v>46</v>
      </c>
      <c r="H893" s="49"/>
      <c r="I893" s="49"/>
      <c r="J893" s="68"/>
      <c r="K893" s="17"/>
      <c r="L893" s="17">
        <v>1</v>
      </c>
      <c r="M893" s="17">
        <v>24000</v>
      </c>
      <c r="N893" s="17"/>
      <c r="O893" s="17"/>
      <c r="P893" s="17"/>
      <c r="Q893" s="17"/>
      <c r="R893" s="11"/>
    </row>
    <row r="894" ht="21" customHeight="1" spans="1:18">
      <c r="A894" s="11"/>
      <c r="B894" s="48" t="s">
        <v>1343</v>
      </c>
      <c r="C894" s="49" t="s">
        <v>1341</v>
      </c>
      <c r="D894" s="17">
        <v>1</v>
      </c>
      <c r="E894" s="49">
        <v>10000</v>
      </c>
      <c r="F894" s="17">
        <v>10000</v>
      </c>
      <c r="G894" s="16" t="s">
        <v>46</v>
      </c>
      <c r="H894" s="49"/>
      <c r="I894" s="49"/>
      <c r="J894" s="68"/>
      <c r="K894" s="17"/>
      <c r="L894" s="17">
        <v>1</v>
      </c>
      <c r="M894" s="17">
        <v>10000</v>
      </c>
      <c r="N894" s="17"/>
      <c r="O894" s="17"/>
      <c r="P894" s="17"/>
      <c r="Q894" s="17"/>
      <c r="R894" s="11"/>
    </row>
    <row r="895" ht="15.75" spans="1:18">
      <c r="A895" s="11"/>
      <c r="B895" s="48" t="s">
        <v>1344</v>
      </c>
      <c r="C895" s="243" t="s">
        <v>1341</v>
      </c>
      <c r="D895" s="17">
        <v>1</v>
      </c>
      <c r="E895" s="243">
        <v>6000</v>
      </c>
      <c r="F895" s="244">
        <v>6000</v>
      </c>
      <c r="G895" s="16" t="s">
        <v>46</v>
      </c>
      <c r="H895" s="243"/>
      <c r="I895" s="243"/>
      <c r="J895" s="68"/>
      <c r="K895" s="244"/>
      <c r="L895" s="244">
        <v>1</v>
      </c>
      <c r="M895" s="244">
        <v>6000</v>
      </c>
      <c r="N895" s="244"/>
      <c r="O895" s="244"/>
      <c r="P895" s="244"/>
      <c r="Q895" s="17"/>
      <c r="R895" s="11"/>
    </row>
    <row r="896" ht="24.75" customHeight="1" spans="1:18">
      <c r="A896" s="11"/>
      <c r="B896" s="48" t="s">
        <v>1345</v>
      </c>
      <c r="C896" s="11"/>
      <c r="D896" s="17"/>
      <c r="E896" s="49"/>
      <c r="F896" s="14">
        <v>90000</v>
      </c>
      <c r="G896" s="16" t="s">
        <v>46</v>
      </c>
      <c r="H896" s="49"/>
      <c r="I896" s="49"/>
      <c r="J896" s="68"/>
      <c r="K896" s="17"/>
      <c r="L896" s="17"/>
      <c r="M896" s="17">
        <v>90000</v>
      </c>
      <c r="N896" s="17"/>
      <c r="O896" s="17"/>
      <c r="P896" s="17"/>
      <c r="Q896" s="17"/>
      <c r="R896" s="11"/>
    </row>
    <row r="897" ht="18.75" customHeight="1" spans="1:18">
      <c r="A897" s="11"/>
      <c r="B897" s="11" t="s">
        <v>1346</v>
      </c>
      <c r="C897" s="11"/>
      <c r="D897" s="17"/>
      <c r="E897" s="49"/>
      <c r="F897" s="14">
        <v>350000</v>
      </c>
      <c r="G897" s="16" t="s">
        <v>46</v>
      </c>
      <c r="H897" s="49"/>
      <c r="I897" s="49"/>
      <c r="J897" s="68"/>
      <c r="K897" s="17">
        <v>87500</v>
      </c>
      <c r="L897" s="17"/>
      <c r="M897" s="17">
        <v>87500</v>
      </c>
      <c r="N897" s="17"/>
      <c r="O897" s="17">
        <v>87500</v>
      </c>
      <c r="P897" s="17"/>
      <c r="Q897" s="17">
        <v>87500</v>
      </c>
      <c r="R897" s="11"/>
    </row>
    <row r="898" ht="18.75" customHeight="1" spans="1:18">
      <c r="A898" s="11"/>
      <c r="B898" s="11" t="s">
        <v>1347</v>
      </c>
      <c r="C898" s="133"/>
      <c r="D898" s="17"/>
      <c r="E898" s="49"/>
      <c r="F898" s="14">
        <v>500000</v>
      </c>
      <c r="G898" s="16" t="s">
        <v>46</v>
      </c>
      <c r="H898" s="49"/>
      <c r="I898" s="49"/>
      <c r="J898" s="68"/>
      <c r="K898" s="17"/>
      <c r="L898" s="17"/>
      <c r="M898" s="17">
        <v>500000</v>
      </c>
      <c r="N898" s="17"/>
      <c r="O898" s="17"/>
      <c r="P898" s="17"/>
      <c r="Q898" s="17"/>
      <c r="R898" s="11"/>
    </row>
    <row r="899" ht="18.75" customHeight="1" spans="1:18">
      <c r="A899" s="11"/>
      <c r="B899" s="11"/>
      <c r="C899" s="11"/>
      <c r="D899" s="17"/>
      <c r="E899" s="49"/>
      <c r="F899" s="11"/>
      <c r="G899" s="49"/>
      <c r="H899" s="49"/>
      <c r="I899" s="49"/>
      <c r="J899" s="68"/>
      <c r="K899" s="17"/>
      <c r="L899" s="17"/>
      <c r="M899" s="17"/>
      <c r="N899" s="17"/>
      <c r="O899" s="17"/>
      <c r="P899" s="17"/>
      <c r="Q899" s="17"/>
      <c r="R899" s="11"/>
    </row>
    <row r="900" ht="15.75" spans="1:18">
      <c r="A900" s="11"/>
      <c r="B900" s="12" t="s">
        <v>22</v>
      </c>
      <c r="C900" s="11"/>
      <c r="D900" s="14"/>
      <c r="E900" s="11"/>
      <c r="F900" s="173">
        <f>SUM(F888:F899)</f>
        <v>36240000</v>
      </c>
      <c r="G900" s="11"/>
      <c r="H900" s="13"/>
      <c r="I900" s="13"/>
      <c r="J900" s="14"/>
      <c r="K900" s="14"/>
      <c r="L900" s="14"/>
      <c r="M900" s="14"/>
      <c r="N900" s="14"/>
      <c r="O900" s="14"/>
      <c r="P900" s="14"/>
      <c r="Q900" s="14"/>
      <c r="R900" s="11"/>
    </row>
    <row r="901" ht="15.75" spans="1:18">
      <c r="A901" s="11"/>
      <c r="B901" s="12"/>
      <c r="C901" s="11"/>
      <c r="D901" s="14"/>
      <c r="E901" s="11"/>
      <c r="F901" s="173"/>
      <c r="G901" s="11"/>
      <c r="H901" s="13"/>
      <c r="I901" s="13"/>
      <c r="J901" s="14"/>
      <c r="K901" s="14"/>
      <c r="L901" s="14"/>
      <c r="M901" s="14"/>
      <c r="N901" s="14"/>
      <c r="O901" s="14"/>
      <c r="P901" s="14"/>
      <c r="Q901" s="14"/>
      <c r="R901" s="11"/>
    </row>
    <row r="902" ht="15.75" spans="1:18">
      <c r="A902" s="12">
        <v>57</v>
      </c>
      <c r="B902" s="12" t="s">
        <v>1348</v>
      </c>
      <c r="C902" s="11"/>
      <c r="D902" s="14"/>
      <c r="E902" s="11"/>
      <c r="F902" s="11"/>
      <c r="G902" s="11"/>
      <c r="H902" s="13"/>
      <c r="I902" s="13"/>
      <c r="J902" s="14"/>
      <c r="K902" s="14"/>
      <c r="L902" s="14"/>
      <c r="M902" s="14"/>
      <c r="N902" s="14"/>
      <c r="O902" s="14"/>
      <c r="P902" s="14"/>
      <c r="Q902" s="14"/>
      <c r="R902" s="11"/>
    </row>
    <row r="903" ht="15.75" spans="1:18">
      <c r="A903" s="11"/>
      <c r="B903" s="11"/>
      <c r="C903" s="11"/>
      <c r="D903" s="14"/>
      <c r="E903" s="11"/>
      <c r="F903" s="11"/>
      <c r="G903" s="11"/>
      <c r="H903" s="13"/>
      <c r="I903" s="13"/>
      <c r="J903" s="14"/>
      <c r="K903" s="14"/>
      <c r="L903" s="14"/>
      <c r="M903" s="14"/>
      <c r="N903" s="14"/>
      <c r="O903" s="14"/>
      <c r="P903" s="14"/>
      <c r="Q903" s="14"/>
      <c r="R903" s="11"/>
    </row>
    <row r="904" ht="15.75" spans="1:18">
      <c r="A904" s="11"/>
      <c r="B904" s="11"/>
      <c r="C904" s="11"/>
      <c r="D904" s="14"/>
      <c r="E904" s="11"/>
      <c r="F904" s="11"/>
      <c r="G904" s="11"/>
      <c r="H904" s="13"/>
      <c r="I904" s="13"/>
      <c r="J904" s="14"/>
      <c r="K904" s="14"/>
      <c r="L904" s="14"/>
      <c r="M904" s="14"/>
      <c r="N904" s="14"/>
      <c r="O904" s="14"/>
      <c r="P904" s="14"/>
      <c r="Q904" s="14"/>
      <c r="R904" s="11"/>
    </row>
    <row r="905" ht="15.75" spans="1:18">
      <c r="A905" s="11"/>
      <c r="B905" s="11"/>
      <c r="C905" s="11"/>
      <c r="D905" s="14"/>
      <c r="E905" s="11"/>
      <c r="F905" s="11"/>
      <c r="G905" s="11"/>
      <c r="H905" s="13"/>
      <c r="I905" s="13"/>
      <c r="J905" s="14"/>
      <c r="K905" s="14"/>
      <c r="L905" s="14"/>
      <c r="M905" s="14"/>
      <c r="N905" s="14"/>
      <c r="O905" s="14"/>
      <c r="P905" s="14"/>
      <c r="Q905" s="14"/>
      <c r="R905" s="11"/>
    </row>
    <row r="906" ht="15.75" spans="1:18">
      <c r="A906" s="12">
        <v>58</v>
      </c>
      <c r="B906" s="12" t="s">
        <v>1349</v>
      </c>
      <c r="C906" s="11"/>
      <c r="D906" s="14"/>
      <c r="E906" s="11"/>
      <c r="F906" s="11"/>
      <c r="G906" s="11"/>
      <c r="H906" s="13"/>
      <c r="I906" s="13"/>
      <c r="J906" s="14"/>
      <c r="K906" s="14"/>
      <c r="L906" s="14"/>
      <c r="M906" s="14"/>
      <c r="N906" s="14"/>
      <c r="O906" s="14"/>
      <c r="P906" s="14"/>
      <c r="Q906" s="14"/>
      <c r="R906" s="11"/>
    </row>
    <row r="907" ht="15.75" spans="1:18">
      <c r="A907" s="246">
        <v>1</v>
      </c>
      <c r="B907" s="247" t="s">
        <v>1350</v>
      </c>
      <c r="C907" s="248" t="s">
        <v>825</v>
      </c>
      <c r="D907" s="249">
        <v>250</v>
      </c>
      <c r="E907" s="162">
        <v>1000</v>
      </c>
      <c r="F907" s="164">
        <f>D907*E907</f>
        <v>250000</v>
      </c>
      <c r="G907" s="92" t="s">
        <v>822</v>
      </c>
      <c r="H907" s="59" t="s">
        <v>729</v>
      </c>
      <c r="I907" s="39" t="s">
        <v>778</v>
      </c>
      <c r="J907" s="77"/>
      <c r="K907" s="77"/>
      <c r="L907" s="77">
        <v>250</v>
      </c>
      <c r="M907" s="77">
        <v>250000</v>
      </c>
      <c r="N907" s="77"/>
      <c r="O907" s="77"/>
      <c r="P907" s="77"/>
      <c r="Q907" s="77"/>
      <c r="R907" s="157"/>
    </row>
    <row r="908" ht="15.75" spans="1:18">
      <c r="A908" s="246">
        <v>2</v>
      </c>
      <c r="B908" s="247" t="s">
        <v>1351</v>
      </c>
      <c r="C908" s="248" t="s">
        <v>947</v>
      </c>
      <c r="D908" s="249">
        <v>200</v>
      </c>
      <c r="E908" s="162">
        <v>800</v>
      </c>
      <c r="F908" s="164">
        <f>D908*E908</f>
        <v>160000</v>
      </c>
      <c r="G908" s="92" t="s">
        <v>822</v>
      </c>
      <c r="H908" s="59" t="s">
        <v>729</v>
      </c>
      <c r="I908" s="39" t="s">
        <v>778</v>
      </c>
      <c r="J908" s="77"/>
      <c r="K908" s="77"/>
      <c r="L908" s="77">
        <v>200</v>
      </c>
      <c r="M908" s="77">
        <v>160000</v>
      </c>
      <c r="N908" s="77"/>
      <c r="O908" s="77"/>
      <c r="P908" s="77"/>
      <c r="Q908" s="77"/>
      <c r="R908" s="157"/>
    </row>
    <row r="909" ht="15.75" spans="1:18">
      <c r="A909" s="246">
        <v>3</v>
      </c>
      <c r="B909" s="247" t="s">
        <v>1352</v>
      </c>
      <c r="C909" s="248" t="s">
        <v>825</v>
      </c>
      <c r="D909" s="249">
        <v>500</v>
      </c>
      <c r="E909" s="162">
        <v>4000</v>
      </c>
      <c r="F909" s="164">
        <f>D909*E909</f>
        <v>2000000</v>
      </c>
      <c r="G909" s="92" t="s">
        <v>822</v>
      </c>
      <c r="H909" s="59" t="s">
        <v>729</v>
      </c>
      <c r="I909" s="39" t="s">
        <v>778</v>
      </c>
      <c r="J909" s="77"/>
      <c r="K909" s="77"/>
      <c r="L909" s="77">
        <v>500</v>
      </c>
      <c r="M909" s="77">
        <v>2000000</v>
      </c>
      <c r="N909" s="77"/>
      <c r="O909" s="77"/>
      <c r="P909" s="77"/>
      <c r="Q909" s="77"/>
      <c r="R909" s="157"/>
    </row>
    <row r="910" ht="31.5" customHeight="1" spans="1:18">
      <c r="A910" s="246">
        <v>4</v>
      </c>
      <c r="B910" s="247" t="s">
        <v>1353</v>
      </c>
      <c r="C910" s="248" t="s">
        <v>825</v>
      </c>
      <c r="D910" s="249">
        <v>400</v>
      </c>
      <c r="E910" s="162">
        <v>3000</v>
      </c>
      <c r="F910" s="164">
        <f>D910*E910</f>
        <v>1200000</v>
      </c>
      <c r="G910" s="92" t="s">
        <v>822</v>
      </c>
      <c r="H910" s="59" t="s">
        <v>729</v>
      </c>
      <c r="I910" s="39" t="s">
        <v>778</v>
      </c>
      <c r="J910" s="77"/>
      <c r="K910" s="77"/>
      <c r="L910" s="77">
        <v>400</v>
      </c>
      <c r="M910" s="77">
        <v>1200000</v>
      </c>
      <c r="N910" s="77"/>
      <c r="O910" s="77"/>
      <c r="P910" s="77"/>
      <c r="Q910" s="77"/>
      <c r="R910" s="157"/>
    </row>
    <row r="911" ht="15.75" spans="1:18">
      <c r="A911" s="246">
        <v>5</v>
      </c>
      <c r="B911" s="250" t="s">
        <v>1354</v>
      </c>
      <c r="C911" s="248" t="s">
        <v>825</v>
      </c>
      <c r="D911" s="249">
        <v>250</v>
      </c>
      <c r="E911" s="162">
        <v>1200</v>
      </c>
      <c r="F911" s="132">
        <f>D911*E911</f>
        <v>300000</v>
      </c>
      <c r="G911" s="38" t="s">
        <v>822</v>
      </c>
      <c r="H911" s="59" t="s">
        <v>729</v>
      </c>
      <c r="I911" s="39" t="s">
        <v>778</v>
      </c>
      <c r="J911" s="77"/>
      <c r="K911" s="77"/>
      <c r="L911" s="77"/>
      <c r="M911" s="77"/>
      <c r="N911" s="77">
        <v>250</v>
      </c>
      <c r="O911" s="77">
        <v>300000</v>
      </c>
      <c r="P911" s="77"/>
      <c r="Q911" s="77"/>
      <c r="R911" s="157"/>
    </row>
    <row r="912" ht="15.75" spans="1:18">
      <c r="A912" s="246">
        <v>6</v>
      </c>
      <c r="B912" s="250" t="s">
        <v>562</v>
      </c>
      <c r="C912" s="248" t="s">
        <v>1071</v>
      </c>
      <c r="D912" s="249">
        <v>1</v>
      </c>
      <c r="E912" s="162">
        <v>3000</v>
      </c>
      <c r="F912" s="132">
        <f>E912*D912</f>
        <v>3000</v>
      </c>
      <c r="G912" s="38" t="s">
        <v>822</v>
      </c>
      <c r="H912" s="59" t="s">
        <v>729</v>
      </c>
      <c r="I912" s="39" t="s">
        <v>778</v>
      </c>
      <c r="J912" s="77"/>
      <c r="K912" s="77"/>
      <c r="L912" s="77"/>
      <c r="M912" s="77"/>
      <c r="N912" s="77">
        <v>1</v>
      </c>
      <c r="O912" s="77">
        <v>3000</v>
      </c>
      <c r="P912" s="77"/>
      <c r="Q912" s="77"/>
      <c r="R912" s="157"/>
    </row>
    <row r="913" ht="15.75" spans="1:18">
      <c r="A913" s="246">
        <v>7</v>
      </c>
      <c r="B913" s="250" t="s">
        <v>1355</v>
      </c>
      <c r="C913" s="248" t="s">
        <v>1277</v>
      </c>
      <c r="D913" s="249">
        <v>50</v>
      </c>
      <c r="E913" s="162">
        <v>300</v>
      </c>
      <c r="F913" s="164">
        <f t="shared" ref="F913:F970" si="57">D913*E913</f>
        <v>15000</v>
      </c>
      <c r="G913" s="38" t="s">
        <v>822</v>
      </c>
      <c r="H913" s="59" t="s">
        <v>729</v>
      </c>
      <c r="I913" s="39" t="s">
        <v>778</v>
      </c>
      <c r="J913" s="77"/>
      <c r="K913" s="77"/>
      <c r="L913" s="77"/>
      <c r="M913" s="77"/>
      <c r="N913" s="77">
        <v>50</v>
      </c>
      <c r="O913" s="77">
        <v>15000</v>
      </c>
      <c r="P913" s="77"/>
      <c r="Q913" s="77"/>
      <c r="R913" s="157"/>
    </row>
    <row r="914" ht="15.75" spans="1:18">
      <c r="A914" s="246">
        <v>8</v>
      </c>
      <c r="B914" s="247" t="s">
        <v>1356</v>
      </c>
      <c r="C914" s="248" t="s">
        <v>950</v>
      </c>
      <c r="D914" s="249">
        <v>10</v>
      </c>
      <c r="E914" s="162">
        <v>700</v>
      </c>
      <c r="F914" s="132">
        <f t="shared" si="57"/>
        <v>7000</v>
      </c>
      <c r="G914" s="38" t="s">
        <v>822</v>
      </c>
      <c r="H914" s="59" t="s">
        <v>729</v>
      </c>
      <c r="I914" s="39" t="s">
        <v>778</v>
      </c>
      <c r="J914" s="77"/>
      <c r="K914" s="77"/>
      <c r="L914" s="77"/>
      <c r="M914" s="77"/>
      <c r="N914" s="77">
        <v>10</v>
      </c>
      <c r="O914" s="77">
        <v>7000</v>
      </c>
      <c r="P914" s="77"/>
      <c r="Q914" s="77"/>
      <c r="R914" s="157"/>
    </row>
    <row r="915" ht="15.75" spans="1:18">
      <c r="A915" s="246">
        <v>9</v>
      </c>
      <c r="B915" s="250" t="s">
        <v>1357</v>
      </c>
      <c r="C915" s="248" t="s">
        <v>1358</v>
      </c>
      <c r="D915" s="249">
        <v>300</v>
      </c>
      <c r="E915" s="162">
        <v>2000</v>
      </c>
      <c r="F915" s="132">
        <f t="shared" si="57"/>
        <v>600000</v>
      </c>
      <c r="G915" s="38" t="s">
        <v>822</v>
      </c>
      <c r="H915" s="59" t="s">
        <v>729</v>
      </c>
      <c r="I915" s="39" t="s">
        <v>778</v>
      </c>
      <c r="J915" s="77"/>
      <c r="K915" s="77"/>
      <c r="L915" s="77">
        <v>150</v>
      </c>
      <c r="M915" s="77">
        <v>300000</v>
      </c>
      <c r="N915" s="77">
        <v>150</v>
      </c>
      <c r="O915" s="77">
        <v>300000</v>
      </c>
      <c r="P915" s="77"/>
      <c r="Q915" s="77"/>
      <c r="R915" s="157"/>
    </row>
    <row r="916" ht="15.75" spans="1:18">
      <c r="A916" s="246">
        <v>10</v>
      </c>
      <c r="B916" s="250" t="s">
        <v>1359</v>
      </c>
      <c r="C916" s="248" t="s">
        <v>1358</v>
      </c>
      <c r="D916" s="249">
        <v>200</v>
      </c>
      <c r="E916" s="162">
        <v>2000</v>
      </c>
      <c r="F916" s="164">
        <f t="shared" si="57"/>
        <v>400000</v>
      </c>
      <c r="G916" s="38" t="s">
        <v>822</v>
      </c>
      <c r="H916" s="59" t="s">
        <v>729</v>
      </c>
      <c r="I916" s="39" t="s">
        <v>778</v>
      </c>
      <c r="J916" s="77"/>
      <c r="K916" s="77"/>
      <c r="L916" s="77">
        <v>100</v>
      </c>
      <c r="M916" s="77">
        <v>200000</v>
      </c>
      <c r="N916" s="77">
        <v>100</v>
      </c>
      <c r="O916" s="77">
        <v>200000</v>
      </c>
      <c r="P916" s="77"/>
      <c r="Q916" s="77"/>
      <c r="R916" s="157"/>
    </row>
    <row r="917" ht="15.75" spans="1:18">
      <c r="A917" s="246">
        <v>11</v>
      </c>
      <c r="B917" s="250" t="s">
        <v>1360</v>
      </c>
      <c r="C917" s="248" t="s">
        <v>1358</v>
      </c>
      <c r="D917" s="249">
        <v>50</v>
      </c>
      <c r="E917" s="162">
        <v>1800</v>
      </c>
      <c r="F917" s="132">
        <f t="shared" si="57"/>
        <v>90000</v>
      </c>
      <c r="G917" s="38" t="s">
        <v>822</v>
      </c>
      <c r="H917" s="59" t="s">
        <v>729</v>
      </c>
      <c r="I917" s="39" t="s">
        <v>778</v>
      </c>
      <c r="J917" s="77"/>
      <c r="K917" s="77"/>
      <c r="L917" s="77">
        <v>25</v>
      </c>
      <c r="M917" s="77">
        <v>45000</v>
      </c>
      <c r="N917" s="77">
        <v>25</v>
      </c>
      <c r="O917" s="77">
        <v>45000</v>
      </c>
      <c r="P917" s="77"/>
      <c r="Q917" s="77"/>
      <c r="R917" s="157"/>
    </row>
    <row r="918" ht="15.75" spans="1:18">
      <c r="A918" s="246">
        <v>12</v>
      </c>
      <c r="B918" s="247" t="s">
        <v>1361</v>
      </c>
      <c r="C918" s="248" t="s">
        <v>825</v>
      </c>
      <c r="D918" s="249">
        <v>20</v>
      </c>
      <c r="E918" s="162">
        <v>1500</v>
      </c>
      <c r="F918" s="132">
        <f t="shared" si="57"/>
        <v>30000</v>
      </c>
      <c r="G918" s="38" t="s">
        <v>822</v>
      </c>
      <c r="H918" s="59" t="s">
        <v>729</v>
      </c>
      <c r="I918" s="39" t="s">
        <v>778</v>
      </c>
      <c r="J918" s="77"/>
      <c r="K918" s="77"/>
      <c r="L918" s="77">
        <v>10</v>
      </c>
      <c r="M918" s="77">
        <v>15000</v>
      </c>
      <c r="N918" s="77">
        <v>10</v>
      </c>
      <c r="O918" s="77">
        <v>15000</v>
      </c>
      <c r="P918" s="77"/>
      <c r="Q918" s="77"/>
      <c r="R918" s="157"/>
    </row>
    <row r="919" ht="15.75" spans="1:18">
      <c r="A919" s="246">
        <v>13</v>
      </c>
      <c r="B919" s="250" t="s">
        <v>1362</v>
      </c>
      <c r="C919" s="248" t="s">
        <v>825</v>
      </c>
      <c r="D919" s="249">
        <v>30</v>
      </c>
      <c r="E919" s="162">
        <v>4500</v>
      </c>
      <c r="F919" s="132">
        <f t="shared" si="57"/>
        <v>135000</v>
      </c>
      <c r="G919" s="38" t="s">
        <v>822</v>
      </c>
      <c r="H919" s="59" t="s">
        <v>729</v>
      </c>
      <c r="I919" s="39" t="s">
        <v>778</v>
      </c>
      <c r="J919" s="77"/>
      <c r="K919" s="77"/>
      <c r="L919" s="77">
        <v>15</v>
      </c>
      <c r="M919" s="77">
        <v>67500</v>
      </c>
      <c r="N919" s="77">
        <v>15</v>
      </c>
      <c r="O919" s="77">
        <v>67500</v>
      </c>
      <c r="P919" s="77"/>
      <c r="Q919" s="77"/>
      <c r="R919" s="157"/>
    </row>
    <row r="920" ht="15.75" spans="1:18">
      <c r="A920" s="246">
        <v>14</v>
      </c>
      <c r="B920" s="250" t="s">
        <v>1363</v>
      </c>
      <c r="C920" s="248" t="s">
        <v>825</v>
      </c>
      <c r="D920" s="249">
        <v>30</v>
      </c>
      <c r="E920" s="162">
        <v>2000</v>
      </c>
      <c r="F920" s="132">
        <f t="shared" si="57"/>
        <v>60000</v>
      </c>
      <c r="G920" s="38" t="s">
        <v>822</v>
      </c>
      <c r="H920" s="59" t="s">
        <v>729</v>
      </c>
      <c r="I920" s="39" t="s">
        <v>778</v>
      </c>
      <c r="J920" s="77"/>
      <c r="K920" s="77"/>
      <c r="L920" s="77">
        <v>15</v>
      </c>
      <c r="M920" s="77">
        <v>30000</v>
      </c>
      <c r="N920" s="77">
        <v>15</v>
      </c>
      <c r="O920" s="77">
        <v>30000</v>
      </c>
      <c r="P920" s="77"/>
      <c r="Q920" s="77"/>
      <c r="R920" s="157"/>
    </row>
    <row r="921" ht="15.75" spans="1:18">
      <c r="A921" s="246">
        <v>15</v>
      </c>
      <c r="B921" s="250" t="s">
        <v>1364</v>
      </c>
      <c r="C921" s="248" t="s">
        <v>825</v>
      </c>
      <c r="D921" s="249">
        <v>25</v>
      </c>
      <c r="E921" s="162">
        <v>4500</v>
      </c>
      <c r="F921" s="132">
        <f t="shared" si="57"/>
        <v>112500</v>
      </c>
      <c r="G921" s="38" t="s">
        <v>822</v>
      </c>
      <c r="H921" s="59" t="s">
        <v>729</v>
      </c>
      <c r="I921" s="39" t="s">
        <v>778</v>
      </c>
      <c r="J921" s="77"/>
      <c r="K921" s="77"/>
      <c r="L921" s="77">
        <v>10</v>
      </c>
      <c r="M921" s="77">
        <v>45000</v>
      </c>
      <c r="N921" s="77">
        <v>15</v>
      </c>
      <c r="O921" s="77">
        <v>67500</v>
      </c>
      <c r="P921" s="77"/>
      <c r="Q921" s="77"/>
      <c r="R921" s="157"/>
    </row>
    <row r="922" ht="15.75" spans="1:18">
      <c r="A922" s="246">
        <v>16</v>
      </c>
      <c r="B922" s="250" t="s">
        <v>1365</v>
      </c>
      <c r="C922" s="248" t="s">
        <v>825</v>
      </c>
      <c r="D922" s="249">
        <v>20</v>
      </c>
      <c r="E922" s="162">
        <v>3000</v>
      </c>
      <c r="F922" s="132">
        <f t="shared" si="57"/>
        <v>60000</v>
      </c>
      <c r="G922" s="38" t="s">
        <v>822</v>
      </c>
      <c r="H922" s="59" t="s">
        <v>729</v>
      </c>
      <c r="I922" s="39" t="s">
        <v>778</v>
      </c>
      <c r="J922" s="77"/>
      <c r="K922" s="77"/>
      <c r="L922" s="77">
        <v>10</v>
      </c>
      <c r="M922" s="77">
        <v>30000</v>
      </c>
      <c r="N922" s="77">
        <v>10</v>
      </c>
      <c r="O922" s="77">
        <v>30000</v>
      </c>
      <c r="P922" s="77"/>
      <c r="Q922" s="77"/>
      <c r="R922" s="157"/>
    </row>
    <row r="923" ht="15.75" spans="1:18">
      <c r="A923" s="246">
        <v>17</v>
      </c>
      <c r="B923" s="250" t="s">
        <v>1366</v>
      </c>
      <c r="C923" s="248" t="s">
        <v>825</v>
      </c>
      <c r="D923" s="249">
        <v>15</v>
      </c>
      <c r="E923" s="162">
        <v>4000</v>
      </c>
      <c r="F923" s="132">
        <f t="shared" si="57"/>
        <v>60000</v>
      </c>
      <c r="G923" s="38" t="s">
        <v>822</v>
      </c>
      <c r="H923" s="59" t="s">
        <v>729</v>
      </c>
      <c r="I923" s="39" t="s">
        <v>778</v>
      </c>
      <c r="J923" s="77"/>
      <c r="K923" s="77"/>
      <c r="L923" s="77">
        <v>10</v>
      </c>
      <c r="M923" s="77">
        <v>40000</v>
      </c>
      <c r="N923" s="77">
        <v>5</v>
      </c>
      <c r="O923" s="77">
        <v>20000</v>
      </c>
      <c r="P923" s="77"/>
      <c r="Q923" s="77"/>
      <c r="R923" s="157"/>
    </row>
    <row r="924" ht="15.75" spans="1:18">
      <c r="A924" s="246">
        <v>18</v>
      </c>
      <c r="B924" s="250" t="s">
        <v>1367</v>
      </c>
      <c r="C924" s="248" t="s">
        <v>825</v>
      </c>
      <c r="D924" s="249">
        <v>20</v>
      </c>
      <c r="E924" s="162">
        <v>1200</v>
      </c>
      <c r="F924" s="132">
        <f t="shared" si="57"/>
        <v>24000</v>
      </c>
      <c r="G924" s="38" t="s">
        <v>822</v>
      </c>
      <c r="H924" s="59" t="s">
        <v>729</v>
      </c>
      <c r="I924" s="39" t="s">
        <v>778</v>
      </c>
      <c r="J924" s="77"/>
      <c r="K924" s="77"/>
      <c r="L924" s="77">
        <v>10</v>
      </c>
      <c r="M924" s="77">
        <v>12000</v>
      </c>
      <c r="N924" s="77">
        <v>10</v>
      </c>
      <c r="O924" s="77">
        <v>12000</v>
      </c>
      <c r="P924" s="77"/>
      <c r="Q924" s="77"/>
      <c r="R924" s="157"/>
    </row>
    <row r="925" ht="15.75" spans="1:18">
      <c r="A925" s="246">
        <v>19</v>
      </c>
      <c r="B925" s="250" t="s">
        <v>1368</v>
      </c>
      <c r="C925" s="248" t="s">
        <v>825</v>
      </c>
      <c r="D925" s="249">
        <v>25</v>
      </c>
      <c r="E925" s="162">
        <v>800</v>
      </c>
      <c r="F925" s="132">
        <f t="shared" si="57"/>
        <v>20000</v>
      </c>
      <c r="G925" s="38" t="s">
        <v>822</v>
      </c>
      <c r="H925" s="59" t="s">
        <v>729</v>
      </c>
      <c r="I925" s="39" t="s">
        <v>778</v>
      </c>
      <c r="J925" s="77"/>
      <c r="K925" s="77"/>
      <c r="L925" s="77">
        <v>15</v>
      </c>
      <c r="M925" s="77">
        <v>12000</v>
      </c>
      <c r="N925" s="77">
        <v>10</v>
      </c>
      <c r="O925" s="77">
        <v>8000</v>
      </c>
      <c r="P925" s="77"/>
      <c r="Q925" s="77"/>
      <c r="R925" s="157"/>
    </row>
    <row r="926" ht="15.75" spans="1:18">
      <c r="A926" s="246">
        <v>20</v>
      </c>
      <c r="B926" s="250" t="s">
        <v>1369</v>
      </c>
      <c r="C926" s="248" t="s">
        <v>1370</v>
      </c>
      <c r="D926" s="249">
        <v>56</v>
      </c>
      <c r="E926" s="162">
        <v>3000</v>
      </c>
      <c r="F926" s="132">
        <f t="shared" si="57"/>
        <v>168000</v>
      </c>
      <c r="G926" s="38" t="s">
        <v>822</v>
      </c>
      <c r="H926" s="59" t="s">
        <v>729</v>
      </c>
      <c r="I926" s="39" t="s">
        <v>778</v>
      </c>
      <c r="J926" s="77"/>
      <c r="K926" s="77"/>
      <c r="L926" s="77">
        <v>30</v>
      </c>
      <c r="M926" s="77">
        <v>90000</v>
      </c>
      <c r="N926" s="77">
        <v>26</v>
      </c>
      <c r="O926" s="77">
        <v>78000</v>
      </c>
      <c r="P926" s="77"/>
      <c r="Q926" s="77"/>
      <c r="R926" s="157"/>
    </row>
    <row r="927" ht="15.75" spans="1:18">
      <c r="A927" s="246">
        <v>21</v>
      </c>
      <c r="B927" s="250" t="s">
        <v>1371</v>
      </c>
      <c r="C927" s="248" t="s">
        <v>1370</v>
      </c>
      <c r="D927" s="249">
        <v>56</v>
      </c>
      <c r="E927" s="162">
        <v>3500</v>
      </c>
      <c r="F927" s="132">
        <f t="shared" si="57"/>
        <v>196000</v>
      </c>
      <c r="G927" s="38" t="s">
        <v>822</v>
      </c>
      <c r="H927" s="59" t="s">
        <v>729</v>
      </c>
      <c r="I927" s="39" t="s">
        <v>778</v>
      </c>
      <c r="J927" s="77"/>
      <c r="K927" s="77"/>
      <c r="L927" s="77">
        <v>28</v>
      </c>
      <c r="M927" s="77">
        <v>98000</v>
      </c>
      <c r="N927" s="77">
        <v>28</v>
      </c>
      <c r="O927" s="77">
        <v>98000</v>
      </c>
      <c r="P927" s="77"/>
      <c r="Q927" s="77"/>
      <c r="R927" s="157"/>
    </row>
    <row r="928" ht="15.75" spans="1:18">
      <c r="A928" s="246">
        <v>22</v>
      </c>
      <c r="B928" s="250" t="s">
        <v>1372</v>
      </c>
      <c r="C928" s="248" t="s">
        <v>1071</v>
      </c>
      <c r="D928" s="249">
        <v>250</v>
      </c>
      <c r="E928" s="162">
        <v>1000</v>
      </c>
      <c r="F928" s="164">
        <f t="shared" si="57"/>
        <v>250000</v>
      </c>
      <c r="G928" s="92" t="s">
        <v>822</v>
      </c>
      <c r="H928" s="59" t="s">
        <v>729</v>
      </c>
      <c r="I928" s="39" t="s">
        <v>778</v>
      </c>
      <c r="J928" s="77">
        <v>50</v>
      </c>
      <c r="K928" s="77">
        <v>50000</v>
      </c>
      <c r="L928" s="77">
        <v>100</v>
      </c>
      <c r="M928" s="77">
        <v>100000</v>
      </c>
      <c r="N928" s="77">
        <v>100</v>
      </c>
      <c r="O928" s="77">
        <v>100000</v>
      </c>
      <c r="P928" s="77"/>
      <c r="Q928" s="77"/>
      <c r="R928" s="157"/>
    </row>
    <row r="929" ht="15.75" spans="1:18">
      <c r="A929" s="246">
        <v>23</v>
      </c>
      <c r="B929" s="250" t="s">
        <v>1373</v>
      </c>
      <c r="C929" s="248" t="s">
        <v>1277</v>
      </c>
      <c r="D929" s="249">
        <v>50</v>
      </c>
      <c r="E929" s="162">
        <v>250</v>
      </c>
      <c r="F929" s="132">
        <f t="shared" si="57"/>
        <v>12500</v>
      </c>
      <c r="G929" s="92" t="s">
        <v>822</v>
      </c>
      <c r="H929" s="59" t="s">
        <v>729</v>
      </c>
      <c r="I929" s="39" t="s">
        <v>778</v>
      </c>
      <c r="J929" s="77"/>
      <c r="K929" s="77"/>
      <c r="L929" s="77">
        <v>50</v>
      </c>
      <c r="M929" s="77">
        <v>12500</v>
      </c>
      <c r="N929" s="77"/>
      <c r="O929" s="77"/>
      <c r="P929" s="77"/>
      <c r="Q929" s="77"/>
      <c r="R929" s="157"/>
    </row>
    <row r="930" ht="15.75" spans="1:18">
      <c r="A930" s="246">
        <v>24</v>
      </c>
      <c r="B930" s="250" t="s">
        <v>1374</v>
      </c>
      <c r="C930" s="248" t="s">
        <v>1277</v>
      </c>
      <c r="D930" s="249">
        <v>50</v>
      </c>
      <c r="E930" s="162">
        <v>250</v>
      </c>
      <c r="F930" s="132">
        <f t="shared" si="57"/>
        <v>12500</v>
      </c>
      <c r="G930" s="92" t="s">
        <v>822</v>
      </c>
      <c r="H930" s="59" t="s">
        <v>729</v>
      </c>
      <c r="I930" s="39" t="s">
        <v>778</v>
      </c>
      <c r="J930" s="77"/>
      <c r="K930" s="77"/>
      <c r="L930" s="249">
        <v>50</v>
      </c>
      <c r="M930" s="132">
        <v>12500</v>
      </c>
      <c r="N930" s="77"/>
      <c r="O930" s="77"/>
      <c r="P930" s="77"/>
      <c r="Q930" s="77"/>
      <c r="R930" s="157"/>
    </row>
    <row r="931" ht="15.75" spans="1:18">
      <c r="A931" s="246">
        <v>25</v>
      </c>
      <c r="B931" s="250" t="s">
        <v>1375</v>
      </c>
      <c r="C931" s="248" t="s">
        <v>1277</v>
      </c>
      <c r="D931" s="249">
        <v>50</v>
      </c>
      <c r="E931" s="162">
        <v>250</v>
      </c>
      <c r="F931" s="132">
        <f t="shared" si="57"/>
        <v>12500</v>
      </c>
      <c r="G931" s="92" t="s">
        <v>822</v>
      </c>
      <c r="H931" s="59" t="s">
        <v>729</v>
      </c>
      <c r="I931" s="39" t="s">
        <v>778</v>
      </c>
      <c r="J931" s="77"/>
      <c r="K931" s="77"/>
      <c r="L931" s="249">
        <v>50</v>
      </c>
      <c r="M931" s="132">
        <v>12500</v>
      </c>
      <c r="N931" s="77"/>
      <c r="O931" s="77"/>
      <c r="P931" s="77"/>
      <c r="Q931" s="77"/>
      <c r="R931" s="157"/>
    </row>
    <row r="932" ht="15.75" spans="1:18">
      <c r="A932" s="246">
        <v>26</v>
      </c>
      <c r="B932" s="250" t="s">
        <v>1376</v>
      </c>
      <c r="C932" s="248" t="s">
        <v>1277</v>
      </c>
      <c r="D932" s="249">
        <v>50</v>
      </c>
      <c r="E932" s="162">
        <v>250</v>
      </c>
      <c r="F932" s="132">
        <f t="shared" si="57"/>
        <v>12500</v>
      </c>
      <c r="G932" s="92" t="s">
        <v>822</v>
      </c>
      <c r="H932" s="59" t="s">
        <v>729</v>
      </c>
      <c r="I932" s="39" t="s">
        <v>778</v>
      </c>
      <c r="J932" s="77"/>
      <c r="K932" s="77"/>
      <c r="L932" s="249">
        <v>50</v>
      </c>
      <c r="M932" s="132">
        <v>12500</v>
      </c>
      <c r="N932" s="77"/>
      <c r="O932" s="77"/>
      <c r="P932" s="77"/>
      <c r="Q932" s="77"/>
      <c r="R932" s="157"/>
    </row>
    <row r="933" ht="15.75" spans="1:18">
      <c r="A933" s="246">
        <v>27</v>
      </c>
      <c r="B933" s="250" t="s">
        <v>1377</v>
      </c>
      <c r="C933" s="248" t="s">
        <v>1277</v>
      </c>
      <c r="D933" s="249">
        <v>50</v>
      </c>
      <c r="E933" s="162">
        <v>250</v>
      </c>
      <c r="F933" s="132">
        <f t="shared" si="57"/>
        <v>12500</v>
      </c>
      <c r="G933" s="92" t="s">
        <v>822</v>
      </c>
      <c r="H933" s="59" t="s">
        <v>729</v>
      </c>
      <c r="I933" s="39" t="s">
        <v>778</v>
      </c>
      <c r="J933" s="77"/>
      <c r="K933" s="77"/>
      <c r="L933" s="249">
        <v>50</v>
      </c>
      <c r="M933" s="132">
        <v>12500</v>
      </c>
      <c r="N933" s="77"/>
      <c r="O933" s="77"/>
      <c r="P933" s="77"/>
      <c r="Q933" s="77"/>
      <c r="R933" s="157"/>
    </row>
    <row r="934" ht="15.75" spans="1:18">
      <c r="A934" s="246">
        <v>28</v>
      </c>
      <c r="B934" s="250" t="s">
        <v>1378</v>
      </c>
      <c r="C934" s="248" t="s">
        <v>1277</v>
      </c>
      <c r="D934" s="249">
        <v>300</v>
      </c>
      <c r="E934" s="162">
        <v>350</v>
      </c>
      <c r="F934" s="132">
        <f t="shared" si="57"/>
        <v>105000</v>
      </c>
      <c r="G934" s="92" t="s">
        <v>822</v>
      </c>
      <c r="H934" s="59" t="s">
        <v>729</v>
      </c>
      <c r="I934" s="39" t="s">
        <v>778</v>
      </c>
      <c r="J934" s="77"/>
      <c r="K934" s="77"/>
      <c r="L934" s="249">
        <v>150</v>
      </c>
      <c r="M934" s="132">
        <v>52500</v>
      </c>
      <c r="N934" s="77">
        <v>150</v>
      </c>
      <c r="O934" s="77">
        <v>52500</v>
      </c>
      <c r="P934" s="77"/>
      <c r="Q934" s="77"/>
      <c r="R934" s="157"/>
    </row>
    <row r="935" ht="15.75" spans="1:18">
      <c r="A935" s="246">
        <v>29</v>
      </c>
      <c r="B935" s="250" t="s">
        <v>1379</v>
      </c>
      <c r="C935" s="248" t="s">
        <v>1277</v>
      </c>
      <c r="D935" s="249">
        <v>250</v>
      </c>
      <c r="E935" s="162">
        <v>300</v>
      </c>
      <c r="F935" s="132">
        <f t="shared" si="57"/>
        <v>75000</v>
      </c>
      <c r="G935" s="92" t="s">
        <v>822</v>
      </c>
      <c r="H935" s="59" t="s">
        <v>729</v>
      </c>
      <c r="I935" s="39" t="s">
        <v>778</v>
      </c>
      <c r="J935" s="77"/>
      <c r="K935" s="77"/>
      <c r="L935" s="249">
        <v>100</v>
      </c>
      <c r="M935" s="132">
        <v>30000</v>
      </c>
      <c r="N935" s="77">
        <v>150</v>
      </c>
      <c r="O935" s="77">
        <v>45000</v>
      </c>
      <c r="P935" s="77"/>
      <c r="Q935" s="77"/>
      <c r="R935" s="157"/>
    </row>
    <row r="936" ht="15.75" spans="1:18">
      <c r="A936" s="246">
        <v>30</v>
      </c>
      <c r="B936" s="247" t="s">
        <v>1380</v>
      </c>
      <c r="C936" s="248" t="s">
        <v>1071</v>
      </c>
      <c r="D936" s="249">
        <v>20</v>
      </c>
      <c r="E936" s="162">
        <v>400</v>
      </c>
      <c r="F936" s="132">
        <f t="shared" si="57"/>
        <v>8000</v>
      </c>
      <c r="G936" s="92" t="s">
        <v>822</v>
      </c>
      <c r="H936" s="59" t="s">
        <v>729</v>
      </c>
      <c r="I936" s="39" t="s">
        <v>778</v>
      </c>
      <c r="J936" s="77"/>
      <c r="K936" s="77"/>
      <c r="L936" s="77"/>
      <c r="M936" s="77"/>
      <c r="N936" s="249">
        <v>20</v>
      </c>
      <c r="O936" s="77">
        <v>8000</v>
      </c>
      <c r="P936" s="77"/>
      <c r="Q936" s="77"/>
      <c r="R936" s="157"/>
    </row>
    <row r="937" ht="15.75" spans="1:18">
      <c r="A937" s="246">
        <v>31</v>
      </c>
      <c r="B937" s="247" t="s">
        <v>1381</v>
      </c>
      <c r="C937" s="248" t="s">
        <v>1071</v>
      </c>
      <c r="D937" s="249">
        <v>20</v>
      </c>
      <c r="E937" s="162">
        <v>400</v>
      </c>
      <c r="F937" s="132">
        <f t="shared" si="57"/>
        <v>8000</v>
      </c>
      <c r="G937" s="92" t="s">
        <v>822</v>
      </c>
      <c r="H937" s="59" t="s">
        <v>729</v>
      </c>
      <c r="I937" s="39" t="s">
        <v>778</v>
      </c>
      <c r="J937" s="77"/>
      <c r="K937" s="77"/>
      <c r="L937" s="77"/>
      <c r="M937" s="77"/>
      <c r="N937" s="249">
        <v>20</v>
      </c>
      <c r="O937" s="77">
        <v>8000</v>
      </c>
      <c r="P937" s="77"/>
      <c r="Q937" s="77"/>
      <c r="R937" s="157"/>
    </row>
    <row r="938" ht="15.75" spans="1:18">
      <c r="A938" s="246">
        <v>32</v>
      </c>
      <c r="B938" s="247" t="s">
        <v>1382</v>
      </c>
      <c r="C938" s="248" t="s">
        <v>1071</v>
      </c>
      <c r="D938" s="249">
        <v>10</v>
      </c>
      <c r="E938" s="162">
        <v>400</v>
      </c>
      <c r="F938" s="132">
        <f t="shared" si="57"/>
        <v>4000</v>
      </c>
      <c r="G938" s="92" t="s">
        <v>822</v>
      </c>
      <c r="H938" s="59" t="s">
        <v>729</v>
      </c>
      <c r="I938" s="39" t="s">
        <v>778</v>
      </c>
      <c r="J938" s="77"/>
      <c r="K938" s="77"/>
      <c r="L938" s="77"/>
      <c r="M938" s="77"/>
      <c r="N938" s="249">
        <v>10</v>
      </c>
      <c r="O938" s="77">
        <v>4000</v>
      </c>
      <c r="P938" s="77"/>
      <c r="Q938" s="77"/>
      <c r="R938" s="157"/>
    </row>
    <row r="939" ht="15.75" spans="1:18">
      <c r="A939" s="246">
        <v>33</v>
      </c>
      <c r="B939" s="247" t="s">
        <v>1383</v>
      </c>
      <c r="C939" s="248" t="s">
        <v>1071</v>
      </c>
      <c r="D939" s="249">
        <v>20</v>
      </c>
      <c r="E939" s="162">
        <v>350</v>
      </c>
      <c r="F939" s="132">
        <f t="shared" si="57"/>
        <v>7000</v>
      </c>
      <c r="G939" s="92" t="s">
        <v>822</v>
      </c>
      <c r="H939" s="59" t="s">
        <v>729</v>
      </c>
      <c r="I939" s="39" t="s">
        <v>778</v>
      </c>
      <c r="J939" s="77"/>
      <c r="K939" s="77"/>
      <c r="L939" s="77"/>
      <c r="M939" s="77"/>
      <c r="N939" s="249">
        <v>20</v>
      </c>
      <c r="O939" s="77">
        <v>7000</v>
      </c>
      <c r="P939" s="77"/>
      <c r="Q939" s="77"/>
      <c r="R939" s="157"/>
    </row>
    <row r="940" ht="15.75" spans="1:18">
      <c r="A940" s="246">
        <v>34</v>
      </c>
      <c r="B940" s="247" t="s">
        <v>1384</v>
      </c>
      <c r="C940" s="248" t="s">
        <v>1071</v>
      </c>
      <c r="D940" s="249">
        <v>20</v>
      </c>
      <c r="E940" s="162">
        <v>350</v>
      </c>
      <c r="F940" s="132">
        <f t="shared" si="57"/>
        <v>7000</v>
      </c>
      <c r="G940" s="92" t="s">
        <v>822</v>
      </c>
      <c r="H940" s="59" t="s">
        <v>729</v>
      </c>
      <c r="I940" s="39" t="s">
        <v>778</v>
      </c>
      <c r="J940" s="77"/>
      <c r="K940" s="77"/>
      <c r="L940" s="77"/>
      <c r="M940" s="77"/>
      <c r="N940" s="249">
        <v>20</v>
      </c>
      <c r="O940" s="77">
        <v>7000</v>
      </c>
      <c r="P940" s="77"/>
      <c r="Q940" s="77"/>
      <c r="R940" s="157"/>
    </row>
    <row r="941" ht="15.75" spans="1:18">
      <c r="A941" s="246">
        <v>35</v>
      </c>
      <c r="B941" s="247" t="s">
        <v>1385</v>
      </c>
      <c r="C941" s="248" t="s">
        <v>1071</v>
      </c>
      <c r="D941" s="249">
        <v>20</v>
      </c>
      <c r="E941" s="162">
        <v>350</v>
      </c>
      <c r="F941" s="132">
        <f t="shared" si="57"/>
        <v>7000</v>
      </c>
      <c r="G941" s="92" t="s">
        <v>822</v>
      </c>
      <c r="H941" s="59" t="s">
        <v>729</v>
      </c>
      <c r="I941" s="39" t="s">
        <v>778</v>
      </c>
      <c r="J941" s="77"/>
      <c r="K941" s="77"/>
      <c r="L941" s="77"/>
      <c r="M941" s="77"/>
      <c r="N941" s="249">
        <v>20</v>
      </c>
      <c r="O941" s="77">
        <v>7000</v>
      </c>
      <c r="P941" s="77"/>
      <c r="Q941" s="77"/>
      <c r="R941" s="157"/>
    </row>
    <row r="942" ht="15.75" spans="1:18">
      <c r="A942" s="246">
        <v>36</v>
      </c>
      <c r="B942" s="247" t="s">
        <v>1386</v>
      </c>
      <c r="C942" s="248" t="s">
        <v>1071</v>
      </c>
      <c r="D942" s="249">
        <v>20</v>
      </c>
      <c r="E942" s="162">
        <v>350</v>
      </c>
      <c r="F942" s="132">
        <f t="shared" si="57"/>
        <v>7000</v>
      </c>
      <c r="G942" s="92" t="s">
        <v>822</v>
      </c>
      <c r="H942" s="59" t="s">
        <v>729</v>
      </c>
      <c r="I942" s="39" t="s">
        <v>778</v>
      </c>
      <c r="J942" s="77"/>
      <c r="K942" s="77"/>
      <c r="L942" s="77"/>
      <c r="M942" s="77"/>
      <c r="N942" s="249">
        <v>20</v>
      </c>
      <c r="O942" s="77">
        <v>7000</v>
      </c>
      <c r="P942" s="77"/>
      <c r="Q942" s="77"/>
      <c r="R942" s="157"/>
    </row>
    <row r="943" ht="15.75" spans="1:18">
      <c r="A943" s="246">
        <v>37</v>
      </c>
      <c r="B943" s="247" t="s">
        <v>1387</v>
      </c>
      <c r="C943" s="248" t="s">
        <v>1071</v>
      </c>
      <c r="D943" s="249">
        <v>20</v>
      </c>
      <c r="E943" s="162">
        <v>400</v>
      </c>
      <c r="F943" s="132">
        <f t="shared" si="57"/>
        <v>8000</v>
      </c>
      <c r="G943" s="92" t="s">
        <v>822</v>
      </c>
      <c r="H943" s="59" t="s">
        <v>729</v>
      </c>
      <c r="I943" s="39" t="s">
        <v>778</v>
      </c>
      <c r="J943" s="77"/>
      <c r="K943" s="77"/>
      <c r="L943" s="77"/>
      <c r="M943" s="77"/>
      <c r="N943" s="249">
        <v>20</v>
      </c>
      <c r="O943" s="77">
        <v>8000</v>
      </c>
      <c r="P943" s="77"/>
      <c r="Q943" s="77"/>
      <c r="R943" s="157"/>
    </row>
    <row r="944" ht="15.75" spans="1:18">
      <c r="A944" s="246">
        <v>38</v>
      </c>
      <c r="B944" s="247" t="s">
        <v>1388</v>
      </c>
      <c r="C944" s="248" t="s">
        <v>1071</v>
      </c>
      <c r="D944" s="249">
        <v>20</v>
      </c>
      <c r="E944" s="162">
        <v>400</v>
      </c>
      <c r="F944" s="132">
        <f t="shared" si="57"/>
        <v>8000</v>
      </c>
      <c r="G944" s="92" t="s">
        <v>822</v>
      </c>
      <c r="H944" s="59" t="s">
        <v>729</v>
      </c>
      <c r="I944" s="39" t="s">
        <v>778</v>
      </c>
      <c r="J944" s="77"/>
      <c r="K944" s="77"/>
      <c r="L944" s="77"/>
      <c r="M944" s="77"/>
      <c r="N944" s="249">
        <v>20</v>
      </c>
      <c r="O944" s="77">
        <v>8000</v>
      </c>
      <c r="P944" s="77"/>
      <c r="Q944" s="77"/>
      <c r="R944" s="157"/>
    </row>
    <row r="945" ht="15.75" spans="1:18">
      <c r="A945" s="246">
        <v>39</v>
      </c>
      <c r="B945" s="247" t="s">
        <v>1389</v>
      </c>
      <c r="C945" s="248" t="s">
        <v>1071</v>
      </c>
      <c r="D945" s="249">
        <v>10</v>
      </c>
      <c r="E945" s="162">
        <v>400</v>
      </c>
      <c r="F945" s="132">
        <f t="shared" si="57"/>
        <v>4000</v>
      </c>
      <c r="G945" s="92" t="s">
        <v>822</v>
      </c>
      <c r="H945" s="59" t="s">
        <v>729</v>
      </c>
      <c r="I945" s="39" t="s">
        <v>778</v>
      </c>
      <c r="J945" s="77"/>
      <c r="K945" s="77"/>
      <c r="L945" s="77">
        <v>10</v>
      </c>
      <c r="M945" s="77">
        <v>4000</v>
      </c>
      <c r="N945" s="77"/>
      <c r="O945" s="77"/>
      <c r="P945" s="77"/>
      <c r="Q945" s="77"/>
      <c r="R945" s="157"/>
    </row>
    <row r="946" ht="15.75" spans="1:18">
      <c r="A946" s="246">
        <v>40</v>
      </c>
      <c r="B946" s="247" t="s">
        <v>1390</v>
      </c>
      <c r="C946" s="248" t="s">
        <v>1391</v>
      </c>
      <c r="D946" s="249">
        <v>30</v>
      </c>
      <c r="E946" s="162">
        <v>350</v>
      </c>
      <c r="F946" s="132">
        <f t="shared" si="57"/>
        <v>10500</v>
      </c>
      <c r="G946" s="92" t="s">
        <v>822</v>
      </c>
      <c r="H946" s="59" t="s">
        <v>729</v>
      </c>
      <c r="I946" s="39" t="s">
        <v>778</v>
      </c>
      <c r="J946" s="77"/>
      <c r="K946" s="77"/>
      <c r="L946" s="77">
        <v>30</v>
      </c>
      <c r="M946" s="77">
        <v>10500</v>
      </c>
      <c r="N946" s="77"/>
      <c r="O946" s="77"/>
      <c r="P946" s="77"/>
      <c r="Q946" s="77"/>
      <c r="R946" s="157"/>
    </row>
    <row r="947" ht="15.75" spans="1:18">
      <c r="A947" s="246">
        <v>41</v>
      </c>
      <c r="B947" s="247" t="s">
        <v>1392</v>
      </c>
      <c r="C947" s="248" t="s">
        <v>1393</v>
      </c>
      <c r="D947" s="249">
        <v>150</v>
      </c>
      <c r="E947" s="162">
        <v>350</v>
      </c>
      <c r="F947" s="132">
        <f t="shared" si="57"/>
        <v>52500</v>
      </c>
      <c r="G947" s="92" t="s">
        <v>822</v>
      </c>
      <c r="H947" s="59" t="s">
        <v>729</v>
      </c>
      <c r="I947" s="39" t="s">
        <v>778</v>
      </c>
      <c r="J947" s="77"/>
      <c r="K947" s="77"/>
      <c r="L947" s="77">
        <v>150</v>
      </c>
      <c r="M947" s="78">
        <v>52500</v>
      </c>
      <c r="N947" s="77"/>
      <c r="O947" s="77"/>
      <c r="P947" s="77"/>
      <c r="Q947" s="77"/>
      <c r="R947" s="157"/>
    </row>
    <row r="948" ht="15.75" spans="1:18">
      <c r="A948" s="246">
        <v>42</v>
      </c>
      <c r="B948" s="247" t="s">
        <v>1394</v>
      </c>
      <c r="C948" s="248" t="s">
        <v>1393</v>
      </c>
      <c r="D948" s="249">
        <v>100</v>
      </c>
      <c r="E948" s="162">
        <v>350</v>
      </c>
      <c r="F948" s="132">
        <f t="shared" si="57"/>
        <v>35000</v>
      </c>
      <c r="G948" s="92" t="s">
        <v>822</v>
      </c>
      <c r="H948" s="59" t="s">
        <v>729</v>
      </c>
      <c r="I948" s="39" t="s">
        <v>778</v>
      </c>
      <c r="J948" s="77"/>
      <c r="K948" s="77"/>
      <c r="L948" s="77">
        <v>100</v>
      </c>
      <c r="M948" s="77">
        <v>35000</v>
      </c>
      <c r="N948" s="77"/>
      <c r="O948" s="77"/>
      <c r="P948" s="77"/>
      <c r="Q948" s="77"/>
      <c r="R948" s="157"/>
    </row>
    <row r="949" ht="15.75" spans="1:18">
      <c r="A949" s="246">
        <v>43</v>
      </c>
      <c r="B949" s="247" t="s">
        <v>1395</v>
      </c>
      <c r="C949" s="248" t="s">
        <v>1393</v>
      </c>
      <c r="D949" s="249">
        <v>120</v>
      </c>
      <c r="E949" s="162">
        <v>350</v>
      </c>
      <c r="F949" s="132">
        <f t="shared" si="57"/>
        <v>42000</v>
      </c>
      <c r="G949" s="92" t="s">
        <v>822</v>
      </c>
      <c r="H949" s="59" t="s">
        <v>729</v>
      </c>
      <c r="I949" s="39" t="s">
        <v>778</v>
      </c>
      <c r="J949" s="77"/>
      <c r="K949" s="77"/>
      <c r="L949" s="77">
        <v>120</v>
      </c>
      <c r="M949" s="77">
        <v>42000</v>
      </c>
      <c r="N949" s="77"/>
      <c r="O949" s="77"/>
      <c r="P949" s="77"/>
      <c r="Q949" s="77"/>
      <c r="R949" s="157"/>
    </row>
    <row r="950" ht="15.75" spans="1:18">
      <c r="A950" s="246">
        <v>44</v>
      </c>
      <c r="B950" s="247" t="s">
        <v>1396</v>
      </c>
      <c r="C950" s="248" t="s">
        <v>1393</v>
      </c>
      <c r="D950" s="249">
        <v>200</v>
      </c>
      <c r="E950" s="162">
        <v>350</v>
      </c>
      <c r="F950" s="132">
        <f t="shared" si="57"/>
        <v>70000</v>
      </c>
      <c r="G950" s="92" t="s">
        <v>822</v>
      </c>
      <c r="H950" s="59" t="s">
        <v>729</v>
      </c>
      <c r="I950" s="39" t="s">
        <v>778</v>
      </c>
      <c r="J950" s="77"/>
      <c r="K950" s="77"/>
      <c r="L950" s="77">
        <v>100</v>
      </c>
      <c r="M950" s="77">
        <v>35000</v>
      </c>
      <c r="N950" s="77">
        <v>100</v>
      </c>
      <c r="O950" s="77">
        <v>35000</v>
      </c>
      <c r="P950" s="77"/>
      <c r="Q950" s="77"/>
      <c r="R950" s="157"/>
    </row>
    <row r="951" ht="15.75" spans="1:18">
      <c r="A951" s="246">
        <v>45</v>
      </c>
      <c r="B951" s="247" t="s">
        <v>1397</v>
      </c>
      <c r="C951" s="248" t="s">
        <v>1393</v>
      </c>
      <c r="D951" s="249">
        <v>250</v>
      </c>
      <c r="E951" s="162">
        <v>350</v>
      </c>
      <c r="F951" s="132">
        <f t="shared" si="57"/>
        <v>87500</v>
      </c>
      <c r="G951" s="92" t="s">
        <v>822</v>
      </c>
      <c r="H951" s="59" t="s">
        <v>729</v>
      </c>
      <c r="I951" s="39" t="s">
        <v>778</v>
      </c>
      <c r="J951" s="77"/>
      <c r="K951" s="77"/>
      <c r="L951" s="77">
        <v>250</v>
      </c>
      <c r="M951" s="77">
        <v>87500</v>
      </c>
      <c r="N951" s="77"/>
      <c r="O951" s="77"/>
      <c r="P951" s="77"/>
      <c r="Q951" s="77"/>
      <c r="R951" s="157"/>
    </row>
    <row r="952" ht="15.75" spans="1:18">
      <c r="A952" s="246">
        <v>46</v>
      </c>
      <c r="B952" s="247" t="s">
        <v>1398</v>
      </c>
      <c r="C952" s="248" t="s">
        <v>1393</v>
      </c>
      <c r="D952" s="249">
        <v>2000</v>
      </c>
      <c r="E952" s="162">
        <v>600</v>
      </c>
      <c r="F952" s="164">
        <f t="shared" si="57"/>
        <v>1200000</v>
      </c>
      <c r="G952" s="92" t="s">
        <v>822</v>
      </c>
      <c r="H952" s="59" t="s">
        <v>729</v>
      </c>
      <c r="I952" s="39" t="s">
        <v>778</v>
      </c>
      <c r="J952" s="77">
        <v>2000</v>
      </c>
      <c r="K952" s="77">
        <v>1200000</v>
      </c>
      <c r="L952" s="77"/>
      <c r="M952" s="77"/>
      <c r="N952" s="77"/>
      <c r="O952" s="77"/>
      <c r="P952" s="77"/>
      <c r="Q952" s="77"/>
      <c r="R952" s="157"/>
    </row>
    <row r="953" ht="15.75" spans="1:18">
      <c r="A953" s="246">
        <v>47</v>
      </c>
      <c r="B953" s="247" t="s">
        <v>1399</v>
      </c>
      <c r="C953" s="248" t="s">
        <v>1071</v>
      </c>
      <c r="D953" s="249">
        <v>30</v>
      </c>
      <c r="E953" s="162">
        <v>3500</v>
      </c>
      <c r="F953" s="164">
        <f t="shared" si="57"/>
        <v>105000</v>
      </c>
      <c r="G953" s="92" t="s">
        <v>822</v>
      </c>
      <c r="H953" s="59" t="s">
        <v>729</v>
      </c>
      <c r="I953" s="39" t="s">
        <v>778</v>
      </c>
      <c r="J953" s="77">
        <v>10</v>
      </c>
      <c r="K953" s="77">
        <v>35000</v>
      </c>
      <c r="L953" s="77">
        <v>10</v>
      </c>
      <c r="M953" s="77">
        <v>35000</v>
      </c>
      <c r="N953" s="77">
        <v>10</v>
      </c>
      <c r="O953" s="77">
        <v>35000</v>
      </c>
      <c r="P953" s="77"/>
      <c r="Q953" s="77"/>
      <c r="R953" s="157"/>
    </row>
    <row r="954" ht="15.75" spans="1:18">
      <c r="A954" s="246">
        <v>48</v>
      </c>
      <c r="B954" s="247" t="s">
        <v>1400</v>
      </c>
      <c r="C954" s="248" t="s">
        <v>1401</v>
      </c>
      <c r="D954" s="249">
        <v>20</v>
      </c>
      <c r="E954" s="162">
        <v>3500</v>
      </c>
      <c r="F954" s="164">
        <f t="shared" si="57"/>
        <v>70000</v>
      </c>
      <c r="G954" s="92" t="s">
        <v>822</v>
      </c>
      <c r="H954" s="59" t="s">
        <v>729</v>
      </c>
      <c r="I954" s="39" t="s">
        <v>778</v>
      </c>
      <c r="J954" s="77"/>
      <c r="K954" s="77"/>
      <c r="L954" s="77">
        <v>10</v>
      </c>
      <c r="M954" s="77">
        <v>35000</v>
      </c>
      <c r="N954" s="77">
        <v>10</v>
      </c>
      <c r="O954" s="77">
        <v>35000</v>
      </c>
      <c r="P954" s="77"/>
      <c r="Q954" s="77"/>
      <c r="R954" s="157"/>
    </row>
    <row r="955" ht="15.75" spans="1:18">
      <c r="A955" s="246">
        <v>49</v>
      </c>
      <c r="B955" s="247" t="s">
        <v>1402</v>
      </c>
      <c r="C955" s="248" t="s">
        <v>1071</v>
      </c>
      <c r="D955" s="249">
        <v>30</v>
      </c>
      <c r="E955" s="162">
        <v>3500</v>
      </c>
      <c r="F955" s="132">
        <f t="shared" si="57"/>
        <v>105000</v>
      </c>
      <c r="G955" s="92" t="s">
        <v>822</v>
      </c>
      <c r="H955" s="59" t="s">
        <v>729</v>
      </c>
      <c r="I955" s="39" t="s">
        <v>778</v>
      </c>
      <c r="J955" s="77"/>
      <c r="K955" s="77"/>
      <c r="L955" s="77">
        <v>10</v>
      </c>
      <c r="M955" s="77">
        <v>35000</v>
      </c>
      <c r="N955" s="77">
        <v>10</v>
      </c>
      <c r="O955" s="77">
        <v>35000</v>
      </c>
      <c r="P955" s="77">
        <v>10</v>
      </c>
      <c r="Q955" s="77">
        <v>35000</v>
      </c>
      <c r="R955" s="157"/>
    </row>
    <row r="956" ht="15.75" spans="1:18">
      <c r="A956" s="246">
        <v>50</v>
      </c>
      <c r="B956" s="247" t="s">
        <v>1403</v>
      </c>
      <c r="C956" s="248" t="s">
        <v>1071</v>
      </c>
      <c r="D956" s="249">
        <v>40</v>
      </c>
      <c r="E956" s="162">
        <v>3500</v>
      </c>
      <c r="F956" s="164">
        <f t="shared" si="57"/>
        <v>140000</v>
      </c>
      <c r="G956" s="92" t="s">
        <v>822</v>
      </c>
      <c r="H956" s="59" t="s">
        <v>729</v>
      </c>
      <c r="I956" s="39" t="s">
        <v>778</v>
      </c>
      <c r="J956" s="77"/>
      <c r="K956" s="77"/>
      <c r="L956" s="77">
        <v>20</v>
      </c>
      <c r="M956" s="77">
        <v>70000</v>
      </c>
      <c r="N956" s="77">
        <v>20</v>
      </c>
      <c r="O956" s="77">
        <v>70000</v>
      </c>
      <c r="P956" s="77"/>
      <c r="Q956" s="77"/>
      <c r="R956" s="157"/>
    </row>
    <row r="957" ht="15.75" spans="1:18">
      <c r="A957" s="246">
        <v>51</v>
      </c>
      <c r="B957" s="247" t="s">
        <v>1404</v>
      </c>
      <c r="C957" s="248" t="s">
        <v>1071</v>
      </c>
      <c r="D957" s="249">
        <v>10</v>
      </c>
      <c r="E957" s="162">
        <v>3500</v>
      </c>
      <c r="F957" s="164">
        <f t="shared" si="57"/>
        <v>35000</v>
      </c>
      <c r="G957" s="92" t="s">
        <v>822</v>
      </c>
      <c r="H957" s="59" t="s">
        <v>729</v>
      </c>
      <c r="I957" s="39" t="s">
        <v>778</v>
      </c>
      <c r="J957" s="77"/>
      <c r="K957" s="77"/>
      <c r="L957" s="77">
        <v>10</v>
      </c>
      <c r="M957" s="77">
        <v>35000</v>
      </c>
      <c r="N957" s="77"/>
      <c r="O957" s="77"/>
      <c r="P957" s="77"/>
      <c r="Q957" s="77"/>
      <c r="R957" s="157"/>
    </row>
    <row r="958" ht="15.75" spans="1:18">
      <c r="A958" s="246">
        <v>52</v>
      </c>
      <c r="B958" s="247" t="s">
        <v>1405</v>
      </c>
      <c r="C958" s="248" t="s">
        <v>1071</v>
      </c>
      <c r="D958" s="249">
        <v>40</v>
      </c>
      <c r="E958" s="162">
        <v>4500</v>
      </c>
      <c r="F958" s="164">
        <f t="shared" si="57"/>
        <v>180000</v>
      </c>
      <c r="G958" s="92" t="s">
        <v>822</v>
      </c>
      <c r="H958" s="59" t="s">
        <v>729</v>
      </c>
      <c r="I958" s="39" t="s">
        <v>778</v>
      </c>
      <c r="J958" s="77"/>
      <c r="K958" s="77"/>
      <c r="L958" s="77">
        <v>20</v>
      </c>
      <c r="M958" s="77">
        <v>90000</v>
      </c>
      <c r="N958" s="77">
        <v>20</v>
      </c>
      <c r="O958" s="77">
        <v>90000</v>
      </c>
      <c r="P958" s="77"/>
      <c r="Q958" s="77"/>
      <c r="R958" s="157"/>
    </row>
    <row r="959" ht="15.75" spans="1:18">
      <c r="A959" s="246">
        <v>53</v>
      </c>
      <c r="B959" s="247" t="s">
        <v>1406</v>
      </c>
      <c r="C959" s="248" t="s">
        <v>1071</v>
      </c>
      <c r="D959" s="249">
        <v>10</v>
      </c>
      <c r="E959" s="162">
        <v>3500</v>
      </c>
      <c r="F959" s="132">
        <f t="shared" si="57"/>
        <v>35000</v>
      </c>
      <c r="G959" s="92" t="s">
        <v>822</v>
      </c>
      <c r="H959" s="59" t="s">
        <v>729</v>
      </c>
      <c r="I959" s="39" t="s">
        <v>778</v>
      </c>
      <c r="J959" s="77"/>
      <c r="K959" s="77"/>
      <c r="L959" s="77">
        <v>10</v>
      </c>
      <c r="M959" s="77">
        <v>35000</v>
      </c>
      <c r="N959" s="77"/>
      <c r="O959" s="77"/>
      <c r="P959" s="77"/>
      <c r="Q959" s="77"/>
      <c r="R959" s="157"/>
    </row>
    <row r="960" ht="15.75" spans="1:18">
      <c r="A960" s="246">
        <v>54</v>
      </c>
      <c r="B960" s="247" t="s">
        <v>1407</v>
      </c>
      <c r="C960" s="248" t="s">
        <v>1071</v>
      </c>
      <c r="D960" s="249">
        <v>40</v>
      </c>
      <c r="E960" s="162">
        <v>3500</v>
      </c>
      <c r="F960" s="164">
        <f t="shared" si="57"/>
        <v>140000</v>
      </c>
      <c r="G960" s="92" t="s">
        <v>822</v>
      </c>
      <c r="H960" s="59" t="s">
        <v>729</v>
      </c>
      <c r="I960" s="39" t="s">
        <v>778</v>
      </c>
      <c r="J960" s="77">
        <v>10</v>
      </c>
      <c r="K960" s="77">
        <v>35000</v>
      </c>
      <c r="L960" s="77">
        <v>10</v>
      </c>
      <c r="M960" s="77">
        <v>35000</v>
      </c>
      <c r="N960" s="77">
        <v>35</v>
      </c>
      <c r="O960" s="77">
        <v>35000</v>
      </c>
      <c r="P960" s="77">
        <v>35</v>
      </c>
      <c r="Q960" s="77">
        <v>35000</v>
      </c>
      <c r="R960" s="157"/>
    </row>
    <row r="961" ht="15.75" spans="1:18">
      <c r="A961" s="246">
        <v>55</v>
      </c>
      <c r="B961" s="247" t="s">
        <v>1408</v>
      </c>
      <c r="C961" s="248" t="s">
        <v>1071</v>
      </c>
      <c r="D961" s="249">
        <v>40</v>
      </c>
      <c r="E961" s="162">
        <v>2500</v>
      </c>
      <c r="F961" s="132">
        <f t="shared" si="57"/>
        <v>100000</v>
      </c>
      <c r="G961" s="92" t="s">
        <v>822</v>
      </c>
      <c r="H961" s="59" t="s">
        <v>729</v>
      </c>
      <c r="I961" s="39" t="s">
        <v>778</v>
      </c>
      <c r="J961" s="77">
        <v>10</v>
      </c>
      <c r="K961" s="77">
        <v>25000</v>
      </c>
      <c r="L961" s="77">
        <v>10</v>
      </c>
      <c r="M961" s="77">
        <v>25000</v>
      </c>
      <c r="N961" s="77">
        <v>25</v>
      </c>
      <c r="O961" s="77">
        <v>25000</v>
      </c>
      <c r="P961" s="77">
        <v>25</v>
      </c>
      <c r="Q961" s="77">
        <v>25000</v>
      </c>
      <c r="R961" s="157"/>
    </row>
    <row r="962" ht="15.75" spans="1:18">
      <c r="A962" s="246">
        <v>56</v>
      </c>
      <c r="B962" s="247" t="s">
        <v>639</v>
      </c>
      <c r="C962" s="248" t="s">
        <v>1409</v>
      </c>
      <c r="D962" s="249">
        <v>2</v>
      </c>
      <c r="E962" s="162">
        <v>2000</v>
      </c>
      <c r="F962" s="132">
        <f t="shared" si="57"/>
        <v>4000</v>
      </c>
      <c r="G962" s="92" t="s">
        <v>822</v>
      </c>
      <c r="H962" s="59" t="s">
        <v>729</v>
      </c>
      <c r="I962" s="39" t="s">
        <v>778</v>
      </c>
      <c r="J962" s="77"/>
      <c r="K962" s="77"/>
      <c r="L962" s="249">
        <v>2</v>
      </c>
      <c r="M962" s="77">
        <v>2000</v>
      </c>
      <c r="N962" s="77"/>
      <c r="O962" s="77"/>
      <c r="P962" s="77"/>
      <c r="Q962" s="77"/>
      <c r="R962" s="157"/>
    </row>
    <row r="963" ht="15.75" spans="1:18">
      <c r="A963" s="246">
        <v>57</v>
      </c>
      <c r="B963" s="247" t="s">
        <v>641</v>
      </c>
      <c r="C963" s="248" t="s">
        <v>1409</v>
      </c>
      <c r="D963" s="249">
        <v>2</v>
      </c>
      <c r="E963" s="162">
        <v>2000</v>
      </c>
      <c r="F963" s="132">
        <f t="shared" si="57"/>
        <v>4000</v>
      </c>
      <c r="G963" s="92" t="s">
        <v>822</v>
      </c>
      <c r="H963" s="59" t="s">
        <v>729</v>
      </c>
      <c r="I963" s="39" t="s">
        <v>778</v>
      </c>
      <c r="J963" s="77"/>
      <c r="K963" s="77"/>
      <c r="L963" s="249">
        <v>2</v>
      </c>
      <c r="M963" s="77">
        <v>2000</v>
      </c>
      <c r="N963" s="77"/>
      <c r="O963" s="77"/>
      <c r="P963" s="77"/>
      <c r="Q963" s="77"/>
      <c r="R963" s="157"/>
    </row>
    <row r="964" ht="15.75" spans="1:18">
      <c r="A964" s="246">
        <v>58</v>
      </c>
      <c r="B964" s="247" t="s">
        <v>643</v>
      </c>
      <c r="C964" s="248" t="s">
        <v>1409</v>
      </c>
      <c r="D964" s="249">
        <v>2</v>
      </c>
      <c r="E964" s="162">
        <v>2000</v>
      </c>
      <c r="F964" s="132">
        <f t="shared" si="57"/>
        <v>4000</v>
      </c>
      <c r="G964" s="92" t="s">
        <v>822</v>
      </c>
      <c r="H964" s="59" t="s">
        <v>729</v>
      </c>
      <c r="I964" s="39" t="s">
        <v>778</v>
      </c>
      <c r="J964" s="77"/>
      <c r="K964" s="77"/>
      <c r="L964" s="249">
        <v>2</v>
      </c>
      <c r="M964" s="77">
        <v>2000</v>
      </c>
      <c r="N964" s="77"/>
      <c r="O964" s="77"/>
      <c r="P964" s="77"/>
      <c r="Q964" s="77"/>
      <c r="R964" s="157"/>
    </row>
    <row r="965" ht="15.75" spans="1:18">
      <c r="A965" s="246">
        <v>59</v>
      </c>
      <c r="B965" s="247" t="s">
        <v>644</v>
      </c>
      <c r="C965" s="248" t="s">
        <v>1409</v>
      </c>
      <c r="D965" s="249">
        <v>2</v>
      </c>
      <c r="E965" s="162">
        <v>2000</v>
      </c>
      <c r="F965" s="132">
        <f t="shared" si="57"/>
        <v>4000</v>
      </c>
      <c r="G965" s="92" t="s">
        <v>822</v>
      </c>
      <c r="H965" s="59" t="s">
        <v>729</v>
      </c>
      <c r="I965" s="39" t="s">
        <v>778</v>
      </c>
      <c r="J965" s="77"/>
      <c r="K965" s="77"/>
      <c r="L965" s="249">
        <v>2</v>
      </c>
      <c r="M965" s="77">
        <v>2000</v>
      </c>
      <c r="N965" s="77"/>
      <c r="O965" s="77"/>
      <c r="P965" s="77"/>
      <c r="Q965" s="77"/>
      <c r="R965" s="157"/>
    </row>
    <row r="966" ht="15.75" spans="1:18">
      <c r="A966" s="246">
        <v>60</v>
      </c>
      <c r="B966" s="247" t="s">
        <v>1410</v>
      </c>
      <c r="C966" s="248" t="s">
        <v>1409</v>
      </c>
      <c r="D966" s="249">
        <v>30</v>
      </c>
      <c r="E966" s="162">
        <v>5000</v>
      </c>
      <c r="F966" s="132">
        <f t="shared" si="57"/>
        <v>150000</v>
      </c>
      <c r="G966" s="92" t="s">
        <v>822</v>
      </c>
      <c r="H966" s="59" t="s">
        <v>729</v>
      </c>
      <c r="I966" s="39" t="s">
        <v>778</v>
      </c>
      <c r="J966" s="77"/>
      <c r="K966" s="77"/>
      <c r="L966" s="77">
        <v>15</v>
      </c>
      <c r="M966" s="77">
        <v>75000</v>
      </c>
      <c r="N966" s="77">
        <v>15</v>
      </c>
      <c r="O966" s="77">
        <v>75000</v>
      </c>
      <c r="P966" s="77"/>
      <c r="Q966" s="77"/>
      <c r="R966" s="157"/>
    </row>
    <row r="967" ht="15.75" spans="1:18">
      <c r="A967" s="246">
        <v>61</v>
      </c>
      <c r="B967" s="247" t="s">
        <v>647</v>
      </c>
      <c r="C967" s="248" t="s">
        <v>1409</v>
      </c>
      <c r="D967" s="249">
        <v>100</v>
      </c>
      <c r="E967" s="162">
        <v>5500</v>
      </c>
      <c r="F967" s="132">
        <f t="shared" si="57"/>
        <v>550000</v>
      </c>
      <c r="G967" s="92" t="s">
        <v>822</v>
      </c>
      <c r="H967" s="59" t="s">
        <v>729</v>
      </c>
      <c r="I967" s="39" t="s">
        <v>778</v>
      </c>
      <c r="J967" s="14"/>
      <c r="K967" s="14"/>
      <c r="L967" s="14">
        <v>50</v>
      </c>
      <c r="M967" s="14">
        <v>275000</v>
      </c>
      <c r="N967" s="14">
        <v>50</v>
      </c>
      <c r="O967" s="14">
        <v>275000</v>
      </c>
      <c r="P967" s="14"/>
      <c r="Q967" s="14"/>
      <c r="R967" s="11"/>
    </row>
    <row r="968" ht="15.75" spans="1:18">
      <c r="A968" s="246">
        <v>62</v>
      </c>
      <c r="B968" s="247" t="s">
        <v>1411</v>
      </c>
      <c r="C968" s="248" t="s">
        <v>1071</v>
      </c>
      <c r="D968" s="249">
        <v>200</v>
      </c>
      <c r="E968" s="162">
        <v>600</v>
      </c>
      <c r="F968" s="132">
        <f t="shared" si="57"/>
        <v>120000</v>
      </c>
      <c r="G968" s="92" t="s">
        <v>822</v>
      </c>
      <c r="H968" s="59" t="s">
        <v>729</v>
      </c>
      <c r="I968" s="39" t="s">
        <v>778</v>
      </c>
      <c r="J968" s="14"/>
      <c r="K968" s="14"/>
      <c r="L968" s="14">
        <v>100</v>
      </c>
      <c r="M968" s="14">
        <v>60000</v>
      </c>
      <c r="N968" s="14">
        <v>100</v>
      </c>
      <c r="O968" s="14">
        <v>60000</v>
      </c>
      <c r="P968" s="14"/>
      <c r="Q968" s="14"/>
      <c r="R968" s="11"/>
    </row>
    <row r="969" ht="15.75" spans="1:18">
      <c r="A969" s="11"/>
      <c r="B969" s="163"/>
      <c r="C969" s="251"/>
      <c r="D969" s="252"/>
      <c r="E969" s="253"/>
      <c r="F969" s="135"/>
      <c r="G969" s="92"/>
      <c r="H969" s="59"/>
      <c r="I969" s="39"/>
      <c r="J969" s="14"/>
      <c r="K969" s="14"/>
      <c r="L969" s="14"/>
      <c r="M969" s="14"/>
      <c r="N969" s="14"/>
      <c r="O969" s="14"/>
      <c r="P969" s="14"/>
      <c r="Q969" s="14"/>
      <c r="R969" s="11"/>
    </row>
    <row r="970" ht="15.75" spans="1:18">
      <c r="A970" s="11"/>
      <c r="B970" s="163"/>
      <c r="C970" s="251"/>
      <c r="D970" s="252"/>
      <c r="E970" s="253"/>
      <c r="F970" s="135"/>
      <c r="G970" s="92"/>
      <c r="H970" s="59"/>
      <c r="I970" s="39"/>
      <c r="J970" s="14"/>
      <c r="K970" s="14"/>
      <c r="L970" s="14"/>
      <c r="M970" s="14"/>
      <c r="N970" s="14"/>
      <c r="O970" s="14"/>
      <c r="P970" s="14"/>
      <c r="Q970" s="14"/>
      <c r="R970" s="11"/>
    </row>
    <row r="971" ht="15.75" spans="1:18">
      <c r="A971" s="11"/>
      <c r="B971" s="254" t="s">
        <v>22</v>
      </c>
      <c r="C971" s="11"/>
      <c r="D971" s="14"/>
      <c r="E971" s="11"/>
      <c r="F971" s="118">
        <f>SUM(F907:F970)</f>
        <v>9694500</v>
      </c>
      <c r="G971" s="11"/>
      <c r="H971" s="13"/>
      <c r="I971" s="13"/>
      <c r="J971" s="14"/>
      <c r="K971" s="14"/>
      <c r="L971" s="14"/>
      <c r="M971" s="14"/>
      <c r="N971" s="14"/>
      <c r="O971" s="14"/>
      <c r="P971" s="14"/>
      <c r="Q971" s="14"/>
      <c r="R971" s="11"/>
    </row>
    <row r="972" ht="15.75" spans="1:18">
      <c r="A972" s="11"/>
      <c r="B972" s="163"/>
      <c r="C972" s="11"/>
      <c r="D972" s="14"/>
      <c r="E972" s="11"/>
      <c r="F972" s="11"/>
      <c r="G972" s="11"/>
      <c r="H972" s="13"/>
      <c r="I972" s="13"/>
      <c r="J972" s="14"/>
      <c r="K972" s="14"/>
      <c r="L972" s="14"/>
      <c r="M972" s="14"/>
      <c r="N972" s="14"/>
      <c r="O972" s="14"/>
      <c r="P972" s="14"/>
      <c r="Q972" s="14"/>
      <c r="R972" s="11"/>
    </row>
    <row r="973" ht="15.75" spans="1:18">
      <c r="A973" s="11"/>
      <c r="B973" s="163"/>
      <c r="C973" s="11"/>
      <c r="D973" s="14"/>
      <c r="E973" s="11"/>
      <c r="F973" s="11"/>
      <c r="G973" s="11"/>
      <c r="H973" s="13"/>
      <c r="I973" s="13"/>
      <c r="J973" s="14"/>
      <c r="K973" s="14"/>
      <c r="L973" s="14"/>
      <c r="M973" s="14"/>
      <c r="N973" s="14"/>
      <c r="O973" s="14"/>
      <c r="P973" s="14"/>
      <c r="Q973" s="14"/>
      <c r="R973" s="11"/>
    </row>
    <row r="974" ht="15.75" spans="1:18">
      <c r="A974" s="12">
        <v>59</v>
      </c>
      <c r="B974" s="12" t="s">
        <v>1412</v>
      </c>
      <c r="C974" s="11"/>
      <c r="D974" s="14"/>
      <c r="E974" s="11"/>
      <c r="F974" s="11"/>
      <c r="G974" s="11"/>
      <c r="H974" s="13"/>
      <c r="I974" s="13"/>
      <c r="J974" s="14"/>
      <c r="K974" s="14"/>
      <c r="L974" s="14"/>
      <c r="M974" s="14"/>
      <c r="N974" s="14"/>
      <c r="O974" s="14"/>
      <c r="P974" s="14"/>
      <c r="Q974" s="14"/>
      <c r="R974" s="11"/>
    </row>
    <row r="975" ht="15.75" spans="1:18">
      <c r="A975" s="11"/>
      <c r="B975" s="11"/>
      <c r="C975" s="11"/>
      <c r="D975" s="14"/>
      <c r="E975" s="11"/>
      <c r="F975" s="11"/>
      <c r="G975" s="11"/>
      <c r="H975" s="13"/>
      <c r="I975" s="13"/>
      <c r="J975" s="14"/>
      <c r="K975" s="14"/>
      <c r="L975" s="14"/>
      <c r="M975" s="14"/>
      <c r="N975" s="14"/>
      <c r="O975" s="14"/>
      <c r="P975" s="14"/>
      <c r="Q975" s="14"/>
      <c r="R975" s="11"/>
    </row>
    <row r="976" ht="15.75" spans="1:18">
      <c r="A976" s="11"/>
      <c r="B976" s="11"/>
      <c r="C976" s="11"/>
      <c r="D976" s="14"/>
      <c r="E976" s="11"/>
      <c r="F976" s="11"/>
      <c r="G976" s="11"/>
      <c r="H976" s="13"/>
      <c r="I976" s="13"/>
      <c r="J976" s="14"/>
      <c r="K976" s="14"/>
      <c r="L976" s="14"/>
      <c r="M976" s="14"/>
      <c r="N976" s="14"/>
      <c r="O976" s="14"/>
      <c r="P976" s="14"/>
      <c r="Q976" s="14"/>
      <c r="R976" s="11"/>
    </row>
    <row r="977" ht="15.75" spans="1:18">
      <c r="A977" s="11"/>
      <c r="B977" s="11"/>
      <c r="C977" s="11"/>
      <c r="D977" s="14"/>
      <c r="E977" s="11"/>
      <c r="F977" s="11"/>
      <c r="G977" s="11"/>
      <c r="H977" s="13"/>
      <c r="I977" s="13"/>
      <c r="J977" s="14"/>
      <c r="K977" s="14"/>
      <c r="L977" s="14"/>
      <c r="M977" s="14"/>
      <c r="N977" s="14"/>
      <c r="O977" s="14"/>
      <c r="P977" s="14"/>
      <c r="Q977" s="14"/>
      <c r="R977" s="11"/>
    </row>
    <row r="978" ht="15.75" spans="1:18">
      <c r="A978" s="11"/>
      <c r="B978" s="11"/>
      <c r="C978" s="11"/>
      <c r="D978" s="14"/>
      <c r="E978" s="11"/>
      <c r="F978" s="11"/>
      <c r="G978" s="11"/>
      <c r="H978" s="13"/>
      <c r="I978" s="13"/>
      <c r="J978" s="14"/>
      <c r="K978" s="14"/>
      <c r="L978" s="14"/>
      <c r="M978" s="14"/>
      <c r="N978" s="14"/>
      <c r="O978" s="14"/>
      <c r="P978" s="14"/>
      <c r="Q978" s="14"/>
      <c r="R978" s="11"/>
    </row>
    <row r="979" ht="15.75" spans="1:18">
      <c r="A979" s="11"/>
      <c r="B979" s="11"/>
      <c r="C979" s="11"/>
      <c r="D979" s="14"/>
      <c r="E979" s="11"/>
      <c r="F979" s="11"/>
      <c r="G979" s="11"/>
      <c r="H979" s="13"/>
      <c r="I979" s="13"/>
      <c r="J979" s="14"/>
      <c r="K979" s="14"/>
      <c r="L979" s="14"/>
      <c r="M979" s="14"/>
      <c r="N979" s="14"/>
      <c r="O979" s="14"/>
      <c r="P979" s="14"/>
      <c r="Q979" s="14"/>
      <c r="R979" s="11"/>
    </row>
    <row r="980" ht="15.75" spans="1:18">
      <c r="A980" s="12">
        <v>60</v>
      </c>
      <c r="B980" s="12" t="s">
        <v>1413</v>
      </c>
      <c r="C980" s="11"/>
      <c r="D980" s="14"/>
      <c r="E980" s="11"/>
      <c r="F980" s="11"/>
      <c r="G980" s="11"/>
      <c r="H980" s="13"/>
      <c r="I980" s="13"/>
      <c r="J980" s="14"/>
      <c r="K980" s="14"/>
      <c r="L980" s="14"/>
      <c r="M980" s="14"/>
      <c r="N980" s="14"/>
      <c r="O980" s="14"/>
      <c r="P980" s="14"/>
      <c r="Q980" s="14"/>
      <c r="R980" s="11"/>
    </row>
    <row r="981" ht="15.75" spans="1:18">
      <c r="A981" s="11"/>
      <c r="B981" s="11"/>
      <c r="C981" s="11"/>
      <c r="D981" s="14"/>
      <c r="E981" s="11"/>
      <c r="F981" s="11"/>
      <c r="G981" s="11"/>
      <c r="H981" s="13"/>
      <c r="I981" s="13"/>
      <c r="J981" s="14"/>
      <c r="K981" s="14"/>
      <c r="L981" s="14"/>
      <c r="M981" s="14"/>
      <c r="N981" s="14"/>
      <c r="O981" s="14"/>
      <c r="P981" s="14"/>
      <c r="Q981" s="14"/>
      <c r="R981" s="11"/>
    </row>
    <row r="982" ht="15.75" spans="1:18">
      <c r="A982" s="11"/>
      <c r="B982" s="11"/>
      <c r="C982" s="11"/>
      <c r="D982" s="14"/>
      <c r="E982" s="11"/>
      <c r="F982" s="11"/>
      <c r="G982" s="11"/>
      <c r="H982" s="13"/>
      <c r="I982" s="13"/>
      <c r="J982" s="14"/>
      <c r="K982" s="14"/>
      <c r="L982" s="14"/>
      <c r="M982" s="14"/>
      <c r="N982" s="14"/>
      <c r="O982" s="14"/>
      <c r="P982" s="14"/>
      <c r="Q982" s="14"/>
      <c r="R982" s="11"/>
    </row>
    <row r="983" ht="15.75" spans="1:18">
      <c r="A983" s="46"/>
      <c r="B983" s="11"/>
      <c r="C983" s="11"/>
      <c r="D983" s="14"/>
      <c r="E983" s="11"/>
      <c r="F983" s="11"/>
      <c r="G983" s="11"/>
      <c r="H983" s="13"/>
      <c r="I983" s="13"/>
      <c r="J983" s="14"/>
      <c r="K983" s="14"/>
      <c r="L983" s="14"/>
      <c r="M983" s="14"/>
      <c r="N983" s="14"/>
      <c r="O983" s="14"/>
      <c r="P983" s="14"/>
      <c r="Q983" s="14"/>
      <c r="R983" s="11"/>
    </row>
    <row r="984" ht="15.75" spans="1:18">
      <c r="A984" s="12">
        <v>61</v>
      </c>
      <c r="B984" s="12" t="s">
        <v>653</v>
      </c>
      <c r="C984" s="11"/>
      <c r="D984" s="14"/>
      <c r="E984" s="177"/>
      <c r="F984" s="255"/>
      <c r="G984" s="255"/>
      <c r="H984" s="30"/>
      <c r="I984" s="30"/>
      <c r="J984" s="71"/>
      <c r="K984" s="71"/>
      <c r="L984" s="71"/>
      <c r="M984" s="71"/>
      <c r="N984" s="71"/>
      <c r="O984" s="71"/>
      <c r="P984" s="71"/>
      <c r="Q984" s="71"/>
      <c r="R984" s="71"/>
    </row>
    <row r="985" ht="15.75" spans="1:18">
      <c r="A985" s="11"/>
      <c r="B985" s="11" t="s">
        <v>657</v>
      </c>
      <c r="C985" s="13" t="s">
        <v>783</v>
      </c>
      <c r="D985" s="14">
        <v>1</v>
      </c>
      <c r="E985" s="11">
        <v>300000</v>
      </c>
      <c r="F985" s="29">
        <v>300000</v>
      </c>
      <c r="G985" s="13" t="s">
        <v>31</v>
      </c>
      <c r="H985" s="13" t="s">
        <v>729</v>
      </c>
      <c r="I985" s="30" t="s">
        <v>778</v>
      </c>
      <c r="J985" s="14"/>
      <c r="K985" s="14">
        <v>300000</v>
      </c>
      <c r="L985" s="14"/>
      <c r="M985" s="14"/>
      <c r="N985" s="14"/>
      <c r="O985" s="14"/>
      <c r="P985" s="14"/>
      <c r="Q985" s="14"/>
      <c r="R985" s="71"/>
    </row>
    <row r="986" ht="15.75" spans="1:18">
      <c r="A986" s="11"/>
      <c r="B986" s="236" t="s">
        <v>1414</v>
      </c>
      <c r="C986" s="13" t="s">
        <v>783</v>
      </c>
      <c r="D986" s="14">
        <v>1</v>
      </c>
      <c r="E986" s="11">
        <v>185000</v>
      </c>
      <c r="F986" s="29">
        <v>185000</v>
      </c>
      <c r="G986" s="13" t="s">
        <v>31</v>
      </c>
      <c r="H986" s="13" t="s">
        <v>729</v>
      </c>
      <c r="I986" s="30" t="s">
        <v>778</v>
      </c>
      <c r="J986" s="14"/>
      <c r="K986" s="14">
        <v>185000</v>
      </c>
      <c r="L986" s="14"/>
      <c r="M986" s="14"/>
      <c r="N986" s="14"/>
      <c r="O986" s="14"/>
      <c r="P986" s="14"/>
      <c r="Q986" s="14"/>
      <c r="R986" s="71"/>
    </row>
    <row r="987" ht="15.75" spans="1:19">
      <c r="A987" s="11"/>
      <c r="B987" s="11" t="s">
        <v>658</v>
      </c>
      <c r="C987" s="13" t="s">
        <v>783</v>
      </c>
      <c r="D987" s="37">
        <v>1</v>
      </c>
      <c r="E987" s="11">
        <v>150000</v>
      </c>
      <c r="F987" s="29">
        <f>D987*E987</f>
        <v>150000</v>
      </c>
      <c r="G987" s="13" t="s">
        <v>42</v>
      </c>
      <c r="H987" s="13" t="s">
        <v>729</v>
      </c>
      <c r="I987" s="30" t="s">
        <v>778</v>
      </c>
      <c r="J987" s="14"/>
      <c r="K987" s="14">
        <v>150000</v>
      </c>
      <c r="L987" s="14"/>
      <c r="M987" s="37"/>
      <c r="N987" s="37"/>
      <c r="O987" s="37"/>
      <c r="P987" s="37"/>
      <c r="Q987" s="37"/>
      <c r="R987" s="32"/>
      <c r="S987" s="1"/>
    </row>
    <row r="988" ht="15.75" spans="1:18">
      <c r="A988" s="11"/>
      <c r="B988" s="32" t="s">
        <v>667</v>
      </c>
      <c r="C988" s="13" t="s">
        <v>783</v>
      </c>
      <c r="D988" s="37">
        <v>2</v>
      </c>
      <c r="E988" s="11">
        <v>180000</v>
      </c>
      <c r="F988" s="29">
        <f>D988*E988</f>
        <v>360000</v>
      </c>
      <c r="G988" s="13" t="s">
        <v>42</v>
      </c>
      <c r="H988" s="13" t="s">
        <v>729</v>
      </c>
      <c r="I988" s="30" t="s">
        <v>778</v>
      </c>
      <c r="J988" s="14"/>
      <c r="K988" s="14">
        <v>180000</v>
      </c>
      <c r="L988" s="14"/>
      <c r="M988" s="14">
        <v>180000</v>
      </c>
      <c r="N988" s="14"/>
      <c r="O988" s="14"/>
      <c r="P988" s="14"/>
      <c r="Q988" s="14"/>
      <c r="R988" s="11"/>
    </row>
    <row r="989" ht="15.75" spans="1:18">
      <c r="A989" s="11"/>
      <c r="B989" s="32" t="s">
        <v>668</v>
      </c>
      <c r="C989" s="13" t="s">
        <v>783</v>
      </c>
      <c r="D989" s="37">
        <v>1</v>
      </c>
      <c r="E989" s="11">
        <v>140000</v>
      </c>
      <c r="F989" s="29">
        <f>D989*E989</f>
        <v>140000</v>
      </c>
      <c r="G989" s="13" t="s">
        <v>42</v>
      </c>
      <c r="H989" s="13" t="s">
        <v>729</v>
      </c>
      <c r="I989" s="30" t="s">
        <v>778</v>
      </c>
      <c r="J989" s="14"/>
      <c r="K989" s="14">
        <v>140000</v>
      </c>
      <c r="L989" s="14"/>
      <c r="M989" s="14"/>
      <c r="N989" s="14"/>
      <c r="O989" s="14"/>
      <c r="P989" s="14"/>
      <c r="Q989" s="14"/>
      <c r="R989" s="11"/>
    </row>
    <row r="990" customHeight="1" spans="1:18">
      <c r="A990" s="11"/>
      <c r="B990" s="32" t="s">
        <v>669</v>
      </c>
      <c r="C990" s="16">
        <v>1</v>
      </c>
      <c r="D990" s="37"/>
      <c r="E990" s="256">
        <v>200000</v>
      </c>
      <c r="F990" s="257">
        <v>200000</v>
      </c>
      <c r="G990" s="16" t="s">
        <v>46</v>
      </c>
      <c r="H990" s="13" t="s">
        <v>729</v>
      </c>
      <c r="I990" s="30" t="s">
        <v>778</v>
      </c>
      <c r="J990" s="68"/>
      <c r="K990" s="69"/>
      <c r="L990" s="70">
        <v>1</v>
      </c>
      <c r="M990" s="69">
        <v>200000</v>
      </c>
      <c r="N990" s="70"/>
      <c r="O990" s="69"/>
      <c r="P990" s="70"/>
      <c r="Q990" s="69"/>
      <c r="R990" s="11"/>
    </row>
    <row r="991" ht="18" customHeight="1" spans="1:18">
      <c r="A991" s="11"/>
      <c r="B991" s="16" t="s">
        <v>1415</v>
      </c>
      <c r="C991" s="16"/>
      <c r="D991" s="17"/>
      <c r="E991" s="49"/>
      <c r="F991" s="258">
        <v>1500000</v>
      </c>
      <c r="G991" s="16" t="s">
        <v>46</v>
      </c>
      <c r="H991" s="13" t="s">
        <v>729</v>
      </c>
      <c r="I991" s="30" t="s">
        <v>778</v>
      </c>
      <c r="J991" s="68"/>
      <c r="K991" s="69"/>
      <c r="L991" s="68">
        <v>1</v>
      </c>
      <c r="M991" s="69">
        <v>1500000</v>
      </c>
      <c r="N991" s="17"/>
      <c r="O991" s="69"/>
      <c r="P991" s="17"/>
      <c r="Q991" s="69"/>
      <c r="R991" s="91"/>
    </row>
    <row r="992" ht="15.75" spans="1:18">
      <c r="A992" s="11"/>
      <c r="B992" s="16" t="s">
        <v>1416</v>
      </c>
      <c r="C992" s="16"/>
      <c r="D992" s="17"/>
      <c r="E992" s="49"/>
      <c r="F992" s="258">
        <v>2500000</v>
      </c>
      <c r="G992" s="16" t="s">
        <v>46</v>
      </c>
      <c r="H992" s="13" t="s">
        <v>729</v>
      </c>
      <c r="I992" s="30" t="s">
        <v>778</v>
      </c>
      <c r="J992" s="265"/>
      <c r="K992" s="69"/>
      <c r="L992" s="68">
        <v>1</v>
      </c>
      <c r="M992" s="69">
        <v>2500000</v>
      </c>
      <c r="N992" s="68"/>
      <c r="O992" s="69"/>
      <c r="P992" s="17"/>
      <c r="Q992" s="69"/>
      <c r="R992" s="11"/>
    </row>
    <row r="993" ht="15.75" spans="1:18">
      <c r="A993" s="11"/>
      <c r="B993" s="16" t="s">
        <v>1417</v>
      </c>
      <c r="C993" s="16"/>
      <c r="D993" s="17">
        <v>50</v>
      </c>
      <c r="E993" s="49"/>
      <c r="F993" s="258">
        <v>10000000</v>
      </c>
      <c r="G993" s="16" t="s">
        <v>46</v>
      </c>
      <c r="H993" s="13" t="s">
        <v>729</v>
      </c>
      <c r="I993" s="30" t="s">
        <v>778</v>
      </c>
      <c r="J993" s="68"/>
      <c r="K993" s="69"/>
      <c r="L993" s="68"/>
      <c r="M993" s="69">
        <v>10000000</v>
      </c>
      <c r="N993" s="17"/>
      <c r="O993" s="69"/>
      <c r="P993" s="17"/>
      <c r="Q993" s="69"/>
      <c r="R993" s="11"/>
    </row>
    <row r="994" ht="15.75" spans="1:18">
      <c r="A994" s="259"/>
      <c r="B994" s="16" t="s">
        <v>1418</v>
      </c>
      <c r="C994" s="16"/>
      <c r="D994" s="17" t="s">
        <v>1419</v>
      </c>
      <c r="E994" s="49"/>
      <c r="F994" s="258">
        <v>250000</v>
      </c>
      <c r="G994" s="16" t="s">
        <v>46</v>
      </c>
      <c r="H994" s="13" t="s">
        <v>729</v>
      </c>
      <c r="I994" s="30" t="s">
        <v>778</v>
      </c>
      <c r="J994" s="68">
        <v>2</v>
      </c>
      <c r="K994" s="69">
        <v>250000</v>
      </c>
      <c r="L994" s="68"/>
      <c r="M994" s="69"/>
      <c r="N994" s="17"/>
      <c r="O994" s="69"/>
      <c r="P994" s="17"/>
      <c r="Q994" s="69"/>
      <c r="R994" s="11"/>
    </row>
    <row r="995" ht="15.75" spans="1:18">
      <c r="A995" s="259"/>
      <c r="B995" s="16" t="s">
        <v>1420</v>
      </c>
      <c r="C995" s="16"/>
      <c r="D995" s="17" t="s">
        <v>1421</v>
      </c>
      <c r="E995" s="49"/>
      <c r="F995" s="258">
        <v>250000</v>
      </c>
      <c r="G995" s="16" t="s">
        <v>46</v>
      </c>
      <c r="H995" s="13" t="s">
        <v>729</v>
      </c>
      <c r="I995" s="30" t="s">
        <v>778</v>
      </c>
      <c r="J995" s="68"/>
      <c r="K995" s="69"/>
      <c r="L995" s="68">
        <v>2</v>
      </c>
      <c r="M995" s="69">
        <v>250000</v>
      </c>
      <c r="N995" s="17"/>
      <c r="O995" s="69"/>
      <c r="P995" s="17"/>
      <c r="Q995" s="69"/>
      <c r="R995" s="11"/>
    </row>
    <row r="996" ht="15.75" spans="1:18">
      <c r="A996" s="11"/>
      <c r="B996" s="16" t="s">
        <v>1422</v>
      </c>
      <c r="C996" s="35"/>
      <c r="D996" s="77"/>
      <c r="E996" s="157"/>
      <c r="F996" s="260">
        <v>35000</v>
      </c>
      <c r="G996" s="261" t="s">
        <v>46</v>
      </c>
      <c r="H996" s="35" t="s">
        <v>729</v>
      </c>
      <c r="I996" s="266" t="s">
        <v>778</v>
      </c>
      <c r="J996" s="77"/>
      <c r="K996" s="77"/>
      <c r="L996" s="77"/>
      <c r="M996" s="150">
        <v>35000</v>
      </c>
      <c r="N996" s="77"/>
      <c r="O996" s="77"/>
      <c r="P996" s="14"/>
      <c r="Q996" s="14"/>
      <c r="R996" s="11"/>
    </row>
    <row r="997" ht="15.75" spans="1:18">
      <c r="A997" s="11"/>
      <c r="B997" s="11" t="s">
        <v>1423</v>
      </c>
      <c r="C997" s="191" t="s">
        <v>919</v>
      </c>
      <c r="D997" s="77">
        <v>3</v>
      </c>
      <c r="E997" s="167">
        <v>185000</v>
      </c>
      <c r="F997" s="34">
        <f>D997*E997</f>
        <v>555000</v>
      </c>
      <c r="G997" s="156" t="s">
        <v>104</v>
      </c>
      <c r="H997" s="155" t="s">
        <v>729</v>
      </c>
      <c r="I997" s="155" t="s">
        <v>778</v>
      </c>
      <c r="J997" s="77"/>
      <c r="K997" s="138"/>
      <c r="L997" s="78">
        <v>3</v>
      </c>
      <c r="M997" s="138">
        <f t="shared" ref="M997:M1003" si="58">E997*L997</f>
        <v>555000</v>
      </c>
      <c r="N997" s="78"/>
      <c r="O997" s="138"/>
      <c r="P997" s="139"/>
      <c r="Q997" s="75"/>
      <c r="R997" s="11"/>
    </row>
    <row r="998" ht="15.75" spans="1:18">
      <c r="A998" s="11"/>
      <c r="B998" s="129" t="s">
        <v>663</v>
      </c>
      <c r="C998" s="191" t="s">
        <v>919</v>
      </c>
      <c r="D998" s="77">
        <v>1</v>
      </c>
      <c r="E998" s="167">
        <v>2435600</v>
      </c>
      <c r="F998" s="34">
        <f>D998*E998</f>
        <v>2435600</v>
      </c>
      <c r="G998" s="156" t="s">
        <v>104</v>
      </c>
      <c r="H998" s="155" t="s">
        <v>729</v>
      </c>
      <c r="I998" s="155" t="s">
        <v>778</v>
      </c>
      <c r="J998" s="77"/>
      <c r="K998" s="138"/>
      <c r="L998" s="78">
        <v>1</v>
      </c>
      <c r="M998" s="138">
        <f t="shared" si="58"/>
        <v>2435600</v>
      </c>
      <c r="N998" s="78"/>
      <c r="O998" s="138"/>
      <c r="P998" s="139"/>
      <c r="Q998" s="75"/>
      <c r="R998" s="11"/>
    </row>
    <row r="999" ht="15.75" spans="1:18">
      <c r="A999" s="11"/>
      <c r="B999" s="129" t="s">
        <v>1424</v>
      </c>
      <c r="C999" s="191" t="s">
        <v>919</v>
      </c>
      <c r="D999" s="77">
        <v>20</v>
      </c>
      <c r="E999" s="167">
        <v>28450</v>
      </c>
      <c r="F999" s="34">
        <f>D999*E999</f>
        <v>569000</v>
      </c>
      <c r="G999" s="156" t="s">
        <v>104</v>
      </c>
      <c r="H999" s="155" t="s">
        <v>729</v>
      </c>
      <c r="I999" s="155" t="s">
        <v>778</v>
      </c>
      <c r="J999" s="77"/>
      <c r="K999" s="138"/>
      <c r="L999" s="78">
        <v>20</v>
      </c>
      <c r="M999" s="138">
        <f t="shared" si="58"/>
        <v>569000</v>
      </c>
      <c r="N999" s="78"/>
      <c r="O999" s="138"/>
      <c r="P999" s="139"/>
      <c r="Q999" s="75"/>
      <c r="R999" s="11"/>
    </row>
    <row r="1000" ht="15.75" spans="1:18">
      <c r="A1000" s="11"/>
      <c r="B1000" s="129" t="s">
        <v>103</v>
      </c>
      <c r="C1000" s="156" t="s">
        <v>799</v>
      </c>
      <c r="D1000" s="77">
        <v>4</v>
      </c>
      <c r="E1000" s="262">
        <v>150000</v>
      </c>
      <c r="F1000" s="166">
        <f>E1000*D1000</f>
        <v>600000</v>
      </c>
      <c r="G1000" s="156" t="s">
        <v>813</v>
      </c>
      <c r="H1000" s="155" t="s">
        <v>729</v>
      </c>
      <c r="I1000" s="155" t="s">
        <v>778</v>
      </c>
      <c r="J1000" s="267">
        <v>2</v>
      </c>
      <c r="K1000" s="138">
        <f>E1000*J1000</f>
        <v>300000</v>
      </c>
      <c r="L1000" s="77">
        <v>2</v>
      </c>
      <c r="M1000" s="138">
        <f t="shared" si="58"/>
        <v>300000</v>
      </c>
      <c r="N1000" s="77"/>
      <c r="O1000" s="138">
        <f>E1000*N1000</f>
        <v>0</v>
      </c>
      <c r="P1000" s="14"/>
      <c r="Q1000" s="75">
        <f>E1000*P1000</f>
        <v>0</v>
      </c>
      <c r="R1000" s="71"/>
    </row>
    <row r="1001" ht="15.75" spans="1:18">
      <c r="A1001" s="11"/>
      <c r="B1001" s="38" t="s">
        <v>1425</v>
      </c>
      <c r="C1001" s="156" t="s">
        <v>799</v>
      </c>
      <c r="D1001" s="77">
        <v>1</v>
      </c>
      <c r="E1001" s="262">
        <v>32000</v>
      </c>
      <c r="F1001" s="166">
        <f>E1001*D1001</f>
        <v>32000</v>
      </c>
      <c r="G1001" s="156" t="s">
        <v>813</v>
      </c>
      <c r="H1001" s="155" t="s">
        <v>729</v>
      </c>
      <c r="I1001" s="155" t="s">
        <v>778</v>
      </c>
      <c r="J1001" s="267">
        <v>1</v>
      </c>
      <c r="K1001" s="138">
        <f>E1001*J1001</f>
        <v>32000</v>
      </c>
      <c r="L1001" s="77"/>
      <c r="M1001" s="138">
        <f t="shared" si="58"/>
        <v>0</v>
      </c>
      <c r="N1001" s="86"/>
      <c r="O1001" s="138">
        <f>E1001*N1001</f>
        <v>0</v>
      </c>
      <c r="P1001" s="82"/>
      <c r="Q1001" s="75">
        <f>E1001*P1001</f>
        <v>0</v>
      </c>
      <c r="R1001" s="71"/>
    </row>
    <row r="1002" ht="15.75" spans="1:18">
      <c r="A1002" s="11"/>
      <c r="B1002" s="38" t="s">
        <v>1426</v>
      </c>
      <c r="C1002" s="156" t="s">
        <v>799</v>
      </c>
      <c r="D1002" s="77">
        <v>2</v>
      </c>
      <c r="E1002" s="262">
        <v>15000</v>
      </c>
      <c r="F1002" s="166">
        <f>E1002*D1002</f>
        <v>30000</v>
      </c>
      <c r="G1002" s="156" t="s">
        <v>813</v>
      </c>
      <c r="H1002" s="155" t="s">
        <v>729</v>
      </c>
      <c r="I1002" s="155" t="s">
        <v>778</v>
      </c>
      <c r="J1002" s="267">
        <v>2</v>
      </c>
      <c r="K1002" s="138">
        <f>E1002*J1002</f>
        <v>30000</v>
      </c>
      <c r="L1002" s="77"/>
      <c r="M1002" s="138">
        <f t="shared" si="58"/>
        <v>0</v>
      </c>
      <c r="N1002" s="86"/>
      <c r="O1002" s="138">
        <f>E1002*N1002</f>
        <v>0</v>
      </c>
      <c r="P1002" s="82"/>
      <c r="Q1002" s="75">
        <f>E1002*P1002</f>
        <v>0</v>
      </c>
      <c r="R1002" s="71"/>
    </row>
    <row r="1003" ht="15.75" spans="1:18">
      <c r="A1003" s="11"/>
      <c r="B1003" s="38" t="s">
        <v>1427</v>
      </c>
      <c r="C1003" s="38" t="s">
        <v>799</v>
      </c>
      <c r="D1003" s="14">
        <v>1</v>
      </c>
      <c r="E1003" s="225">
        <v>450000</v>
      </c>
      <c r="F1003" s="55">
        <f>E1003*D1003</f>
        <v>450000</v>
      </c>
      <c r="G1003" s="38" t="s">
        <v>813</v>
      </c>
      <c r="H1003" s="39" t="s">
        <v>729</v>
      </c>
      <c r="I1003" s="39" t="s">
        <v>778</v>
      </c>
      <c r="J1003" s="74"/>
      <c r="K1003" s="75">
        <f>E1003*J1003</f>
        <v>0</v>
      </c>
      <c r="L1003" s="14">
        <v>1</v>
      </c>
      <c r="M1003" s="75">
        <f t="shared" si="58"/>
        <v>450000</v>
      </c>
      <c r="N1003" s="14"/>
      <c r="O1003" s="75">
        <f>E1003*N1003</f>
        <v>0</v>
      </c>
      <c r="P1003" s="14"/>
      <c r="Q1003" s="75">
        <f>E1003*P1003</f>
        <v>0</v>
      </c>
      <c r="R1003" s="71"/>
    </row>
    <row r="1004" ht="15.75" spans="1:18">
      <c r="A1004" s="11"/>
      <c r="B1004" s="38" t="s">
        <v>655</v>
      </c>
      <c r="C1004" s="38"/>
      <c r="D1004" s="82">
        <v>1</v>
      </c>
      <c r="E1004" s="263">
        <v>18000</v>
      </c>
      <c r="F1004" s="55">
        <v>18000</v>
      </c>
      <c r="G1004" s="38" t="s">
        <v>25</v>
      </c>
      <c r="H1004" s="39" t="s">
        <v>729</v>
      </c>
      <c r="I1004" s="39" t="s">
        <v>778</v>
      </c>
      <c r="J1004" s="81"/>
      <c r="K1004" s="75"/>
      <c r="L1004" s="84">
        <v>1</v>
      </c>
      <c r="M1004" s="75">
        <v>18000</v>
      </c>
      <c r="N1004" s="84"/>
      <c r="O1004" s="75"/>
      <c r="P1004" s="84"/>
      <c r="Q1004" s="75"/>
      <c r="R1004" s="71"/>
    </row>
    <row r="1005" ht="15.75" spans="1:18">
      <c r="A1005" s="11"/>
      <c r="B1005" s="38" t="s">
        <v>1428</v>
      </c>
      <c r="C1005" s="38"/>
      <c r="D1005" s="14">
        <v>1</v>
      </c>
      <c r="E1005" s="225">
        <v>200000</v>
      </c>
      <c r="F1005" s="40">
        <v>200000</v>
      </c>
      <c r="G1005" s="38" t="s">
        <v>25</v>
      </c>
      <c r="H1005" s="39" t="s">
        <v>729</v>
      </c>
      <c r="I1005" s="39" t="s">
        <v>778</v>
      </c>
      <c r="J1005" s="74">
        <v>1</v>
      </c>
      <c r="K1005" s="75">
        <v>200000</v>
      </c>
      <c r="L1005" s="14"/>
      <c r="M1005" s="75"/>
      <c r="N1005" s="14"/>
      <c r="O1005" s="75"/>
      <c r="P1005" s="14"/>
      <c r="Q1005" s="75"/>
      <c r="R1005" s="71"/>
    </row>
    <row r="1006" ht="15.75" spans="1:18">
      <c r="A1006" s="11"/>
      <c r="B1006" s="38" t="s">
        <v>1429</v>
      </c>
      <c r="C1006" s="38"/>
      <c r="D1006" s="14">
        <v>1</v>
      </c>
      <c r="E1006" s="225">
        <v>350000</v>
      </c>
      <c r="F1006" s="40">
        <v>350000</v>
      </c>
      <c r="G1006" s="38" t="s">
        <v>25</v>
      </c>
      <c r="H1006" s="39" t="s">
        <v>729</v>
      </c>
      <c r="I1006" s="39" t="s">
        <v>778</v>
      </c>
      <c r="J1006" s="74">
        <v>1</v>
      </c>
      <c r="K1006" s="75">
        <v>350000</v>
      </c>
      <c r="L1006" s="14"/>
      <c r="M1006" s="75"/>
      <c r="N1006" s="14"/>
      <c r="O1006" s="75"/>
      <c r="P1006" s="14"/>
      <c r="Q1006" s="75"/>
      <c r="R1006" s="11"/>
    </row>
    <row r="1007" ht="15.75" spans="1:18">
      <c r="A1007" s="11"/>
      <c r="B1007" s="38" t="s">
        <v>1430</v>
      </c>
      <c r="C1007" s="38"/>
      <c r="D1007" s="14">
        <v>3</v>
      </c>
      <c r="E1007" s="225">
        <v>280000</v>
      </c>
      <c r="F1007" s="40">
        <v>840000</v>
      </c>
      <c r="G1007" s="38" t="s">
        <v>25</v>
      </c>
      <c r="H1007" s="39" t="s">
        <v>729</v>
      </c>
      <c r="I1007" s="39" t="s">
        <v>778</v>
      </c>
      <c r="J1007" s="74">
        <v>3</v>
      </c>
      <c r="K1007" s="75">
        <v>840000</v>
      </c>
      <c r="L1007" s="14"/>
      <c r="M1007" s="75"/>
      <c r="N1007" s="14"/>
      <c r="O1007" s="75"/>
      <c r="P1007" s="14"/>
      <c r="Q1007" s="75"/>
      <c r="R1007" s="11"/>
    </row>
    <row r="1008" ht="15.75" spans="1:18">
      <c r="A1008" s="11"/>
      <c r="B1008" s="38" t="s">
        <v>1431</v>
      </c>
      <c r="C1008" s="41" t="s">
        <v>799</v>
      </c>
      <c r="D1008" s="42">
        <v>1</v>
      </c>
      <c r="E1008" s="264">
        <v>180000</v>
      </c>
      <c r="F1008" s="44">
        <v>180000</v>
      </c>
      <c r="G1008" s="41" t="s">
        <v>37</v>
      </c>
      <c r="H1008" s="31" t="s">
        <v>729</v>
      </c>
      <c r="I1008" s="31" t="s">
        <v>778</v>
      </c>
      <c r="J1008" s="79">
        <v>1</v>
      </c>
      <c r="K1008" s="72">
        <v>180000</v>
      </c>
      <c r="L1008" s="80" t="s">
        <v>804</v>
      </c>
      <c r="M1008" s="72"/>
      <c r="N1008" s="113" t="s">
        <v>804</v>
      </c>
      <c r="O1008" s="72"/>
      <c r="P1008" s="80" t="s">
        <v>804</v>
      </c>
      <c r="Q1008" s="72"/>
      <c r="R1008" s="11"/>
    </row>
    <row r="1009" ht="15.75" spans="1:18">
      <c r="A1009" s="11"/>
      <c r="B1009" s="41" t="s">
        <v>1432</v>
      </c>
      <c r="C1009" s="41" t="s">
        <v>799</v>
      </c>
      <c r="D1009" s="42">
        <v>1</v>
      </c>
      <c r="E1009" s="187">
        <v>240000</v>
      </c>
      <c r="F1009" s="44">
        <v>240000</v>
      </c>
      <c r="G1009" s="41" t="s">
        <v>37</v>
      </c>
      <c r="H1009" s="31" t="s">
        <v>729</v>
      </c>
      <c r="I1009" s="31" t="s">
        <v>778</v>
      </c>
      <c r="J1009" s="76"/>
      <c r="K1009" s="72"/>
      <c r="L1009" s="42"/>
      <c r="N1009" s="42">
        <v>1</v>
      </c>
      <c r="O1009" s="72">
        <v>240000</v>
      </c>
      <c r="P1009" s="42"/>
      <c r="Q1009" s="72"/>
      <c r="R1009" s="11"/>
    </row>
    <row r="1010" ht="15.75" spans="1:18">
      <c r="A1010" s="11"/>
      <c r="B1010" s="41" t="s">
        <v>1433</v>
      </c>
      <c r="C1010" s="41"/>
      <c r="D1010" s="42">
        <v>1</v>
      </c>
      <c r="E1010" s="187">
        <v>2000000</v>
      </c>
      <c r="F1010" s="44">
        <v>2000000</v>
      </c>
      <c r="G1010" s="41" t="s">
        <v>37</v>
      </c>
      <c r="H1010" s="31" t="s">
        <v>729</v>
      </c>
      <c r="I1010" s="31" t="s">
        <v>778</v>
      </c>
      <c r="J1010" s="76"/>
      <c r="L1010" s="42">
        <v>1</v>
      </c>
      <c r="M1010" s="72">
        <v>2000000</v>
      </c>
      <c r="N1010" s="42"/>
      <c r="O1010" s="72"/>
      <c r="P1010" s="42"/>
      <c r="Q1010" s="72"/>
      <c r="R1010" s="11"/>
    </row>
    <row r="1011" ht="15.75" spans="1:18">
      <c r="A1011" s="11"/>
      <c r="B1011" s="41" t="s">
        <v>1434</v>
      </c>
      <c r="C1011" s="41" t="s">
        <v>799</v>
      </c>
      <c r="D1011" s="94">
        <v>3</v>
      </c>
      <c r="E1011" s="187">
        <v>150000</v>
      </c>
      <c r="F1011" s="44">
        <v>450000</v>
      </c>
      <c r="G1011" s="41" t="s">
        <v>37</v>
      </c>
      <c r="H1011" s="31" t="s">
        <v>729</v>
      </c>
      <c r="I1011" s="31" t="s">
        <v>778</v>
      </c>
      <c r="J1011" s="76">
        <v>1</v>
      </c>
      <c r="K1011" s="72">
        <v>150000</v>
      </c>
      <c r="L1011" s="42">
        <v>2</v>
      </c>
      <c r="M1011" s="72">
        <v>300000</v>
      </c>
      <c r="N1011" s="42"/>
      <c r="O1011" s="72"/>
      <c r="P1011" s="42"/>
      <c r="Q1011" s="72"/>
      <c r="R1011" s="212"/>
    </row>
    <row r="1012" ht="15.75" spans="1:18">
      <c r="A1012" s="11"/>
      <c r="B1012" s="41" t="s">
        <v>1435</v>
      </c>
      <c r="C1012" s="41"/>
      <c r="D1012" s="20">
        <v>6</v>
      </c>
      <c r="E1012" s="19">
        <v>30000</v>
      </c>
      <c r="F1012" s="21">
        <v>180000</v>
      </c>
      <c r="G1012" s="19" t="s">
        <v>40</v>
      </c>
      <c r="H1012" s="31" t="s">
        <v>729</v>
      </c>
      <c r="I1012" s="31" t="s">
        <v>778</v>
      </c>
      <c r="J1012" s="20">
        <v>3</v>
      </c>
      <c r="K1012" s="72">
        <v>90000</v>
      </c>
      <c r="L1012" s="42">
        <v>3</v>
      </c>
      <c r="M1012" s="72">
        <v>90000</v>
      </c>
      <c r="N1012" s="42"/>
      <c r="O1012" s="72"/>
      <c r="P1012" s="42"/>
      <c r="Q1012" s="72"/>
      <c r="R1012" s="212"/>
    </row>
    <row r="1013" ht="15.75" spans="1:18">
      <c r="A1013" s="11"/>
      <c r="B1013" s="19" t="s">
        <v>665</v>
      </c>
      <c r="C1013" s="41"/>
      <c r="D1013" s="20">
        <v>9</v>
      </c>
      <c r="E1013" s="19">
        <v>70000</v>
      </c>
      <c r="F1013" s="21">
        <v>630000</v>
      </c>
      <c r="G1013" s="19" t="s">
        <v>40</v>
      </c>
      <c r="H1013" s="31" t="s">
        <v>729</v>
      </c>
      <c r="I1013" s="31" t="s">
        <v>778</v>
      </c>
      <c r="J1013" s="20" t="s">
        <v>1436</v>
      </c>
      <c r="K1013" s="19">
        <v>630000</v>
      </c>
      <c r="L1013" s="20"/>
      <c r="M1013" s="72"/>
      <c r="N1013" s="20"/>
      <c r="O1013" s="72"/>
      <c r="P1013" s="20"/>
      <c r="Q1013" s="72"/>
      <c r="R1013" s="212"/>
    </row>
    <row r="1014" ht="15.75" spans="1:18">
      <c r="A1014" s="11"/>
      <c r="B1014" s="19" t="s">
        <v>666</v>
      </c>
      <c r="C1014" s="41"/>
      <c r="D1014" s="20">
        <v>3</v>
      </c>
      <c r="E1014" s="19">
        <v>60000</v>
      </c>
      <c r="F1014" s="21">
        <v>180000</v>
      </c>
      <c r="G1014" s="19" t="s">
        <v>40</v>
      </c>
      <c r="H1014" s="31" t="s">
        <v>729</v>
      </c>
      <c r="I1014" s="31" t="s">
        <v>778</v>
      </c>
      <c r="J1014" s="20">
        <v>1</v>
      </c>
      <c r="K1014" s="72">
        <v>60000</v>
      </c>
      <c r="L1014" s="20"/>
      <c r="M1014" s="72">
        <v>60000</v>
      </c>
      <c r="N1014" s="20">
        <v>1</v>
      </c>
      <c r="O1014" s="72">
        <v>60000</v>
      </c>
      <c r="P1014" s="20"/>
      <c r="Q1014" s="72"/>
      <c r="R1014" s="212"/>
    </row>
    <row r="1015" ht="15.75" spans="1:18">
      <c r="A1015" s="11"/>
      <c r="B1015" s="19" t="s">
        <v>1437</v>
      </c>
      <c r="C1015" s="41"/>
      <c r="D1015" s="20">
        <v>3</v>
      </c>
      <c r="E1015" s="19">
        <v>10000</v>
      </c>
      <c r="F1015" s="21">
        <v>30000</v>
      </c>
      <c r="G1015" s="19" t="s">
        <v>40</v>
      </c>
      <c r="H1015" s="31" t="s">
        <v>729</v>
      </c>
      <c r="I1015" s="31" t="s">
        <v>778</v>
      </c>
      <c r="J1015" s="20">
        <v>1</v>
      </c>
      <c r="K1015" s="72">
        <v>10000</v>
      </c>
      <c r="L1015" s="20">
        <v>1</v>
      </c>
      <c r="M1015" s="72">
        <v>10000</v>
      </c>
      <c r="N1015" s="20">
        <v>1</v>
      </c>
      <c r="O1015" s="72">
        <v>10000</v>
      </c>
      <c r="P1015" s="20"/>
      <c r="Q1015" s="72"/>
      <c r="R1015" s="212"/>
    </row>
    <row r="1016" ht="15.75" spans="1:18">
      <c r="A1016" s="11"/>
      <c r="B1016" s="19" t="s">
        <v>336</v>
      </c>
      <c r="C1016" s="41"/>
      <c r="D1016" s="20">
        <v>3</v>
      </c>
      <c r="E1016" s="19">
        <v>35000</v>
      </c>
      <c r="F1016" s="21">
        <v>105000</v>
      </c>
      <c r="G1016" s="19" t="s">
        <v>40</v>
      </c>
      <c r="H1016" s="31" t="s">
        <v>729</v>
      </c>
      <c r="I1016" s="31" t="s">
        <v>778</v>
      </c>
      <c r="J1016" s="20">
        <v>1</v>
      </c>
      <c r="K1016" s="72">
        <v>35000</v>
      </c>
      <c r="L1016" s="20">
        <v>1</v>
      </c>
      <c r="M1016" s="72">
        <v>35000</v>
      </c>
      <c r="N1016" s="20">
        <v>1</v>
      </c>
      <c r="O1016" s="72">
        <v>35000</v>
      </c>
      <c r="P1016" s="42"/>
      <c r="Q1016" s="72"/>
      <c r="R1016" s="212"/>
    </row>
    <row r="1017" ht="15.75" spans="1:18">
      <c r="A1017" s="11"/>
      <c r="B1017" s="19" t="s">
        <v>337</v>
      </c>
      <c r="C1017" s="41"/>
      <c r="D1017" s="20">
        <v>2</v>
      </c>
      <c r="E1017" s="19">
        <v>98000</v>
      </c>
      <c r="F1017" s="21">
        <v>196000</v>
      </c>
      <c r="G1017" s="19" t="s">
        <v>40</v>
      </c>
      <c r="H1017" s="31" t="s">
        <v>729</v>
      </c>
      <c r="I1017" s="31" t="s">
        <v>778</v>
      </c>
      <c r="J1017" s="20">
        <v>1</v>
      </c>
      <c r="K1017" s="72">
        <v>98000</v>
      </c>
      <c r="L1017" s="20">
        <v>1</v>
      </c>
      <c r="M1017" s="72">
        <v>98000</v>
      </c>
      <c r="N1017" s="20"/>
      <c r="O1017" s="72"/>
      <c r="P1017" s="42"/>
      <c r="Q1017" s="72"/>
      <c r="R1017" s="212"/>
    </row>
    <row r="1018" ht="15.75" spans="1:18">
      <c r="A1018" s="11"/>
      <c r="B1018" s="19" t="s">
        <v>1438</v>
      </c>
      <c r="C1018" s="41"/>
      <c r="D1018" s="20">
        <v>3</v>
      </c>
      <c r="E1018" s="19">
        <v>150000</v>
      </c>
      <c r="F1018" s="21">
        <v>750000</v>
      </c>
      <c r="G1018" s="19" t="s">
        <v>40</v>
      </c>
      <c r="H1018" s="31" t="s">
        <v>729</v>
      </c>
      <c r="I1018" s="31" t="s">
        <v>778</v>
      </c>
      <c r="J1018" s="20">
        <v>3</v>
      </c>
      <c r="K1018" s="19">
        <v>750000</v>
      </c>
      <c r="L1018" s="20"/>
      <c r="M1018" s="72"/>
      <c r="N1018" s="20"/>
      <c r="O1018" s="72"/>
      <c r="P1018" s="42"/>
      <c r="Q1018" s="72"/>
      <c r="R1018" s="212"/>
    </row>
    <row r="1019" ht="15.75" spans="1:18">
      <c r="A1019" s="11"/>
      <c r="B1019" s="19" t="s">
        <v>335</v>
      </c>
      <c r="C1019" s="41"/>
      <c r="D1019" s="20">
        <v>1</v>
      </c>
      <c r="E1019" s="19">
        <v>30000</v>
      </c>
      <c r="F1019" s="21">
        <v>30000</v>
      </c>
      <c r="G1019" s="19" t="s">
        <v>40</v>
      </c>
      <c r="H1019" s="31" t="s">
        <v>729</v>
      </c>
      <c r="I1019" s="31" t="s">
        <v>778</v>
      </c>
      <c r="J1019" s="20">
        <v>1</v>
      </c>
      <c r="K1019" s="72">
        <v>30000</v>
      </c>
      <c r="L1019" s="20"/>
      <c r="M1019" s="72"/>
      <c r="N1019" s="20"/>
      <c r="O1019" s="72"/>
      <c r="P1019" s="42"/>
      <c r="Q1019" s="72"/>
      <c r="R1019" s="212"/>
    </row>
    <row r="1020" ht="15.75" spans="1:18">
      <c r="A1020" s="11"/>
      <c r="B1020" s="19" t="s">
        <v>308</v>
      </c>
      <c r="C1020" s="41"/>
      <c r="D1020" s="20">
        <v>1</v>
      </c>
      <c r="E1020" s="19">
        <v>15000</v>
      </c>
      <c r="F1020" s="21">
        <v>15000</v>
      </c>
      <c r="G1020" s="19" t="s">
        <v>40</v>
      </c>
      <c r="H1020" s="31" t="s">
        <v>729</v>
      </c>
      <c r="I1020" s="31" t="s">
        <v>778</v>
      </c>
      <c r="J1020" s="20">
        <v>1</v>
      </c>
      <c r="K1020" s="72">
        <v>15000</v>
      </c>
      <c r="L1020" s="20"/>
      <c r="M1020" s="72"/>
      <c r="N1020" s="20"/>
      <c r="O1020" s="72"/>
      <c r="P1020" s="42"/>
      <c r="Q1020" s="72"/>
      <c r="R1020" s="212"/>
    </row>
    <row r="1021" ht="15.75" spans="1:18">
      <c r="A1021" s="157"/>
      <c r="B1021" s="103" t="s">
        <v>1439</v>
      </c>
      <c r="C1021" s="137"/>
      <c r="D1021" s="104">
        <v>1</v>
      </c>
      <c r="E1021" s="103">
        <v>40000</v>
      </c>
      <c r="F1021" s="222">
        <v>40000</v>
      </c>
      <c r="G1021" s="103" t="s">
        <v>40</v>
      </c>
      <c r="H1021" s="215" t="s">
        <v>729</v>
      </c>
      <c r="I1021" s="215" t="s">
        <v>778</v>
      </c>
      <c r="J1021" s="104">
        <v>1</v>
      </c>
      <c r="K1021" s="141">
        <v>40000</v>
      </c>
      <c r="L1021" s="104"/>
      <c r="M1021" s="141"/>
      <c r="N1021" s="104"/>
      <c r="O1021" s="141"/>
      <c r="P1021" s="142"/>
      <c r="Q1021" s="141"/>
      <c r="R1021" s="212"/>
    </row>
    <row r="1022" ht="15.75" spans="1:18">
      <c r="A1022" s="157"/>
      <c r="B1022" s="103" t="s">
        <v>1440</v>
      </c>
      <c r="C1022" s="137"/>
      <c r="D1022" s="104">
        <v>5</v>
      </c>
      <c r="E1022" s="190">
        <v>185000</v>
      </c>
      <c r="F1022" s="222">
        <v>925000</v>
      </c>
      <c r="G1022" s="103" t="s">
        <v>33</v>
      </c>
      <c r="H1022" s="215" t="s">
        <v>729</v>
      </c>
      <c r="I1022" s="215" t="s">
        <v>778</v>
      </c>
      <c r="J1022" s="104">
        <v>5</v>
      </c>
      <c r="K1022" s="104">
        <v>925000</v>
      </c>
      <c r="L1022" s="104"/>
      <c r="M1022" s="141"/>
      <c r="N1022" s="104"/>
      <c r="O1022" s="141"/>
      <c r="P1022" s="142"/>
      <c r="Q1022" s="141"/>
      <c r="R1022" s="212"/>
    </row>
    <row r="1023" ht="15.75" spans="1:18">
      <c r="A1023" s="157"/>
      <c r="B1023" s="103" t="s">
        <v>1441</v>
      </c>
      <c r="C1023" s="137"/>
      <c r="D1023" s="104">
        <v>1</v>
      </c>
      <c r="E1023" s="190">
        <v>2435000</v>
      </c>
      <c r="F1023" s="214">
        <v>2435000</v>
      </c>
      <c r="G1023" s="103" t="s">
        <v>33</v>
      </c>
      <c r="H1023" s="215" t="s">
        <v>729</v>
      </c>
      <c r="I1023" s="215" t="s">
        <v>778</v>
      </c>
      <c r="J1023" s="104">
        <v>1</v>
      </c>
      <c r="K1023" s="268">
        <v>2435000</v>
      </c>
      <c r="L1023" s="104"/>
      <c r="M1023" s="141"/>
      <c r="N1023" s="104"/>
      <c r="O1023" s="141"/>
      <c r="P1023" s="142"/>
      <c r="Q1023" s="141"/>
      <c r="R1023" s="212"/>
    </row>
    <row r="1024" ht="15.75" spans="1:18">
      <c r="A1024" s="157"/>
      <c r="B1024" s="103" t="s">
        <v>1442</v>
      </c>
      <c r="C1024" s="137"/>
      <c r="D1024" s="104">
        <v>1</v>
      </c>
      <c r="E1024" s="190">
        <v>100000</v>
      </c>
      <c r="F1024" s="214">
        <v>100000</v>
      </c>
      <c r="G1024" s="103" t="s">
        <v>33</v>
      </c>
      <c r="H1024" s="215" t="s">
        <v>729</v>
      </c>
      <c r="I1024" s="215" t="s">
        <v>778</v>
      </c>
      <c r="J1024" s="104">
        <v>1</v>
      </c>
      <c r="K1024" s="268">
        <v>100000</v>
      </c>
      <c r="L1024" s="104"/>
      <c r="M1024" s="141"/>
      <c r="N1024" s="104"/>
      <c r="O1024" s="141"/>
      <c r="P1024" s="142"/>
      <c r="Q1024" s="141"/>
      <c r="R1024" s="212"/>
    </row>
    <row r="1025" ht="15.75" spans="1:18">
      <c r="A1025" s="157"/>
      <c r="B1025" s="103" t="s">
        <v>1443</v>
      </c>
      <c r="C1025" s="137"/>
      <c r="D1025" s="104">
        <v>5</v>
      </c>
      <c r="E1025" s="190">
        <v>150000</v>
      </c>
      <c r="F1025" s="214">
        <v>750000</v>
      </c>
      <c r="G1025" s="103" t="s">
        <v>33</v>
      </c>
      <c r="H1025" s="215" t="s">
        <v>729</v>
      </c>
      <c r="I1025" s="215" t="s">
        <v>778</v>
      </c>
      <c r="J1025" s="104">
        <v>5</v>
      </c>
      <c r="K1025" s="268">
        <v>750000</v>
      </c>
      <c r="L1025" s="104"/>
      <c r="M1025" s="141"/>
      <c r="N1025" s="104"/>
      <c r="O1025" s="141"/>
      <c r="P1025" s="142"/>
      <c r="Q1025" s="141"/>
      <c r="R1025" s="212"/>
    </row>
    <row r="1026" ht="15.75" spans="1:18">
      <c r="A1026" s="157"/>
      <c r="B1026" s="103" t="s">
        <v>1444</v>
      </c>
      <c r="C1026" s="137"/>
      <c r="D1026" s="104">
        <v>30</v>
      </c>
      <c r="E1026" s="190">
        <v>28450</v>
      </c>
      <c r="F1026" s="214">
        <v>853500</v>
      </c>
      <c r="G1026" s="103" t="s">
        <v>33</v>
      </c>
      <c r="H1026" s="215" t="s">
        <v>729</v>
      </c>
      <c r="I1026" s="215" t="s">
        <v>778</v>
      </c>
      <c r="J1026" s="104">
        <v>30</v>
      </c>
      <c r="K1026" s="268">
        <v>853500</v>
      </c>
      <c r="L1026" s="104"/>
      <c r="M1026" s="141"/>
      <c r="N1026" s="104"/>
      <c r="O1026" s="141"/>
      <c r="P1026" s="142"/>
      <c r="Q1026" s="141"/>
      <c r="R1026" s="212"/>
    </row>
    <row r="1027" ht="15.75" spans="1:18">
      <c r="A1027" s="157"/>
      <c r="B1027" s="137" t="s">
        <v>1445</v>
      </c>
      <c r="C1027" s="137" t="s">
        <v>783</v>
      </c>
      <c r="D1027" s="269">
        <v>4</v>
      </c>
      <c r="E1027" s="213"/>
      <c r="F1027" s="214"/>
      <c r="G1027" s="137" t="s">
        <v>784</v>
      </c>
      <c r="H1027" s="215" t="s">
        <v>729</v>
      </c>
      <c r="I1027" s="215" t="s">
        <v>778</v>
      </c>
      <c r="J1027" s="140"/>
      <c r="K1027" s="141"/>
      <c r="L1027" s="142"/>
      <c r="M1027" s="141"/>
      <c r="N1027" s="142"/>
      <c r="O1027" s="141"/>
      <c r="P1027" s="142"/>
      <c r="Q1027" s="141"/>
      <c r="R1027" s="212"/>
    </row>
    <row r="1028" ht="15.75" spans="1:18">
      <c r="A1028" s="157"/>
      <c r="B1028" s="137" t="s">
        <v>1446</v>
      </c>
      <c r="C1028" s="137" t="s">
        <v>783</v>
      </c>
      <c r="D1028" s="269">
        <v>4</v>
      </c>
      <c r="E1028" s="213"/>
      <c r="F1028" s="214"/>
      <c r="G1028" s="137" t="s">
        <v>784</v>
      </c>
      <c r="H1028" s="215" t="s">
        <v>729</v>
      </c>
      <c r="I1028" s="215" t="s">
        <v>778</v>
      </c>
      <c r="J1028" s="140"/>
      <c r="K1028" s="141"/>
      <c r="L1028" s="142"/>
      <c r="M1028" s="141"/>
      <c r="N1028" s="142"/>
      <c r="O1028" s="141"/>
      <c r="P1028" s="142"/>
      <c r="Q1028" s="141"/>
      <c r="R1028" s="212"/>
    </row>
    <row r="1029" ht="15.75" spans="1:18">
      <c r="A1029" s="11"/>
      <c r="B1029" s="41" t="s">
        <v>335</v>
      </c>
      <c r="C1029" s="41" t="s">
        <v>783</v>
      </c>
      <c r="D1029" s="94">
        <v>2</v>
      </c>
      <c r="E1029" s="187">
        <v>40000</v>
      </c>
      <c r="F1029" s="44">
        <v>80000</v>
      </c>
      <c r="G1029" s="41" t="s">
        <v>43</v>
      </c>
      <c r="H1029" s="31" t="s">
        <v>729</v>
      </c>
      <c r="I1029" s="31" t="s">
        <v>778</v>
      </c>
      <c r="J1029" s="76">
        <v>2</v>
      </c>
      <c r="K1029" s="72">
        <v>80000</v>
      </c>
      <c r="L1029" s="42"/>
      <c r="M1029" s="72"/>
      <c r="N1029" s="42"/>
      <c r="O1029" s="72"/>
      <c r="P1029" s="42"/>
      <c r="Q1029" s="72"/>
      <c r="R1029" s="212"/>
    </row>
    <row r="1030" ht="15.75" spans="1:18">
      <c r="A1030" s="11"/>
      <c r="B1030" s="41" t="s">
        <v>666</v>
      </c>
      <c r="C1030" s="41" t="s">
        <v>783</v>
      </c>
      <c r="D1030" s="94">
        <v>2</v>
      </c>
      <c r="E1030" s="187">
        <v>40000</v>
      </c>
      <c r="F1030" s="44">
        <v>80000</v>
      </c>
      <c r="G1030" s="41" t="s">
        <v>43</v>
      </c>
      <c r="H1030" s="31" t="s">
        <v>729</v>
      </c>
      <c r="I1030" s="31" t="s">
        <v>778</v>
      </c>
      <c r="J1030" s="76">
        <v>2</v>
      </c>
      <c r="K1030" s="72">
        <v>80000</v>
      </c>
      <c r="L1030" s="42"/>
      <c r="M1030" s="72"/>
      <c r="N1030" s="42"/>
      <c r="O1030" s="72"/>
      <c r="P1030" s="42"/>
      <c r="Q1030" s="72"/>
      <c r="R1030" s="212"/>
    </row>
    <row r="1031" ht="15.75" spans="1:18">
      <c r="A1031" s="11"/>
      <c r="B1031" s="41" t="s">
        <v>658</v>
      </c>
      <c r="C1031" s="41" t="s">
        <v>783</v>
      </c>
      <c r="D1031" s="94">
        <v>1</v>
      </c>
      <c r="E1031" s="187">
        <v>80000</v>
      </c>
      <c r="F1031" s="44">
        <v>80000</v>
      </c>
      <c r="G1031" s="41" t="s">
        <v>43</v>
      </c>
      <c r="H1031" s="31" t="s">
        <v>729</v>
      </c>
      <c r="I1031" s="31" t="s">
        <v>778</v>
      </c>
      <c r="J1031" s="76">
        <v>1</v>
      </c>
      <c r="K1031" s="72">
        <v>80000</v>
      </c>
      <c r="L1031" s="42"/>
      <c r="M1031" s="72"/>
      <c r="N1031" s="42"/>
      <c r="O1031" s="72"/>
      <c r="P1031" s="42"/>
      <c r="Q1031" s="72"/>
      <c r="R1031" s="212"/>
    </row>
    <row r="1032" ht="31.5" spans="1:18">
      <c r="A1032" s="11"/>
      <c r="B1032" s="41" t="s">
        <v>1447</v>
      </c>
      <c r="C1032" s="41" t="s">
        <v>783</v>
      </c>
      <c r="D1032" s="94">
        <v>1</v>
      </c>
      <c r="E1032" s="187">
        <v>80000</v>
      </c>
      <c r="F1032" s="44">
        <v>80000</v>
      </c>
      <c r="G1032" s="41" t="s">
        <v>808</v>
      </c>
      <c r="H1032" s="31" t="s">
        <v>729</v>
      </c>
      <c r="I1032" s="31" t="s">
        <v>778</v>
      </c>
      <c r="J1032" s="76">
        <v>1</v>
      </c>
      <c r="K1032" s="72">
        <v>80000</v>
      </c>
      <c r="L1032" s="42"/>
      <c r="M1032" s="72"/>
      <c r="N1032" s="42"/>
      <c r="O1032" s="72"/>
      <c r="P1032" s="42"/>
      <c r="Q1032" s="72"/>
      <c r="R1032" s="212"/>
    </row>
    <row r="1033" ht="31.5" spans="1:18">
      <c r="A1033" s="11"/>
      <c r="B1033" s="41" t="s">
        <v>1448</v>
      </c>
      <c r="C1033" s="41" t="s">
        <v>783</v>
      </c>
      <c r="D1033" s="94">
        <v>1</v>
      </c>
      <c r="E1033" s="187">
        <v>60000</v>
      </c>
      <c r="F1033" s="44">
        <v>60000</v>
      </c>
      <c r="G1033" s="41" t="s">
        <v>808</v>
      </c>
      <c r="H1033" s="31" t="s">
        <v>729</v>
      </c>
      <c r="I1033" s="31" t="s">
        <v>778</v>
      </c>
      <c r="J1033" s="76">
        <v>1</v>
      </c>
      <c r="K1033" s="72">
        <v>60000</v>
      </c>
      <c r="L1033" s="42"/>
      <c r="M1033" s="72"/>
      <c r="N1033" s="42"/>
      <c r="O1033" s="72"/>
      <c r="P1033" s="42"/>
      <c r="Q1033" s="72"/>
      <c r="R1033" s="212"/>
    </row>
    <row r="1034" ht="31.5" spans="1:18">
      <c r="A1034" s="11"/>
      <c r="B1034" s="41" t="s">
        <v>1449</v>
      </c>
      <c r="C1034" s="41" t="s">
        <v>783</v>
      </c>
      <c r="D1034" s="94">
        <v>1</v>
      </c>
      <c r="E1034" s="187">
        <v>20000</v>
      </c>
      <c r="F1034" s="44">
        <v>20000</v>
      </c>
      <c r="G1034" s="41" t="s">
        <v>808</v>
      </c>
      <c r="H1034" s="31" t="s">
        <v>729</v>
      </c>
      <c r="I1034" s="31" t="s">
        <v>778</v>
      </c>
      <c r="J1034" s="76">
        <v>1</v>
      </c>
      <c r="K1034" s="72">
        <v>20000</v>
      </c>
      <c r="L1034" s="42"/>
      <c r="M1034" s="72"/>
      <c r="N1034" s="42"/>
      <c r="O1034" s="72"/>
      <c r="P1034" s="42"/>
      <c r="Q1034" s="72"/>
      <c r="R1034" s="212"/>
    </row>
    <row r="1035" ht="31.5" spans="1:18">
      <c r="A1035" s="11"/>
      <c r="B1035" s="41" t="s">
        <v>893</v>
      </c>
      <c r="C1035" s="41" t="s">
        <v>783</v>
      </c>
      <c r="D1035" s="94">
        <v>1</v>
      </c>
      <c r="E1035" s="187">
        <v>370000</v>
      </c>
      <c r="F1035" s="44">
        <v>370000</v>
      </c>
      <c r="G1035" s="41" t="s">
        <v>808</v>
      </c>
      <c r="H1035" s="31" t="s">
        <v>729</v>
      </c>
      <c r="I1035" s="31" t="s">
        <v>778</v>
      </c>
      <c r="J1035" s="76">
        <v>1</v>
      </c>
      <c r="K1035" s="72">
        <v>370000</v>
      </c>
      <c r="L1035" s="42"/>
      <c r="M1035" s="72"/>
      <c r="N1035" s="42"/>
      <c r="O1035" s="72"/>
      <c r="P1035" s="42"/>
      <c r="Q1035" s="72"/>
      <c r="R1035" s="212"/>
    </row>
    <row r="1036" ht="31.5" spans="1:18">
      <c r="A1036" s="11"/>
      <c r="B1036" s="41" t="s">
        <v>1450</v>
      </c>
      <c r="C1036" s="41" t="s">
        <v>783</v>
      </c>
      <c r="D1036" s="94">
        <v>1</v>
      </c>
      <c r="E1036" s="187">
        <v>150000</v>
      </c>
      <c r="F1036" s="44">
        <v>150000</v>
      </c>
      <c r="G1036" s="41" t="s">
        <v>808</v>
      </c>
      <c r="H1036" s="31" t="s">
        <v>729</v>
      </c>
      <c r="I1036" s="31" t="s">
        <v>778</v>
      </c>
      <c r="J1036" s="76">
        <v>1</v>
      </c>
      <c r="K1036" s="72">
        <v>150000</v>
      </c>
      <c r="L1036" s="42"/>
      <c r="M1036" s="72"/>
      <c r="N1036" s="42"/>
      <c r="O1036" s="72"/>
      <c r="P1036" s="42"/>
      <c r="Q1036" s="72"/>
      <c r="R1036" s="212"/>
    </row>
    <row r="1037" ht="31.5" spans="1:18">
      <c r="A1037" s="11"/>
      <c r="B1037" s="41" t="s">
        <v>1451</v>
      </c>
      <c r="C1037" s="41" t="s">
        <v>783</v>
      </c>
      <c r="D1037" s="94">
        <v>1</v>
      </c>
      <c r="E1037" s="187">
        <v>18000</v>
      </c>
      <c r="F1037" s="44">
        <v>18000</v>
      </c>
      <c r="G1037" s="41" t="s">
        <v>808</v>
      </c>
      <c r="H1037" s="31" t="s">
        <v>729</v>
      </c>
      <c r="I1037" s="31" t="s">
        <v>778</v>
      </c>
      <c r="J1037" s="76">
        <v>1</v>
      </c>
      <c r="K1037" s="72">
        <v>18000</v>
      </c>
      <c r="L1037" s="42"/>
      <c r="M1037" s="72"/>
      <c r="N1037" s="42"/>
      <c r="O1037" s="72"/>
      <c r="P1037" s="42"/>
      <c r="Q1037" s="72"/>
      <c r="R1037" s="212"/>
    </row>
    <row r="1038" ht="15.75" spans="1:18">
      <c r="A1038" s="11"/>
      <c r="B1038" s="41" t="s">
        <v>655</v>
      </c>
      <c r="C1038" s="41" t="s">
        <v>783</v>
      </c>
      <c r="D1038" s="94">
        <v>1</v>
      </c>
      <c r="E1038" s="187">
        <v>200000</v>
      </c>
      <c r="F1038" s="44">
        <v>200000</v>
      </c>
      <c r="G1038" s="41" t="s">
        <v>882</v>
      </c>
      <c r="H1038" s="31" t="s">
        <v>729</v>
      </c>
      <c r="I1038" s="31" t="s">
        <v>778</v>
      </c>
      <c r="J1038" s="76">
        <v>1</v>
      </c>
      <c r="K1038" s="72">
        <v>200000</v>
      </c>
      <c r="L1038" s="42"/>
      <c r="M1038" s="72"/>
      <c r="N1038" s="42"/>
      <c r="O1038" s="72"/>
      <c r="P1038" s="42"/>
      <c r="Q1038" s="72"/>
      <c r="R1038" s="212"/>
    </row>
    <row r="1039" ht="15.75" spans="1:18">
      <c r="A1039" s="11"/>
      <c r="B1039" s="41" t="s">
        <v>1452</v>
      </c>
      <c r="C1039" s="41" t="s">
        <v>783</v>
      </c>
      <c r="D1039" s="94">
        <v>1</v>
      </c>
      <c r="E1039" s="187">
        <v>200000</v>
      </c>
      <c r="F1039" s="44">
        <v>200000</v>
      </c>
      <c r="G1039" s="41" t="s">
        <v>882</v>
      </c>
      <c r="H1039" s="31" t="s">
        <v>729</v>
      </c>
      <c r="I1039" s="31" t="s">
        <v>778</v>
      </c>
      <c r="J1039" s="76">
        <v>1</v>
      </c>
      <c r="K1039" s="72">
        <v>200000</v>
      </c>
      <c r="L1039" s="42"/>
      <c r="M1039" s="72"/>
      <c r="N1039" s="42"/>
      <c r="O1039" s="72"/>
      <c r="P1039" s="42"/>
      <c r="Q1039" s="72"/>
      <c r="R1039" s="212"/>
    </row>
    <row r="1040" ht="15.75" spans="1:18">
      <c r="A1040" s="11"/>
      <c r="B1040" s="41" t="s">
        <v>1453</v>
      </c>
      <c r="C1040" s="41" t="s">
        <v>783</v>
      </c>
      <c r="D1040" s="94">
        <v>1</v>
      </c>
      <c r="E1040" s="187">
        <v>18000</v>
      </c>
      <c r="F1040" s="44">
        <v>18000</v>
      </c>
      <c r="G1040" s="41" t="s">
        <v>882</v>
      </c>
      <c r="H1040" s="31" t="s">
        <v>729</v>
      </c>
      <c r="I1040" s="31" t="s">
        <v>778</v>
      </c>
      <c r="J1040" s="76">
        <v>1</v>
      </c>
      <c r="K1040" s="72">
        <v>18000</v>
      </c>
      <c r="L1040" s="42"/>
      <c r="M1040" s="72"/>
      <c r="N1040" s="42"/>
      <c r="O1040" s="72"/>
      <c r="P1040" s="42"/>
      <c r="Q1040" s="72"/>
      <c r="R1040" s="212"/>
    </row>
    <row r="1041" ht="15.75" spans="1:18">
      <c r="A1041" s="11"/>
      <c r="B1041" s="41" t="s">
        <v>655</v>
      </c>
      <c r="C1041" s="41" t="s">
        <v>783</v>
      </c>
      <c r="D1041" s="94">
        <v>1</v>
      </c>
      <c r="E1041" s="187">
        <v>20000</v>
      </c>
      <c r="F1041" s="44">
        <v>20000</v>
      </c>
      <c r="G1041" s="41" t="s">
        <v>882</v>
      </c>
      <c r="H1041" s="31" t="s">
        <v>729</v>
      </c>
      <c r="I1041" s="31" t="s">
        <v>778</v>
      </c>
      <c r="J1041" s="76">
        <v>1</v>
      </c>
      <c r="K1041" s="72">
        <v>20000</v>
      </c>
      <c r="L1041" s="42"/>
      <c r="M1041" s="72"/>
      <c r="N1041" s="42"/>
      <c r="O1041" s="72"/>
      <c r="P1041" s="42"/>
      <c r="Q1041" s="72"/>
      <c r="R1041" s="212"/>
    </row>
    <row r="1042" ht="15.75" spans="1:18">
      <c r="A1042" s="11"/>
      <c r="B1042" s="41" t="s">
        <v>893</v>
      </c>
      <c r="C1042" s="41" t="s">
        <v>783</v>
      </c>
      <c r="D1042" s="94">
        <v>1</v>
      </c>
      <c r="E1042" s="187">
        <v>180000</v>
      </c>
      <c r="F1042" s="44">
        <v>180000</v>
      </c>
      <c r="G1042" s="41" t="s">
        <v>882</v>
      </c>
      <c r="H1042" s="31" t="s">
        <v>729</v>
      </c>
      <c r="I1042" s="31" t="s">
        <v>778</v>
      </c>
      <c r="J1042" s="76">
        <v>1</v>
      </c>
      <c r="K1042" s="72">
        <v>180000</v>
      </c>
      <c r="L1042" s="42"/>
      <c r="M1042" s="72"/>
      <c r="N1042" s="42"/>
      <c r="O1042" s="72"/>
      <c r="P1042" s="42"/>
      <c r="Q1042" s="72"/>
      <c r="R1042" s="212"/>
    </row>
    <row r="1043" ht="15.75" spans="1:18">
      <c r="A1043" s="11"/>
      <c r="B1043" s="41" t="s">
        <v>1454</v>
      </c>
      <c r="C1043" s="41" t="s">
        <v>783</v>
      </c>
      <c r="D1043" s="94">
        <v>2</v>
      </c>
      <c r="E1043" s="187">
        <v>320000</v>
      </c>
      <c r="F1043" s="44">
        <v>640000</v>
      </c>
      <c r="G1043" s="41" t="s">
        <v>882</v>
      </c>
      <c r="H1043" s="31" t="s">
        <v>729</v>
      </c>
      <c r="I1043" s="31" t="s">
        <v>778</v>
      </c>
      <c r="J1043" s="76">
        <v>2</v>
      </c>
      <c r="K1043" s="72">
        <v>640000</v>
      </c>
      <c r="L1043" s="42"/>
      <c r="M1043" s="72"/>
      <c r="N1043" s="42"/>
      <c r="O1043" s="72"/>
      <c r="P1043" s="42"/>
      <c r="Q1043" s="72"/>
      <c r="R1043" s="212"/>
    </row>
    <row r="1044" ht="15.75" spans="1:18">
      <c r="A1044" s="11"/>
      <c r="B1044" s="41" t="s">
        <v>1455</v>
      </c>
      <c r="C1044" s="41" t="s">
        <v>783</v>
      </c>
      <c r="D1044" s="94">
        <v>1</v>
      </c>
      <c r="E1044" s="187">
        <v>1200000</v>
      </c>
      <c r="F1044" s="44">
        <v>1200000</v>
      </c>
      <c r="G1044" s="41" t="s">
        <v>882</v>
      </c>
      <c r="H1044" s="31" t="s">
        <v>729</v>
      </c>
      <c r="I1044" s="31" t="s">
        <v>716</v>
      </c>
      <c r="J1044" s="76">
        <v>1</v>
      </c>
      <c r="K1044" s="72">
        <v>1200000</v>
      </c>
      <c r="L1044" s="42"/>
      <c r="M1044" s="72"/>
      <c r="N1044" s="42"/>
      <c r="O1044" s="72"/>
      <c r="P1044" s="42"/>
      <c r="Q1044" s="72"/>
      <c r="R1044" s="212"/>
    </row>
    <row r="1045" ht="31.5" spans="1:18">
      <c r="A1045" s="11"/>
      <c r="B1045" s="41" t="s">
        <v>1456</v>
      </c>
      <c r="C1045" s="41" t="s">
        <v>884</v>
      </c>
      <c r="D1045" s="94">
        <v>1</v>
      </c>
      <c r="E1045" s="187">
        <v>20000</v>
      </c>
      <c r="F1045" s="44">
        <v>20000</v>
      </c>
      <c r="G1045" s="41" t="s">
        <v>1457</v>
      </c>
      <c r="H1045" s="31" t="s">
        <v>729</v>
      </c>
      <c r="I1045" s="31" t="s">
        <v>778</v>
      </c>
      <c r="J1045" s="76">
        <v>1</v>
      </c>
      <c r="K1045" s="72">
        <v>20000</v>
      </c>
      <c r="L1045" s="42"/>
      <c r="M1045" s="72"/>
      <c r="N1045" s="42"/>
      <c r="O1045" s="72"/>
      <c r="P1045" s="42"/>
      <c r="Q1045" s="72"/>
      <c r="R1045" s="212"/>
    </row>
    <row r="1046" ht="31.5" spans="1:18">
      <c r="A1046" s="11"/>
      <c r="B1046" s="41" t="s">
        <v>1439</v>
      </c>
      <c r="C1046" s="41" t="s">
        <v>884</v>
      </c>
      <c r="D1046" s="94">
        <v>1</v>
      </c>
      <c r="E1046" s="187">
        <v>56000</v>
      </c>
      <c r="F1046" s="44">
        <v>56000</v>
      </c>
      <c r="G1046" s="41" t="s">
        <v>1457</v>
      </c>
      <c r="H1046" s="31" t="s">
        <v>729</v>
      </c>
      <c r="I1046" s="31" t="s">
        <v>778</v>
      </c>
      <c r="J1046" s="76">
        <v>1</v>
      </c>
      <c r="K1046" s="72">
        <v>56000</v>
      </c>
      <c r="L1046" s="42"/>
      <c r="M1046" s="72"/>
      <c r="N1046" s="42"/>
      <c r="O1046" s="72"/>
      <c r="P1046" s="42"/>
      <c r="Q1046" s="72"/>
      <c r="R1046" s="212"/>
    </row>
    <row r="1047" ht="31.5" spans="1:18">
      <c r="A1047" s="11"/>
      <c r="B1047" s="41" t="s">
        <v>1458</v>
      </c>
      <c r="C1047" s="41" t="s">
        <v>884</v>
      </c>
      <c r="D1047" s="94">
        <v>1</v>
      </c>
      <c r="E1047" s="187">
        <v>20000</v>
      </c>
      <c r="F1047" s="44">
        <v>20000</v>
      </c>
      <c r="G1047" s="41" t="s">
        <v>1457</v>
      </c>
      <c r="H1047" s="31" t="s">
        <v>729</v>
      </c>
      <c r="I1047" s="31" t="s">
        <v>778</v>
      </c>
      <c r="J1047" s="76">
        <v>1</v>
      </c>
      <c r="K1047" s="72">
        <v>20000</v>
      </c>
      <c r="L1047" s="42"/>
      <c r="M1047" s="72"/>
      <c r="N1047" s="42"/>
      <c r="O1047" s="72"/>
      <c r="P1047" s="42"/>
      <c r="Q1047" s="72"/>
      <c r="R1047" s="212"/>
    </row>
    <row r="1048" ht="31.5" spans="1:18">
      <c r="A1048" s="11"/>
      <c r="B1048" s="41" t="s">
        <v>893</v>
      </c>
      <c r="C1048" s="41" t="s">
        <v>884</v>
      </c>
      <c r="D1048" s="94">
        <v>1</v>
      </c>
      <c r="E1048" s="187">
        <v>60000</v>
      </c>
      <c r="F1048" s="44">
        <v>60000</v>
      </c>
      <c r="G1048" s="41" t="s">
        <v>1457</v>
      </c>
      <c r="H1048" s="31" t="s">
        <v>729</v>
      </c>
      <c r="I1048" s="31" t="s">
        <v>778</v>
      </c>
      <c r="J1048" s="76">
        <v>1</v>
      </c>
      <c r="K1048" s="72">
        <v>60000</v>
      </c>
      <c r="L1048" s="42"/>
      <c r="M1048" s="72"/>
      <c r="N1048" s="42"/>
      <c r="O1048" s="72"/>
      <c r="P1048" s="42"/>
      <c r="Q1048" s="72"/>
      <c r="R1048" s="212"/>
    </row>
    <row r="1049" ht="31.5" spans="1:18">
      <c r="A1049" s="11"/>
      <c r="B1049" s="41" t="s">
        <v>1459</v>
      </c>
      <c r="C1049" s="41" t="s">
        <v>884</v>
      </c>
      <c r="D1049" s="94">
        <v>1</v>
      </c>
      <c r="E1049" s="187">
        <v>240000</v>
      </c>
      <c r="F1049" s="44">
        <v>240000</v>
      </c>
      <c r="G1049" s="41" t="s">
        <v>1457</v>
      </c>
      <c r="H1049" s="31" t="s">
        <v>729</v>
      </c>
      <c r="I1049" s="31" t="s">
        <v>778</v>
      </c>
      <c r="J1049" s="76">
        <v>1</v>
      </c>
      <c r="K1049" s="72">
        <v>240000</v>
      </c>
      <c r="L1049" s="42"/>
      <c r="M1049" s="72"/>
      <c r="N1049" s="42"/>
      <c r="O1049" s="72"/>
      <c r="P1049" s="42"/>
      <c r="Q1049" s="72"/>
      <c r="R1049" s="73"/>
    </row>
    <row r="1050" ht="31.5" spans="1:18">
      <c r="A1050" s="11"/>
      <c r="B1050" s="41" t="s">
        <v>1460</v>
      </c>
      <c r="C1050" s="41" t="s">
        <v>884</v>
      </c>
      <c r="D1050" s="94">
        <v>1</v>
      </c>
      <c r="E1050" s="187">
        <v>150000</v>
      </c>
      <c r="F1050" s="44">
        <v>150000</v>
      </c>
      <c r="G1050" s="41" t="s">
        <v>1457</v>
      </c>
      <c r="H1050" s="31" t="s">
        <v>729</v>
      </c>
      <c r="I1050" s="31" t="s">
        <v>778</v>
      </c>
      <c r="J1050" s="76">
        <v>1</v>
      </c>
      <c r="K1050" s="72">
        <v>150000</v>
      </c>
      <c r="L1050" s="42"/>
      <c r="M1050" s="72"/>
      <c r="N1050" s="42"/>
      <c r="O1050" s="72"/>
      <c r="P1050" s="42"/>
      <c r="Q1050" s="72"/>
      <c r="R1050" s="73"/>
    </row>
    <row r="1051" ht="31.5" spans="1:18">
      <c r="A1051" s="11"/>
      <c r="B1051" s="41" t="s">
        <v>1461</v>
      </c>
      <c r="C1051" s="41" t="s">
        <v>884</v>
      </c>
      <c r="D1051" s="94">
        <v>1</v>
      </c>
      <c r="E1051" s="187">
        <v>18000</v>
      </c>
      <c r="F1051" s="44">
        <v>18000</v>
      </c>
      <c r="G1051" s="41" t="s">
        <v>1457</v>
      </c>
      <c r="H1051" s="31" t="s">
        <v>729</v>
      </c>
      <c r="I1051" s="31" t="s">
        <v>778</v>
      </c>
      <c r="J1051" s="76">
        <v>1</v>
      </c>
      <c r="K1051" s="72">
        <v>18000</v>
      </c>
      <c r="L1051" s="42"/>
      <c r="M1051" s="72"/>
      <c r="N1051" s="42"/>
      <c r="O1051" s="72"/>
      <c r="P1051" s="42"/>
      <c r="Q1051" s="72"/>
      <c r="R1051" s="73"/>
    </row>
    <row r="1052" ht="31.5" spans="1:18">
      <c r="A1052" s="11"/>
      <c r="B1052" s="41" t="s">
        <v>655</v>
      </c>
      <c r="C1052" s="41" t="s">
        <v>884</v>
      </c>
      <c r="D1052" s="94">
        <v>1</v>
      </c>
      <c r="E1052" s="187">
        <v>5500</v>
      </c>
      <c r="F1052" s="44">
        <v>5500</v>
      </c>
      <c r="G1052" s="41" t="s">
        <v>1457</v>
      </c>
      <c r="H1052" s="31" t="s">
        <v>729</v>
      </c>
      <c r="I1052" s="31" t="s">
        <v>1462</v>
      </c>
      <c r="J1052" s="76">
        <v>1</v>
      </c>
      <c r="K1052" s="72">
        <v>5500</v>
      </c>
      <c r="L1052" s="42"/>
      <c r="M1052" s="72"/>
      <c r="N1052" s="42"/>
      <c r="O1052" s="72"/>
      <c r="P1052" s="42"/>
      <c r="Q1052" s="72"/>
      <c r="R1052" s="73"/>
    </row>
    <row r="1053" ht="15.75" spans="1:18">
      <c r="A1053" s="11"/>
      <c r="B1053" s="41" t="s">
        <v>308</v>
      </c>
      <c r="C1053" s="41" t="s">
        <v>884</v>
      </c>
      <c r="D1053" s="94">
        <v>1</v>
      </c>
      <c r="E1053" s="187">
        <v>240000</v>
      </c>
      <c r="F1053" s="44">
        <v>240000</v>
      </c>
      <c r="G1053" s="41" t="s">
        <v>1463</v>
      </c>
      <c r="H1053" s="31" t="s">
        <v>729</v>
      </c>
      <c r="I1053" s="31" t="s">
        <v>778</v>
      </c>
      <c r="J1053" s="76">
        <v>1</v>
      </c>
      <c r="K1053" s="72">
        <v>240000</v>
      </c>
      <c r="L1053" s="42"/>
      <c r="M1053" s="72"/>
      <c r="N1053" s="42"/>
      <c r="O1053" s="72"/>
      <c r="P1053" s="42"/>
      <c r="Q1053" s="72"/>
      <c r="R1053" s="73"/>
    </row>
    <row r="1054" ht="15.75" spans="1:18">
      <c r="A1054" s="11"/>
      <c r="B1054" s="41" t="s">
        <v>1460</v>
      </c>
      <c r="C1054" s="41" t="s">
        <v>884</v>
      </c>
      <c r="D1054" s="94">
        <v>1</v>
      </c>
      <c r="E1054" s="187">
        <v>150000</v>
      </c>
      <c r="F1054" s="44">
        <v>150000</v>
      </c>
      <c r="G1054" s="41" t="s">
        <v>1463</v>
      </c>
      <c r="H1054" s="31" t="s">
        <v>729</v>
      </c>
      <c r="I1054" s="31" t="s">
        <v>778</v>
      </c>
      <c r="J1054" s="76">
        <v>1</v>
      </c>
      <c r="K1054" s="72">
        <v>150000</v>
      </c>
      <c r="L1054" s="42"/>
      <c r="M1054" s="72"/>
      <c r="N1054" s="42"/>
      <c r="O1054" s="72"/>
      <c r="P1054" s="42"/>
      <c r="Q1054" s="72"/>
      <c r="R1054" s="73"/>
    </row>
    <row r="1055" ht="15.75" spans="1:18">
      <c r="A1055" s="11"/>
      <c r="B1055" s="41" t="s">
        <v>1461</v>
      </c>
      <c r="C1055" s="41" t="s">
        <v>884</v>
      </c>
      <c r="D1055" s="94">
        <v>1</v>
      </c>
      <c r="E1055" s="187">
        <v>18000</v>
      </c>
      <c r="F1055" s="44">
        <v>18000</v>
      </c>
      <c r="G1055" s="41" t="s">
        <v>1463</v>
      </c>
      <c r="H1055" s="31" t="s">
        <v>729</v>
      </c>
      <c r="I1055" s="31" t="s">
        <v>778</v>
      </c>
      <c r="J1055" s="76">
        <v>1</v>
      </c>
      <c r="K1055" s="72">
        <v>18000</v>
      </c>
      <c r="L1055" s="42"/>
      <c r="M1055" s="72"/>
      <c r="N1055" s="42"/>
      <c r="O1055" s="72"/>
      <c r="P1055" s="42"/>
      <c r="Q1055" s="72"/>
      <c r="R1055" s="73"/>
    </row>
    <row r="1056" ht="15.75" spans="1:18">
      <c r="A1056" s="11"/>
      <c r="B1056" s="41" t="s">
        <v>655</v>
      </c>
      <c r="C1056" s="41"/>
      <c r="D1056" s="94"/>
      <c r="E1056" s="187"/>
      <c r="F1056" s="44"/>
      <c r="G1056" s="41"/>
      <c r="H1056" s="31"/>
      <c r="I1056" s="31"/>
      <c r="J1056" s="76"/>
      <c r="K1056" s="72"/>
      <c r="L1056" s="42"/>
      <c r="M1056" s="72"/>
      <c r="N1056" s="42"/>
      <c r="O1056" s="72"/>
      <c r="P1056" s="42"/>
      <c r="Q1056" s="72"/>
      <c r="R1056" s="73"/>
    </row>
    <row r="1057" ht="15.75" spans="1:18">
      <c r="A1057" s="12"/>
      <c r="B1057" s="41"/>
      <c r="C1057" s="270"/>
      <c r="D1057" s="211"/>
      <c r="E1057" s="271"/>
      <c r="F1057" s="260"/>
      <c r="G1057" s="77"/>
      <c r="H1057" s="13"/>
      <c r="I1057" s="13"/>
      <c r="J1057" s="77"/>
      <c r="K1057" s="77"/>
      <c r="L1057" s="77"/>
      <c r="M1057" s="77"/>
      <c r="N1057" s="77"/>
      <c r="O1057" s="77"/>
      <c r="P1057" s="77"/>
      <c r="Q1057" s="77"/>
      <c r="R1057" s="91"/>
    </row>
    <row r="1058" ht="15.75" spans="1:18">
      <c r="A1058" s="11"/>
      <c r="B1058" s="11"/>
      <c r="C1058" s="129"/>
      <c r="D1058" s="230"/>
      <c r="E1058" s="174"/>
      <c r="F1058" s="272"/>
      <c r="G1058" s="77"/>
      <c r="H1058" s="13"/>
      <c r="I1058" s="13"/>
      <c r="J1058" s="77"/>
      <c r="K1058" s="77"/>
      <c r="L1058" s="77"/>
      <c r="M1058" s="77"/>
      <c r="N1058" s="77"/>
      <c r="O1058" s="77"/>
      <c r="P1058" s="77"/>
      <c r="Q1058" s="77"/>
      <c r="R1058" s="91"/>
    </row>
    <row r="1059" ht="15.75" spans="1:18">
      <c r="A1059" s="46"/>
      <c r="B1059" s="175" t="s">
        <v>22</v>
      </c>
      <c r="C1059" s="11"/>
      <c r="D1059" s="119"/>
      <c r="E1059" s="177"/>
      <c r="F1059" s="26">
        <f>SUM(F985:F1058)</f>
        <v>36412600</v>
      </c>
      <c r="G1059" s="14"/>
      <c r="H1059" s="13"/>
      <c r="I1059" s="13"/>
      <c r="J1059" s="14"/>
      <c r="K1059" s="14"/>
      <c r="L1059" s="14"/>
      <c r="M1059" s="14"/>
      <c r="N1059" s="14"/>
      <c r="O1059" s="14"/>
      <c r="P1059" s="14"/>
      <c r="Q1059" s="14"/>
      <c r="R1059" s="14"/>
    </row>
    <row r="1060" ht="15.75" spans="1:18">
      <c r="A1060" s="11"/>
      <c r="B1060" s="157"/>
      <c r="C1060" s="259"/>
      <c r="D1060" s="111"/>
      <c r="E1060" s="96"/>
      <c r="F1060" s="11"/>
      <c r="G1060" s="11"/>
      <c r="H1060" s="13"/>
      <c r="I1060" s="13"/>
      <c r="J1060" s="276"/>
      <c r="K1060" s="276"/>
      <c r="L1060" s="106"/>
      <c r="M1060" s="106"/>
      <c r="N1060" s="106"/>
      <c r="O1060" s="106"/>
      <c r="P1060" s="106"/>
      <c r="Q1060" s="106"/>
      <c r="R1060" s="106"/>
    </row>
    <row r="1061" ht="15.75" spans="1:18">
      <c r="A1061" s="12">
        <v>62</v>
      </c>
      <c r="B1061" s="12" t="s">
        <v>676</v>
      </c>
      <c r="C1061" s="47"/>
      <c r="D1061" s="47"/>
      <c r="E1061" s="178"/>
      <c r="F1061" s="14"/>
      <c r="G1061" s="14"/>
      <c r="H1061" s="13"/>
      <c r="I1061" s="13"/>
      <c r="J1061" s="14"/>
      <c r="K1061" s="14"/>
      <c r="L1061" s="14"/>
      <c r="M1061" s="14"/>
      <c r="N1061" s="14"/>
      <c r="O1061" s="14"/>
      <c r="P1061" s="14"/>
      <c r="Q1061" s="14"/>
      <c r="R1061" s="71"/>
    </row>
    <row r="1062" ht="15.75" spans="1:18">
      <c r="A1062" s="11"/>
      <c r="B1062" s="92"/>
      <c r="C1062" s="11"/>
      <c r="D1062" s="14"/>
      <c r="E1062" s="11"/>
      <c r="F1062" s="14"/>
      <c r="G1062" s="14"/>
      <c r="H1062" s="13"/>
      <c r="I1062" s="16"/>
      <c r="J1062" s="14"/>
      <c r="K1062" s="14"/>
      <c r="L1062" s="14"/>
      <c r="M1062" s="14"/>
      <c r="N1062" s="14"/>
      <c r="O1062" s="14"/>
      <c r="P1062" s="14"/>
      <c r="Q1062" s="14"/>
      <c r="R1062" s="14"/>
    </row>
    <row r="1063" ht="15.75" spans="1:18">
      <c r="A1063" s="46"/>
      <c r="B1063" s="12" t="s">
        <v>22</v>
      </c>
      <c r="C1063" s="11"/>
      <c r="D1063" s="14"/>
      <c r="E1063" s="11"/>
      <c r="F1063" s="14"/>
      <c r="G1063" s="14"/>
      <c r="H1063" s="13"/>
      <c r="I1063" s="13"/>
      <c r="J1063" s="14"/>
      <c r="K1063" s="14"/>
      <c r="L1063" s="14"/>
      <c r="M1063" s="14"/>
      <c r="N1063" s="14"/>
      <c r="O1063" s="14"/>
      <c r="P1063" s="14"/>
      <c r="Q1063" s="14"/>
      <c r="R1063" s="14"/>
    </row>
    <row r="1064" ht="15.75" spans="1:18">
      <c r="A1064" s="11"/>
      <c r="B1064" s="11"/>
      <c r="C1064" s="270"/>
      <c r="D1064" s="211"/>
      <c r="E1064" s="174"/>
      <c r="F1064" s="77"/>
      <c r="G1064" s="77"/>
      <c r="H1064" s="13"/>
      <c r="I1064" s="13"/>
      <c r="J1064" s="77"/>
      <c r="K1064" s="77"/>
      <c r="L1064" s="77"/>
      <c r="M1064" s="77"/>
      <c r="N1064" s="77"/>
      <c r="O1064" s="77"/>
      <c r="P1064" s="77"/>
      <c r="Q1064" s="77"/>
      <c r="R1064" s="91"/>
    </row>
    <row r="1065" ht="15.75" spans="1:18">
      <c r="A1065" s="12">
        <v>63</v>
      </c>
      <c r="B1065" s="12" t="s">
        <v>679</v>
      </c>
      <c r="C1065" s="129"/>
      <c r="D1065" s="230"/>
      <c r="E1065" s="174"/>
      <c r="F1065" s="77"/>
      <c r="G1065" s="77"/>
      <c r="H1065" s="13"/>
      <c r="I1065" s="13"/>
      <c r="J1065" s="77"/>
      <c r="K1065" s="77"/>
      <c r="L1065" s="77"/>
      <c r="M1065" s="77"/>
      <c r="N1065" s="77"/>
      <c r="O1065" s="77"/>
      <c r="P1065" s="77"/>
      <c r="Q1065" s="77"/>
      <c r="R1065" s="91"/>
    </row>
    <row r="1066" ht="15.75" spans="1:18">
      <c r="A1066" s="11"/>
      <c r="B1066" s="32" t="s">
        <v>689</v>
      </c>
      <c r="C1066" s="129"/>
      <c r="D1066" s="37">
        <v>5</v>
      </c>
      <c r="E1066" s="185">
        <v>300</v>
      </c>
      <c r="F1066" s="153">
        <f>D1066*E1066</f>
        <v>1500</v>
      </c>
      <c r="G1066" s="13" t="s">
        <v>42</v>
      </c>
      <c r="H1066" s="13" t="s">
        <v>896</v>
      </c>
      <c r="I1066" s="13" t="s">
        <v>778</v>
      </c>
      <c r="J1066" s="77">
        <v>5</v>
      </c>
      <c r="K1066" s="77">
        <v>1500</v>
      </c>
      <c r="L1066" s="77"/>
      <c r="M1066" s="77"/>
      <c r="N1066" s="77"/>
      <c r="O1066" s="77"/>
      <c r="P1066" s="77"/>
      <c r="Q1066" s="77"/>
      <c r="R1066" s="91"/>
    </row>
    <row r="1067" ht="15.75" spans="1:18">
      <c r="A1067" s="11"/>
      <c r="B1067" s="41" t="s">
        <v>1281</v>
      </c>
      <c r="C1067" s="41" t="s">
        <v>799</v>
      </c>
      <c r="D1067" s="42">
        <v>6</v>
      </c>
      <c r="E1067" s="187">
        <v>600</v>
      </c>
      <c r="F1067" s="135">
        <v>3600</v>
      </c>
      <c r="G1067" s="41" t="s">
        <v>37</v>
      </c>
      <c r="H1067" s="31" t="s">
        <v>729</v>
      </c>
      <c r="I1067" s="31" t="s">
        <v>778</v>
      </c>
      <c r="J1067" s="76">
        <v>6</v>
      </c>
      <c r="K1067" s="72">
        <v>3600</v>
      </c>
      <c r="L1067" s="42"/>
      <c r="M1067" s="72"/>
      <c r="N1067" s="42"/>
      <c r="O1067" s="72"/>
      <c r="P1067" s="42"/>
      <c r="Q1067" s="72"/>
      <c r="R1067" s="73"/>
    </row>
    <row r="1068" ht="31.5" spans="1:18">
      <c r="A1068" s="11"/>
      <c r="B1068" s="41" t="s">
        <v>1464</v>
      </c>
      <c r="C1068" s="41" t="s">
        <v>1465</v>
      </c>
      <c r="D1068" s="94">
        <v>4</v>
      </c>
      <c r="E1068" s="187">
        <v>140</v>
      </c>
      <c r="F1068" s="135">
        <v>560</v>
      </c>
      <c r="G1068" s="41" t="s">
        <v>37</v>
      </c>
      <c r="H1068" s="31" t="s">
        <v>729</v>
      </c>
      <c r="I1068" s="31" t="s">
        <v>778</v>
      </c>
      <c r="J1068" s="76">
        <v>4</v>
      </c>
      <c r="K1068" s="72">
        <v>560</v>
      </c>
      <c r="L1068" s="42"/>
      <c r="M1068" s="72"/>
      <c r="N1068" s="42"/>
      <c r="O1068" s="72"/>
      <c r="P1068" s="42"/>
      <c r="Q1068" s="72"/>
      <c r="R1068" s="73"/>
    </row>
    <row r="1069" ht="15.75" spans="1:18">
      <c r="A1069" s="11"/>
      <c r="B1069" s="41" t="s">
        <v>1006</v>
      </c>
      <c r="C1069" s="41" t="s">
        <v>1466</v>
      </c>
      <c r="D1069" s="94">
        <v>2</v>
      </c>
      <c r="E1069" s="187">
        <v>260</v>
      </c>
      <c r="F1069" s="135">
        <v>520</v>
      </c>
      <c r="G1069" s="41" t="s">
        <v>37</v>
      </c>
      <c r="H1069" s="31" t="s">
        <v>729</v>
      </c>
      <c r="I1069" s="31" t="s">
        <v>778</v>
      </c>
      <c r="J1069" s="76">
        <v>2</v>
      </c>
      <c r="K1069" s="72">
        <v>520</v>
      </c>
      <c r="L1069" s="42"/>
      <c r="M1069" s="72"/>
      <c r="N1069" s="42"/>
      <c r="O1069" s="72"/>
      <c r="P1069" s="42"/>
      <c r="Q1069" s="72"/>
      <c r="R1069" s="73"/>
    </row>
    <row r="1070" ht="15.75" spans="1:18">
      <c r="A1070" s="11"/>
      <c r="B1070" s="41" t="s">
        <v>1467</v>
      </c>
      <c r="C1070" s="129"/>
      <c r="D1070" s="20">
        <v>8</v>
      </c>
      <c r="E1070" s="19">
        <v>400</v>
      </c>
      <c r="F1070" s="19">
        <v>4800</v>
      </c>
      <c r="G1070" s="19" t="s">
        <v>40</v>
      </c>
      <c r="H1070" s="31" t="s">
        <v>729</v>
      </c>
      <c r="I1070" s="31" t="s">
        <v>778</v>
      </c>
      <c r="J1070" s="73">
        <v>8</v>
      </c>
      <c r="K1070" s="73">
        <v>4800</v>
      </c>
      <c r="L1070" s="73"/>
      <c r="M1070" s="73"/>
      <c r="N1070" s="73"/>
      <c r="O1070" s="73"/>
      <c r="P1070" s="73"/>
      <c r="Q1070" s="73"/>
      <c r="R1070" s="73"/>
    </row>
    <row r="1071" ht="15.75" spans="1:18">
      <c r="A1071" s="11"/>
      <c r="B1071" s="19" t="s">
        <v>1468</v>
      </c>
      <c r="C1071" s="129"/>
      <c r="D1071" s="20" t="s">
        <v>1469</v>
      </c>
      <c r="E1071" s="19">
        <v>500</v>
      </c>
      <c r="F1071" s="19">
        <v>1000</v>
      </c>
      <c r="G1071" s="19" t="s">
        <v>40</v>
      </c>
      <c r="H1071" s="13"/>
      <c r="I1071" s="13"/>
      <c r="J1071" s="73">
        <v>1</v>
      </c>
      <c r="K1071" s="73">
        <v>1000</v>
      </c>
      <c r="L1071" s="73"/>
      <c r="M1071" s="73"/>
      <c r="N1071" s="73"/>
      <c r="O1071" s="73"/>
      <c r="P1071" s="73"/>
      <c r="Q1071" s="73"/>
      <c r="R1071" s="73"/>
    </row>
    <row r="1072" ht="15.75" spans="1:18">
      <c r="A1072" s="11"/>
      <c r="B1072" s="19" t="s">
        <v>1006</v>
      </c>
      <c r="C1072" s="129" t="s">
        <v>1470</v>
      </c>
      <c r="D1072" s="20">
        <v>80</v>
      </c>
      <c r="E1072" s="19">
        <v>1000</v>
      </c>
      <c r="F1072" s="171">
        <v>80000</v>
      </c>
      <c r="G1072" s="19" t="s">
        <v>1035</v>
      </c>
      <c r="H1072" s="13" t="s">
        <v>896</v>
      </c>
      <c r="I1072" s="13" t="s">
        <v>778</v>
      </c>
      <c r="J1072" s="73">
        <v>20</v>
      </c>
      <c r="K1072" s="114">
        <v>20000</v>
      </c>
      <c r="L1072" s="73">
        <v>20</v>
      </c>
      <c r="M1072" s="114">
        <v>20000</v>
      </c>
      <c r="N1072" s="73">
        <v>20</v>
      </c>
      <c r="O1072" s="114">
        <v>20000</v>
      </c>
      <c r="P1072" s="73">
        <v>20</v>
      </c>
      <c r="Q1072" s="114">
        <v>20000</v>
      </c>
      <c r="R1072" s="73"/>
    </row>
    <row r="1073" ht="15.75" spans="1:18">
      <c r="A1073" s="11"/>
      <c r="B1073" s="19" t="s">
        <v>1471</v>
      </c>
      <c r="C1073" s="129" t="s">
        <v>1472</v>
      </c>
      <c r="D1073" s="20">
        <v>30</v>
      </c>
      <c r="E1073" s="19">
        <v>500</v>
      </c>
      <c r="F1073" s="19">
        <v>15000</v>
      </c>
      <c r="G1073" s="19" t="s">
        <v>43</v>
      </c>
      <c r="H1073" s="13" t="s">
        <v>896</v>
      </c>
      <c r="I1073" s="13" t="s">
        <v>778</v>
      </c>
      <c r="J1073" s="73">
        <v>30</v>
      </c>
      <c r="K1073" s="73">
        <v>15000</v>
      </c>
      <c r="L1073" s="73"/>
      <c r="M1073" s="73"/>
      <c r="N1073" s="73"/>
      <c r="O1073" s="73"/>
      <c r="P1073" s="73"/>
      <c r="Q1073" s="73"/>
      <c r="R1073" s="73"/>
    </row>
    <row r="1074" ht="15.75" spans="1:18">
      <c r="A1074" s="11"/>
      <c r="B1074" s="19" t="s">
        <v>208</v>
      </c>
      <c r="C1074" s="129" t="s">
        <v>1470</v>
      </c>
      <c r="D1074" s="20">
        <v>4000</v>
      </c>
      <c r="E1074" s="19">
        <v>25</v>
      </c>
      <c r="F1074" s="171">
        <v>100000</v>
      </c>
      <c r="G1074" s="19" t="s">
        <v>43</v>
      </c>
      <c r="H1074" s="13" t="s">
        <v>896</v>
      </c>
      <c r="I1074" s="13" t="s">
        <v>778</v>
      </c>
      <c r="J1074" s="73"/>
      <c r="K1074" s="73">
        <v>25000</v>
      </c>
      <c r="L1074" s="73"/>
      <c r="M1074" s="73">
        <v>25000</v>
      </c>
      <c r="N1074" s="73"/>
      <c r="O1074" s="73">
        <v>25000</v>
      </c>
      <c r="P1074" s="73"/>
      <c r="Q1074" s="73">
        <v>25000</v>
      </c>
      <c r="R1074" s="73"/>
    </row>
    <row r="1075" ht="15.75" spans="1:18">
      <c r="A1075" s="11"/>
      <c r="B1075" s="19" t="s">
        <v>1473</v>
      </c>
      <c r="C1075" s="129" t="s">
        <v>1470</v>
      </c>
      <c r="D1075" s="20">
        <v>400</v>
      </c>
      <c r="E1075" s="19">
        <v>35</v>
      </c>
      <c r="F1075" s="19">
        <v>14000</v>
      </c>
      <c r="G1075" s="19" t="s">
        <v>43</v>
      </c>
      <c r="H1075" s="13" t="s">
        <v>896</v>
      </c>
      <c r="I1075" s="13" t="s">
        <v>778</v>
      </c>
      <c r="J1075" s="73"/>
      <c r="K1075" s="73"/>
      <c r="L1075" s="73">
        <v>35</v>
      </c>
      <c r="M1075" s="73">
        <v>14000</v>
      </c>
      <c r="N1075" s="73"/>
      <c r="O1075" s="73"/>
      <c r="P1075" s="73"/>
      <c r="Q1075" s="73"/>
      <c r="R1075" s="73"/>
    </row>
    <row r="1076" ht="15.75" spans="1:18">
      <c r="A1076" s="11"/>
      <c r="B1076" s="19" t="s">
        <v>1474</v>
      </c>
      <c r="C1076" s="129"/>
      <c r="D1076" s="20"/>
      <c r="E1076" s="19"/>
      <c r="F1076" s="171">
        <v>100000</v>
      </c>
      <c r="G1076" s="19" t="s">
        <v>1475</v>
      </c>
      <c r="H1076" s="13" t="s">
        <v>896</v>
      </c>
      <c r="I1076" s="13" t="s">
        <v>1476</v>
      </c>
      <c r="J1076" s="73"/>
      <c r="K1076" s="114">
        <v>100000</v>
      </c>
      <c r="L1076" s="73"/>
      <c r="M1076" s="73"/>
      <c r="N1076" s="73"/>
      <c r="O1076" s="73"/>
      <c r="P1076" s="73"/>
      <c r="Q1076" s="73"/>
      <c r="R1076" s="73"/>
    </row>
    <row r="1077" ht="15.75" spans="1:18">
      <c r="A1077" s="11"/>
      <c r="B1077" s="19"/>
      <c r="C1077" s="129"/>
      <c r="D1077" s="20"/>
      <c r="E1077" s="19"/>
      <c r="F1077" s="19"/>
      <c r="G1077" s="19"/>
      <c r="H1077" s="13"/>
      <c r="I1077" s="13"/>
      <c r="J1077" s="73"/>
      <c r="K1077" s="73"/>
      <c r="L1077" s="73"/>
      <c r="M1077" s="73"/>
      <c r="N1077" s="73"/>
      <c r="O1077" s="73"/>
      <c r="P1077" s="73"/>
      <c r="Q1077" s="73"/>
      <c r="R1077" s="73"/>
    </row>
    <row r="1078" ht="15.75" spans="1:18">
      <c r="A1078" s="11"/>
      <c r="B1078" s="19"/>
      <c r="C1078" s="129"/>
      <c r="D1078" s="20"/>
      <c r="E1078" s="19"/>
      <c r="F1078" s="19"/>
      <c r="G1078" s="19"/>
      <c r="H1078" s="13"/>
      <c r="I1078" s="13"/>
      <c r="J1078" s="73"/>
      <c r="K1078" s="73"/>
      <c r="L1078" s="73"/>
      <c r="M1078" s="73"/>
      <c r="N1078" s="73"/>
      <c r="O1078" s="73"/>
      <c r="P1078" s="73"/>
      <c r="Q1078" s="73"/>
      <c r="R1078" s="73"/>
    </row>
    <row r="1079" ht="15.75" spans="1:18">
      <c r="A1079" s="11"/>
      <c r="B1079" s="273" t="s">
        <v>22</v>
      </c>
      <c r="C1079" s="129"/>
      <c r="D1079" s="20"/>
      <c r="E1079" s="19"/>
      <c r="F1079" s="274">
        <f>SUM(F1066:F1078)</f>
        <v>320980</v>
      </c>
      <c r="G1079" s="19"/>
      <c r="H1079" s="13"/>
      <c r="I1079" s="13"/>
      <c r="J1079" s="73"/>
      <c r="K1079" s="73"/>
      <c r="L1079" s="73"/>
      <c r="M1079" s="73"/>
      <c r="N1079" s="73"/>
      <c r="O1079" s="73"/>
      <c r="P1079" s="73"/>
      <c r="Q1079" s="73"/>
      <c r="R1079" s="73"/>
    </row>
    <row r="1080" ht="15.75" spans="1:18">
      <c r="A1080" s="11"/>
      <c r="B1080" s="19"/>
      <c r="C1080" s="129"/>
      <c r="D1080" s="20"/>
      <c r="E1080" s="19"/>
      <c r="F1080" s="19"/>
      <c r="G1080" s="19"/>
      <c r="H1080" s="13"/>
      <c r="I1080" s="13"/>
      <c r="J1080" s="73"/>
      <c r="K1080" s="73"/>
      <c r="L1080" s="73"/>
      <c r="M1080" s="73"/>
      <c r="N1080" s="73"/>
      <c r="O1080" s="73"/>
      <c r="P1080" s="73"/>
      <c r="Q1080" s="73"/>
      <c r="R1080" s="73"/>
    </row>
    <row r="1081" ht="15.75" spans="1:18">
      <c r="A1081" s="12">
        <v>64</v>
      </c>
      <c r="B1081" s="12" t="s">
        <v>1477</v>
      </c>
      <c r="C1081" s="129"/>
      <c r="D1081" s="230"/>
      <c r="E1081" s="174"/>
      <c r="F1081" s="77"/>
      <c r="G1081" s="77"/>
      <c r="H1081" s="13"/>
      <c r="I1081" s="13"/>
      <c r="J1081" s="73"/>
      <c r="K1081" s="73"/>
      <c r="L1081" s="73"/>
      <c r="M1081" s="73"/>
      <c r="N1081" s="73"/>
      <c r="O1081" s="73"/>
      <c r="P1081" s="73"/>
      <c r="Q1081" s="73"/>
      <c r="R1081" s="73"/>
    </row>
    <row r="1082" ht="15.75" spans="1:18">
      <c r="A1082" s="11">
        <v>1</v>
      </c>
      <c r="B1082" s="38" t="s">
        <v>1478</v>
      </c>
      <c r="C1082" s="38" t="s">
        <v>919</v>
      </c>
      <c r="D1082" s="14">
        <v>12</v>
      </c>
      <c r="E1082" s="225">
        <v>6500</v>
      </c>
      <c r="F1082" s="234">
        <f>E1082*D1082</f>
        <v>78000</v>
      </c>
      <c r="G1082" s="38" t="s">
        <v>813</v>
      </c>
      <c r="H1082" s="39"/>
      <c r="I1082" s="39" t="s">
        <v>933</v>
      </c>
      <c r="J1082" s="74">
        <v>3</v>
      </c>
      <c r="K1082" s="75">
        <f>E1082*J1082</f>
        <v>19500</v>
      </c>
      <c r="L1082" s="14">
        <v>3</v>
      </c>
      <c r="M1082" s="75">
        <f>E1082*L1082</f>
        <v>19500</v>
      </c>
      <c r="N1082" s="14">
        <v>3</v>
      </c>
      <c r="O1082" s="75">
        <f>E1082*N1082</f>
        <v>19500</v>
      </c>
      <c r="P1082" s="14">
        <v>3</v>
      </c>
      <c r="Q1082" s="75">
        <f>E1082*P1082</f>
        <v>19500</v>
      </c>
      <c r="R1082" s="73"/>
    </row>
    <row r="1083" ht="15.75" spans="1:18">
      <c r="A1083" s="11">
        <v>2</v>
      </c>
      <c r="B1083" s="38" t="s">
        <v>1479</v>
      </c>
      <c r="C1083" s="38" t="s">
        <v>933</v>
      </c>
      <c r="D1083" s="14">
        <v>12</v>
      </c>
      <c r="E1083" s="225">
        <v>8500</v>
      </c>
      <c r="F1083" s="234">
        <f>E1083*D1083</f>
        <v>102000</v>
      </c>
      <c r="G1083" s="38" t="s">
        <v>813</v>
      </c>
      <c r="H1083" s="39"/>
      <c r="I1083" s="39" t="s">
        <v>933</v>
      </c>
      <c r="J1083" s="74">
        <v>3</v>
      </c>
      <c r="K1083" s="75">
        <f>E1083*J1083</f>
        <v>25500</v>
      </c>
      <c r="L1083" s="14">
        <v>3</v>
      </c>
      <c r="M1083" s="75">
        <f>E1083*L1083</f>
        <v>25500</v>
      </c>
      <c r="N1083" s="14">
        <v>3</v>
      </c>
      <c r="O1083" s="75">
        <f>E1083*N1083</f>
        <v>25500</v>
      </c>
      <c r="P1083" s="14">
        <v>3</v>
      </c>
      <c r="Q1083" s="75">
        <f>E1083*P1083</f>
        <v>25500</v>
      </c>
      <c r="R1083" s="73"/>
    </row>
    <row r="1084" ht="15.75" spans="1:18">
      <c r="A1084" s="11">
        <v>3</v>
      </c>
      <c r="B1084" s="38" t="s">
        <v>1480</v>
      </c>
      <c r="C1084" s="38"/>
      <c r="D1084" s="14">
        <v>4</v>
      </c>
      <c r="E1084" s="225">
        <v>3000</v>
      </c>
      <c r="F1084" s="234">
        <f>E1084*D1084</f>
        <v>12000</v>
      </c>
      <c r="G1084" s="38" t="s">
        <v>813</v>
      </c>
      <c r="H1084" s="39"/>
      <c r="I1084" s="39" t="s">
        <v>303</v>
      </c>
      <c r="J1084" s="74">
        <v>1</v>
      </c>
      <c r="K1084" s="75">
        <f>E1084*J1084</f>
        <v>3000</v>
      </c>
      <c r="L1084" s="14">
        <v>1</v>
      </c>
      <c r="M1084" s="75">
        <f>E1084*L1084</f>
        <v>3000</v>
      </c>
      <c r="N1084" s="14">
        <v>1</v>
      </c>
      <c r="O1084" s="75">
        <f>E1084*N1084</f>
        <v>3000</v>
      </c>
      <c r="P1084" s="14">
        <v>1</v>
      </c>
      <c r="Q1084" s="75">
        <f>E1084*P1084</f>
        <v>3000</v>
      </c>
      <c r="R1084" s="73"/>
    </row>
    <row r="1085" ht="15.75" spans="1:18">
      <c r="A1085" s="11">
        <v>4</v>
      </c>
      <c r="B1085" s="38" t="s">
        <v>1478</v>
      </c>
      <c r="C1085" s="38"/>
      <c r="D1085" s="14">
        <v>12</v>
      </c>
      <c r="E1085" s="225">
        <v>6000</v>
      </c>
      <c r="F1085" s="275">
        <v>72000</v>
      </c>
      <c r="G1085" s="38" t="s">
        <v>25</v>
      </c>
      <c r="H1085" s="39" t="s">
        <v>1030</v>
      </c>
      <c r="I1085" s="39" t="s">
        <v>778</v>
      </c>
      <c r="J1085" s="74"/>
      <c r="K1085" s="75">
        <v>18000</v>
      </c>
      <c r="L1085" s="14"/>
      <c r="M1085" s="75">
        <v>18000</v>
      </c>
      <c r="N1085" s="14"/>
      <c r="O1085" s="75">
        <v>18000</v>
      </c>
      <c r="P1085" s="14"/>
      <c r="Q1085" s="75">
        <v>18000</v>
      </c>
      <c r="R1085" s="91"/>
    </row>
    <row r="1086" ht="15.75" spans="1:18">
      <c r="A1086" s="11">
        <v>5</v>
      </c>
      <c r="B1086" s="41" t="s">
        <v>1481</v>
      </c>
      <c r="C1086" s="41" t="s">
        <v>799</v>
      </c>
      <c r="D1086" s="42">
        <v>3</v>
      </c>
      <c r="E1086" s="187">
        <v>1000</v>
      </c>
      <c r="F1086" s="219">
        <v>3000</v>
      </c>
      <c r="G1086" s="41" t="s">
        <v>37</v>
      </c>
      <c r="H1086" s="31" t="s">
        <v>729</v>
      </c>
      <c r="I1086" s="31" t="s">
        <v>778</v>
      </c>
      <c r="J1086" s="76">
        <v>1</v>
      </c>
      <c r="K1086" s="72">
        <v>1000</v>
      </c>
      <c r="L1086" s="42">
        <v>2</v>
      </c>
      <c r="M1086" s="72">
        <v>2000</v>
      </c>
      <c r="N1086" s="42"/>
      <c r="O1086" s="72"/>
      <c r="P1086" s="42"/>
      <c r="Q1086" s="72"/>
      <c r="R1086" s="91"/>
    </row>
    <row r="1087" ht="15.75" spans="1:18">
      <c r="A1087" s="11"/>
      <c r="M1087" s="73"/>
      <c r="N1087" s="73"/>
      <c r="O1087" s="73"/>
      <c r="P1087" s="73"/>
      <c r="Q1087" s="73"/>
      <c r="R1087" s="73"/>
    </row>
    <row r="1088" ht="15.75" spans="1:18">
      <c r="A1088" s="11"/>
      <c r="B1088" s="11"/>
      <c r="C1088" s="129"/>
      <c r="D1088" s="230"/>
      <c r="E1088" s="174"/>
      <c r="F1088" s="77"/>
      <c r="G1088" s="77"/>
      <c r="H1088" s="13"/>
      <c r="I1088" s="13"/>
      <c r="J1088" s="77"/>
      <c r="K1088" s="77"/>
      <c r="L1088" s="77"/>
      <c r="M1088" s="77"/>
      <c r="N1088" s="77"/>
      <c r="O1088" s="77"/>
      <c r="P1088" s="77"/>
      <c r="Q1088" s="77"/>
      <c r="R1088" s="91"/>
    </row>
    <row r="1089" ht="15.75" spans="1:18">
      <c r="A1089" s="11"/>
      <c r="B1089" s="12" t="s">
        <v>22</v>
      </c>
      <c r="C1089" s="129"/>
      <c r="D1089" s="230"/>
      <c r="E1089" s="174"/>
      <c r="F1089" s="159">
        <f>SUM(F1082:F1088)</f>
        <v>267000</v>
      </c>
      <c r="G1089" s="77"/>
      <c r="H1089" s="13"/>
      <c r="I1089" s="13"/>
      <c r="J1089" s="73"/>
      <c r="K1089" s="73"/>
      <c r="L1089" s="73"/>
      <c r="M1089" s="73"/>
      <c r="N1089" s="73"/>
      <c r="O1089" s="73"/>
      <c r="P1089" s="73"/>
      <c r="Q1089" s="73"/>
      <c r="R1089" s="73"/>
    </row>
    <row r="1090" ht="15.75" spans="1:18">
      <c r="A1090" s="277"/>
      <c r="B1090" s="12"/>
      <c r="C1090" s="32"/>
      <c r="D1090" s="153"/>
      <c r="E1090" s="185"/>
      <c r="F1090" s="14"/>
      <c r="G1090" s="14"/>
      <c r="H1090" s="13"/>
      <c r="I1090" s="13"/>
      <c r="J1090" s="73"/>
      <c r="K1090" s="73"/>
      <c r="L1090" s="73"/>
      <c r="M1090" s="73"/>
      <c r="N1090" s="73"/>
      <c r="O1090" s="73"/>
      <c r="P1090" s="73"/>
      <c r="Q1090" s="73"/>
      <c r="R1090" s="73"/>
    </row>
    <row r="1091" ht="15.75" spans="1:18">
      <c r="A1091" s="278"/>
      <c r="B1091" s="11"/>
      <c r="C1091" s="12"/>
      <c r="D1091" s="47"/>
      <c r="E1091" s="192"/>
      <c r="F1091" s="11"/>
      <c r="G1091" s="11"/>
      <c r="H1091" s="13"/>
      <c r="I1091" s="13"/>
      <c r="J1091" s="152"/>
      <c r="K1091" s="152"/>
      <c r="L1091" s="14"/>
      <c r="M1091" s="14"/>
      <c r="N1091" s="14"/>
      <c r="O1091" s="14"/>
      <c r="P1091" s="14"/>
      <c r="Q1091" s="14"/>
      <c r="R1091" s="14"/>
    </row>
    <row r="1092" ht="15.75" spans="1:18">
      <c r="A1092" s="133"/>
      <c r="B1092" s="32"/>
      <c r="C1092" s="11"/>
      <c r="D1092" s="14"/>
      <c r="E1092" s="11"/>
      <c r="F1092" s="11"/>
      <c r="G1092" s="11"/>
      <c r="H1092" s="13"/>
      <c r="I1092" s="13"/>
      <c r="J1092" s="152"/>
      <c r="K1092" s="152"/>
      <c r="L1092" s="14"/>
      <c r="M1092" s="14"/>
      <c r="N1092" s="14"/>
      <c r="O1092" s="14"/>
      <c r="P1092" s="14"/>
      <c r="Q1092" s="14"/>
      <c r="R1092" s="14"/>
    </row>
    <row r="1093" ht="15.75" spans="1:18">
      <c r="A1093" s="279">
        <v>65</v>
      </c>
      <c r="B1093" s="12" t="s">
        <v>762</v>
      </c>
      <c r="C1093" s="11"/>
      <c r="D1093" s="14"/>
      <c r="E1093" s="11"/>
      <c r="F1093" s="14"/>
      <c r="G1093" s="14"/>
      <c r="H1093" s="13"/>
      <c r="I1093" s="16"/>
      <c r="J1093" s="14"/>
      <c r="K1093" s="14"/>
      <c r="L1093" s="14"/>
      <c r="M1093" s="14"/>
      <c r="N1093" s="14"/>
      <c r="O1093" s="14"/>
      <c r="P1093" s="14"/>
      <c r="Q1093" s="14"/>
      <c r="R1093" s="14"/>
    </row>
    <row r="1094" ht="15.75" spans="1:18">
      <c r="A1094" s="133">
        <v>1</v>
      </c>
      <c r="B1094" s="11" t="s">
        <v>690</v>
      </c>
      <c r="C1094" s="32"/>
      <c r="D1094" s="37">
        <v>12</v>
      </c>
      <c r="E1094" s="185">
        <v>10000</v>
      </c>
      <c r="F1094" s="185">
        <f>D1094*E1094</f>
        <v>120000</v>
      </c>
      <c r="G1094" s="13" t="s">
        <v>42</v>
      </c>
      <c r="H1094" s="13" t="s">
        <v>896</v>
      </c>
      <c r="I1094" s="13" t="s">
        <v>778</v>
      </c>
      <c r="J1094" s="77"/>
      <c r="K1094" s="77">
        <v>30000</v>
      </c>
      <c r="L1094" s="77"/>
      <c r="M1094" s="77">
        <v>30000</v>
      </c>
      <c r="N1094" s="77"/>
      <c r="O1094" s="77">
        <v>30000</v>
      </c>
      <c r="P1094" s="77"/>
      <c r="Q1094" s="77">
        <v>30000</v>
      </c>
      <c r="R1094" s="91"/>
    </row>
    <row r="1095" ht="31.5" spans="1:18">
      <c r="A1095" s="133">
        <v>2</v>
      </c>
      <c r="B1095" s="16" t="s">
        <v>1482</v>
      </c>
      <c r="C1095" s="16"/>
      <c r="D1095" s="17"/>
      <c r="E1095" s="49"/>
      <c r="F1095" s="18">
        <v>5000000</v>
      </c>
      <c r="G1095" s="16" t="s">
        <v>46</v>
      </c>
      <c r="H1095" s="16"/>
      <c r="I1095" s="13" t="s">
        <v>778</v>
      </c>
      <c r="J1095" s="68"/>
      <c r="K1095" s="69"/>
      <c r="L1095" s="68"/>
      <c r="M1095" s="69"/>
      <c r="N1095" s="68"/>
      <c r="O1095" s="18">
        <v>5000000</v>
      </c>
      <c r="P1095" s="68"/>
      <c r="Q1095" s="69"/>
      <c r="R1095" s="14"/>
    </row>
    <row r="1096" ht="15.75" spans="1:18">
      <c r="A1096" s="133"/>
      <c r="B1096" s="280"/>
      <c r="C1096" s="16"/>
      <c r="D1096" s="17"/>
      <c r="E1096" s="49"/>
      <c r="F1096" s="18"/>
      <c r="G1096" s="16"/>
      <c r="H1096" s="16"/>
      <c r="I1096" s="13"/>
      <c r="J1096" s="68"/>
      <c r="K1096" s="69"/>
      <c r="L1096" s="68"/>
      <c r="M1096" s="69"/>
      <c r="N1096" s="68"/>
      <c r="O1096" s="69"/>
      <c r="P1096" s="68"/>
      <c r="Q1096" s="69"/>
      <c r="R1096" s="14"/>
    </row>
    <row r="1097" ht="15.75" spans="1:18">
      <c r="A1097" s="133"/>
      <c r="B1097" s="281" t="s">
        <v>22</v>
      </c>
      <c r="C1097" s="16"/>
      <c r="D1097" s="17"/>
      <c r="E1097" s="49"/>
      <c r="F1097" s="282">
        <f>SUM(F1094:F1096)</f>
        <v>5120000</v>
      </c>
      <c r="G1097" s="16"/>
      <c r="H1097" s="16"/>
      <c r="I1097" s="13"/>
      <c r="J1097" s="68"/>
      <c r="K1097" s="69"/>
      <c r="L1097" s="68"/>
      <c r="M1097" s="69"/>
      <c r="N1097" s="68"/>
      <c r="O1097" s="69"/>
      <c r="P1097" s="68"/>
      <c r="Q1097" s="69"/>
      <c r="R1097" s="14"/>
    </row>
    <row r="1098" ht="15.75" spans="1:18">
      <c r="A1098" s="278"/>
      <c r="C1098" s="12"/>
      <c r="D1098" s="47"/>
      <c r="E1098" s="192"/>
      <c r="F1098" s="14"/>
      <c r="G1098" s="14"/>
      <c r="H1098" s="13"/>
      <c r="I1098" s="13"/>
      <c r="J1098" s="14"/>
      <c r="K1098" s="14"/>
      <c r="L1098" s="14"/>
      <c r="M1098" s="14"/>
      <c r="N1098" s="14"/>
      <c r="O1098" s="14"/>
      <c r="P1098" s="14"/>
      <c r="Q1098" s="14"/>
      <c r="R1098" s="14"/>
    </row>
    <row r="1099" ht="15.75" spans="1:18">
      <c r="A1099" s="278">
        <v>66</v>
      </c>
      <c r="B1099" s="116" t="s">
        <v>1483</v>
      </c>
      <c r="C1099" s="12"/>
      <c r="D1099" s="47"/>
      <c r="E1099" s="192"/>
      <c r="F1099" s="14"/>
      <c r="G1099" s="14"/>
      <c r="H1099" s="13"/>
      <c r="I1099" s="13"/>
      <c r="J1099" s="14"/>
      <c r="K1099" s="14"/>
      <c r="L1099" s="14"/>
      <c r="M1099" s="14"/>
      <c r="N1099" s="14"/>
      <c r="O1099" s="14"/>
      <c r="P1099" s="14"/>
      <c r="Q1099" s="14"/>
      <c r="R1099" s="14"/>
    </row>
    <row r="1100" ht="15.75" spans="1:18">
      <c r="A1100" s="11">
        <v>1</v>
      </c>
      <c r="B1100" s="92" t="s">
        <v>692</v>
      </c>
      <c r="C1100" s="38"/>
      <c r="D1100" s="82" t="s">
        <v>693</v>
      </c>
      <c r="E1100" s="11">
        <v>15520</v>
      </c>
      <c r="F1100" s="11">
        <v>186240</v>
      </c>
      <c r="G1100" s="11"/>
      <c r="H1100" s="13" t="s">
        <v>896</v>
      </c>
      <c r="I1100" s="13" t="s">
        <v>778</v>
      </c>
      <c r="J1100" s="14"/>
      <c r="K1100" s="77">
        <v>46560</v>
      </c>
      <c r="L1100" s="14"/>
      <c r="M1100" s="77">
        <v>46560</v>
      </c>
      <c r="N1100" s="144"/>
      <c r="O1100" s="77">
        <v>46560</v>
      </c>
      <c r="P1100" s="77"/>
      <c r="Q1100" s="77">
        <v>46560</v>
      </c>
      <c r="R1100" s="14"/>
    </row>
    <row r="1101" ht="15.75" spans="1:18">
      <c r="A1101" s="11">
        <v>2</v>
      </c>
      <c r="B1101" s="92" t="s">
        <v>695</v>
      </c>
      <c r="C1101" s="11"/>
      <c r="D1101" s="14" t="s">
        <v>696</v>
      </c>
      <c r="E1101" s="11">
        <v>169500</v>
      </c>
      <c r="F1101" s="11">
        <v>678000</v>
      </c>
      <c r="G1101" s="11"/>
      <c r="H1101" s="13" t="s">
        <v>896</v>
      </c>
      <c r="I1101" s="13" t="s">
        <v>778</v>
      </c>
      <c r="J1101" s="14"/>
      <c r="K1101" s="77">
        <v>169500</v>
      </c>
      <c r="L1101" s="14"/>
      <c r="M1101" s="77">
        <v>169500</v>
      </c>
      <c r="N1101" s="144"/>
      <c r="O1101" s="77">
        <v>169500</v>
      </c>
      <c r="P1101" s="77"/>
      <c r="Q1101" s="77">
        <v>169500</v>
      </c>
      <c r="R1101" s="14"/>
    </row>
    <row r="1102" ht="15.75" spans="1:18">
      <c r="A1102" s="11">
        <v>3</v>
      </c>
      <c r="B1102" s="92" t="s">
        <v>697</v>
      </c>
      <c r="C1102" s="11"/>
      <c r="D1102" s="14" t="s">
        <v>696</v>
      </c>
      <c r="E1102" s="170">
        <v>42900</v>
      </c>
      <c r="F1102" s="11">
        <v>171600</v>
      </c>
      <c r="G1102" s="11"/>
      <c r="H1102" s="13" t="s">
        <v>896</v>
      </c>
      <c r="I1102" s="13" t="s">
        <v>778</v>
      </c>
      <c r="J1102" s="14"/>
      <c r="K1102" s="77">
        <v>42900</v>
      </c>
      <c r="L1102" s="14"/>
      <c r="M1102" s="77">
        <v>42900</v>
      </c>
      <c r="N1102" s="144"/>
      <c r="O1102" s="77">
        <v>42900</v>
      </c>
      <c r="P1102" s="77"/>
      <c r="Q1102" s="77">
        <v>42900</v>
      </c>
      <c r="R1102" s="14"/>
    </row>
    <row r="1103" ht="15.75" spans="1:18">
      <c r="A1103" s="11">
        <v>4</v>
      </c>
      <c r="B1103" s="92" t="s">
        <v>698</v>
      </c>
      <c r="C1103" s="38"/>
      <c r="D1103" s="82" t="s">
        <v>693</v>
      </c>
      <c r="E1103" s="11">
        <v>14000</v>
      </c>
      <c r="F1103" s="11">
        <v>168000</v>
      </c>
      <c r="G1103" s="11"/>
      <c r="H1103" s="13" t="s">
        <v>896</v>
      </c>
      <c r="I1103" s="13" t="s">
        <v>778</v>
      </c>
      <c r="J1103" s="14"/>
      <c r="K1103" s="77">
        <v>42000</v>
      </c>
      <c r="L1103" s="14"/>
      <c r="M1103" s="77">
        <v>42000</v>
      </c>
      <c r="N1103" s="144"/>
      <c r="O1103" s="77">
        <v>42000</v>
      </c>
      <c r="P1103" s="77"/>
      <c r="Q1103" s="77">
        <v>42000</v>
      </c>
      <c r="R1103" s="14"/>
    </row>
    <row r="1104" ht="15.75" spans="1:18">
      <c r="A1104" s="11">
        <v>5</v>
      </c>
      <c r="B1104" s="92" t="s">
        <v>699</v>
      </c>
      <c r="C1104" s="11"/>
      <c r="D1104" s="14" t="s">
        <v>700</v>
      </c>
      <c r="E1104" s="11"/>
      <c r="F1104" s="170">
        <v>500000</v>
      </c>
      <c r="G1104" s="11"/>
      <c r="H1104" s="13" t="s">
        <v>896</v>
      </c>
      <c r="I1104" s="13" t="s">
        <v>778</v>
      </c>
      <c r="J1104" s="14"/>
      <c r="K1104" s="78">
        <v>125000</v>
      </c>
      <c r="L1104" s="14"/>
      <c r="M1104" s="78">
        <v>125000</v>
      </c>
      <c r="N1104" s="144"/>
      <c r="O1104" s="78">
        <v>125000</v>
      </c>
      <c r="P1104" s="77"/>
      <c r="Q1104" s="78">
        <v>125000</v>
      </c>
      <c r="R1104" s="14"/>
    </row>
    <row r="1105" ht="15.75" spans="1:18">
      <c r="A1105" s="11">
        <v>6</v>
      </c>
      <c r="B1105" s="92" t="s">
        <v>701</v>
      </c>
      <c r="C1105" s="11"/>
      <c r="D1105" s="14" t="s">
        <v>700</v>
      </c>
      <c r="E1105" s="11">
        <v>480000</v>
      </c>
      <c r="F1105" s="129">
        <v>480000</v>
      </c>
      <c r="G1105" s="11"/>
      <c r="H1105" s="13" t="s">
        <v>896</v>
      </c>
      <c r="I1105" s="13" t="s">
        <v>778</v>
      </c>
      <c r="J1105" s="14"/>
      <c r="K1105" s="77">
        <v>120000</v>
      </c>
      <c r="L1105" s="14"/>
      <c r="M1105" s="77">
        <v>120000</v>
      </c>
      <c r="N1105" s="144"/>
      <c r="O1105" s="78">
        <v>120000</v>
      </c>
      <c r="P1105" s="77"/>
      <c r="Q1105" s="78">
        <v>120000</v>
      </c>
      <c r="R1105" s="14"/>
    </row>
    <row r="1106" ht="15.75" spans="1:18">
      <c r="A1106" s="11">
        <v>7</v>
      </c>
      <c r="B1106" s="92" t="s">
        <v>702</v>
      </c>
      <c r="C1106" s="11"/>
      <c r="D1106" s="14" t="s">
        <v>700</v>
      </c>
      <c r="E1106" s="170">
        <v>50000</v>
      </c>
      <c r="F1106" s="168">
        <v>600000</v>
      </c>
      <c r="G1106" s="11"/>
      <c r="H1106" s="13" t="s">
        <v>896</v>
      </c>
      <c r="I1106" s="13" t="s">
        <v>778</v>
      </c>
      <c r="J1106" s="14"/>
      <c r="K1106" s="78">
        <v>150000</v>
      </c>
      <c r="L1106" s="14"/>
      <c r="M1106" s="78">
        <v>150000</v>
      </c>
      <c r="N1106" s="144"/>
      <c r="O1106" s="78">
        <v>150000</v>
      </c>
      <c r="P1106" s="77"/>
      <c r="Q1106" s="78">
        <v>150000</v>
      </c>
      <c r="R1106" s="14"/>
    </row>
    <row r="1107" ht="15.75" spans="1:18">
      <c r="A1107" s="12">
        <v>8</v>
      </c>
      <c r="B1107" s="11" t="s">
        <v>703</v>
      </c>
      <c r="C1107" s="129"/>
      <c r="D1107" s="33">
        <v>12</v>
      </c>
      <c r="E1107" s="174">
        <v>155000</v>
      </c>
      <c r="F1107" s="174">
        <v>1860000</v>
      </c>
      <c r="G1107" s="77"/>
      <c r="H1107" s="13" t="s">
        <v>896</v>
      </c>
      <c r="I1107" s="13" t="s">
        <v>778</v>
      </c>
      <c r="J1107" s="14"/>
      <c r="K1107" s="78">
        <v>465000</v>
      </c>
      <c r="L1107" s="14"/>
      <c r="M1107" s="78">
        <v>465000</v>
      </c>
      <c r="N1107" s="144"/>
      <c r="O1107" s="91">
        <v>465000</v>
      </c>
      <c r="P1107" s="91"/>
      <c r="Q1107" s="56">
        <v>465000</v>
      </c>
      <c r="R1107" s="296"/>
    </row>
    <row r="1108" ht="15.75" spans="1:18">
      <c r="A1108" s="12"/>
      <c r="C1108" s="270"/>
      <c r="D1108" s="283"/>
      <c r="E1108" s="271"/>
      <c r="F1108" s="271"/>
      <c r="G1108" s="77"/>
      <c r="H1108" s="13"/>
      <c r="I1108" s="13"/>
      <c r="J1108" s="77"/>
      <c r="K1108" s="77"/>
      <c r="L1108" s="77"/>
      <c r="M1108" s="77"/>
      <c r="N1108" s="91"/>
      <c r="O1108" s="91"/>
      <c r="P1108" s="91"/>
      <c r="Q1108" s="91"/>
      <c r="R1108" s="14"/>
    </row>
    <row r="1109" ht="15.75" spans="1:18">
      <c r="A1109" s="133"/>
      <c r="B1109" s="11"/>
      <c r="C1109" s="11"/>
      <c r="D1109" s="14"/>
      <c r="E1109" s="11"/>
      <c r="F1109" s="11"/>
      <c r="G1109" s="11"/>
      <c r="H1109" s="13"/>
      <c r="I1109" s="13"/>
      <c r="J1109" s="152"/>
      <c r="K1109" s="152"/>
      <c r="L1109" s="14"/>
      <c r="M1109" s="14"/>
      <c r="N1109" s="14"/>
      <c r="O1109" s="14"/>
      <c r="P1109" s="14"/>
      <c r="Q1109" s="14"/>
      <c r="R1109" s="14"/>
    </row>
    <row r="1110" ht="15.75" spans="1:18">
      <c r="A1110" s="279"/>
      <c r="B1110" s="12" t="s">
        <v>22</v>
      </c>
      <c r="C1110" s="12"/>
      <c r="D1110" s="47"/>
      <c r="E1110" s="12"/>
      <c r="F1110" s="117">
        <f>SUM(F1100:F1109)</f>
        <v>4643840</v>
      </c>
      <c r="G1110" s="14"/>
      <c r="H1110" s="13"/>
      <c r="I1110" s="16"/>
      <c r="J1110" s="14"/>
      <c r="K1110" s="14"/>
      <c r="L1110" s="14"/>
      <c r="M1110" s="14"/>
      <c r="N1110" s="14"/>
      <c r="O1110" s="14"/>
      <c r="P1110" s="14"/>
      <c r="Q1110" s="14"/>
      <c r="R1110" s="14"/>
    </row>
    <row r="1111" ht="15.75" spans="1:18">
      <c r="A1111" s="279"/>
      <c r="B1111" s="12"/>
      <c r="C1111" s="12"/>
      <c r="D1111" s="47"/>
      <c r="E1111" s="12"/>
      <c r="F1111" s="117"/>
      <c r="G1111" s="14"/>
      <c r="H1111" s="13"/>
      <c r="I1111" s="16"/>
      <c r="J1111" s="14"/>
      <c r="K1111" s="14"/>
      <c r="L1111" s="14"/>
      <c r="M1111" s="14"/>
      <c r="N1111" s="14"/>
      <c r="O1111" s="14"/>
      <c r="P1111" s="14"/>
      <c r="Q1111" s="14"/>
      <c r="R1111" s="14"/>
    </row>
    <row r="1112" ht="15.75" spans="1:18">
      <c r="A1112" s="279"/>
      <c r="B1112" s="12" t="s">
        <v>704</v>
      </c>
      <c r="C1112" s="12"/>
      <c r="D1112" s="47"/>
      <c r="E1112" s="12"/>
      <c r="F1112" s="117"/>
      <c r="G1112" s="14"/>
      <c r="H1112" s="13"/>
      <c r="I1112" s="16"/>
      <c r="J1112" s="14"/>
      <c r="K1112" s="14"/>
      <c r="L1112" s="14"/>
      <c r="M1112" s="14"/>
      <c r="N1112" s="14"/>
      <c r="O1112" s="14"/>
      <c r="P1112" s="14"/>
      <c r="Q1112" s="14"/>
      <c r="R1112" s="14"/>
    </row>
    <row r="1113" ht="31.5" spans="1:18">
      <c r="A1113" s="133"/>
      <c r="B1113" s="116" t="s">
        <v>705</v>
      </c>
      <c r="C1113" s="37"/>
      <c r="D1113" s="37"/>
      <c r="E1113" s="32"/>
      <c r="F1113" s="11"/>
      <c r="G1113" s="11"/>
      <c r="H1113" s="13"/>
      <c r="I1113" s="16"/>
      <c r="J1113" s="73"/>
      <c r="K1113" s="73"/>
      <c r="L1113" s="73"/>
      <c r="M1113" s="73"/>
      <c r="N1113" s="73"/>
      <c r="O1113" s="73"/>
      <c r="P1113" s="73"/>
      <c r="Q1113" s="73"/>
      <c r="R1113" s="73"/>
    </row>
    <row r="1114" ht="15.75" spans="1:18">
      <c r="A1114" s="133"/>
      <c r="C1114" s="37"/>
      <c r="D1114" s="37"/>
      <c r="E1114" s="224"/>
      <c r="F1114" s="224"/>
      <c r="G1114" s="11"/>
      <c r="H1114" s="13"/>
      <c r="I1114" s="16"/>
      <c r="J1114" s="73"/>
      <c r="K1114" s="73"/>
      <c r="L1114" s="73"/>
      <c r="M1114" s="73"/>
      <c r="N1114" s="73"/>
      <c r="O1114" s="73"/>
      <c r="P1114" s="73"/>
      <c r="Q1114" s="73"/>
      <c r="R1114" s="73"/>
    </row>
    <row r="1115" ht="15.75" spans="1:18">
      <c r="A1115" s="133"/>
      <c r="B1115" s="32" t="s">
        <v>706</v>
      </c>
      <c r="C1115" s="37"/>
      <c r="D1115" s="37">
        <v>1</v>
      </c>
      <c r="E1115" s="224">
        <v>60000</v>
      </c>
      <c r="F1115" s="224">
        <f t="shared" ref="F1115:F1120" si="59">D1115*E1115</f>
        <v>60000</v>
      </c>
      <c r="G1115" s="11" t="s">
        <v>126</v>
      </c>
      <c r="H1115" s="13" t="s">
        <v>896</v>
      </c>
      <c r="I1115" s="16" t="s">
        <v>707</v>
      </c>
      <c r="J1115" s="73"/>
      <c r="K1115" s="73">
        <v>60000</v>
      </c>
      <c r="L1115" s="73"/>
      <c r="M1115" s="73"/>
      <c r="N1115" s="73"/>
      <c r="O1115" s="73"/>
      <c r="P1115" s="73"/>
      <c r="Q1115" s="73"/>
      <c r="R1115" s="73"/>
    </row>
    <row r="1116" ht="15.75" spans="1:18">
      <c r="A1116" s="133"/>
      <c r="B1116" s="32" t="s">
        <v>708</v>
      </c>
      <c r="C1116" s="37"/>
      <c r="D1116" s="37">
        <v>1</v>
      </c>
      <c r="E1116" s="224">
        <v>1600000</v>
      </c>
      <c r="F1116" s="32">
        <f t="shared" si="59"/>
        <v>1600000</v>
      </c>
      <c r="G1116" s="11" t="s">
        <v>126</v>
      </c>
      <c r="H1116" s="13" t="s">
        <v>896</v>
      </c>
      <c r="I1116" s="16" t="s">
        <v>707</v>
      </c>
      <c r="J1116" s="73"/>
      <c r="K1116" s="73"/>
      <c r="L1116" s="73"/>
      <c r="M1116" s="73">
        <v>1600000</v>
      </c>
      <c r="N1116" s="73"/>
      <c r="O1116" s="73"/>
      <c r="P1116" s="73"/>
      <c r="Q1116" s="73"/>
      <c r="R1116" s="73"/>
    </row>
    <row r="1117" ht="15.75" spans="1:18">
      <c r="A1117" s="133"/>
      <c r="B1117" s="32" t="s">
        <v>709</v>
      </c>
      <c r="C1117" s="37"/>
      <c r="D1117" s="37">
        <v>2</v>
      </c>
      <c r="E1117" s="224">
        <v>7500000</v>
      </c>
      <c r="F1117" s="177">
        <f t="shared" si="59"/>
        <v>15000000</v>
      </c>
      <c r="G1117" s="11" t="s">
        <v>126</v>
      </c>
      <c r="H1117" s="13" t="s">
        <v>896</v>
      </c>
      <c r="I1117" s="16" t="s">
        <v>707</v>
      </c>
      <c r="J1117" s="73"/>
      <c r="K1117" s="73">
        <v>7500000</v>
      </c>
      <c r="L1117" s="73"/>
      <c r="M1117" s="73"/>
      <c r="N1117" s="73"/>
      <c r="O1117" s="114">
        <v>7500000</v>
      </c>
      <c r="P1117" s="73"/>
      <c r="Q1117" s="73"/>
      <c r="R1117" s="73"/>
    </row>
    <row r="1118" ht="15.75" spans="1:18">
      <c r="A1118" s="133"/>
      <c r="B1118" s="32" t="s">
        <v>710</v>
      </c>
      <c r="C1118" s="37"/>
      <c r="D1118" s="37">
        <v>1</v>
      </c>
      <c r="E1118" s="224">
        <v>6500000</v>
      </c>
      <c r="F1118" s="224">
        <f t="shared" si="59"/>
        <v>6500000</v>
      </c>
      <c r="G1118" s="11" t="s">
        <v>126</v>
      </c>
      <c r="H1118" s="13" t="s">
        <v>896</v>
      </c>
      <c r="I1118" s="16" t="s">
        <v>707</v>
      </c>
      <c r="J1118" s="73"/>
      <c r="K1118" s="73"/>
      <c r="L1118" s="73"/>
      <c r="M1118" s="114">
        <v>6500000</v>
      </c>
      <c r="N1118" s="73"/>
      <c r="O1118" s="73"/>
      <c r="P1118" s="73"/>
      <c r="Q1118" s="73"/>
      <c r="R1118" s="73"/>
    </row>
    <row r="1119" ht="15.75" spans="1:18">
      <c r="A1119" s="133"/>
      <c r="B1119" s="32" t="s">
        <v>711</v>
      </c>
      <c r="C1119" s="37"/>
      <c r="D1119" s="37">
        <v>1</v>
      </c>
      <c r="E1119" s="224">
        <v>8500000</v>
      </c>
      <c r="F1119" s="224">
        <v>8500000</v>
      </c>
      <c r="G1119" s="11" t="s">
        <v>126</v>
      </c>
      <c r="H1119" s="13" t="s">
        <v>896</v>
      </c>
      <c r="I1119" s="16" t="s">
        <v>707</v>
      </c>
      <c r="J1119" s="73"/>
      <c r="K1119" s="73"/>
      <c r="L1119" s="73"/>
      <c r="M1119" s="224">
        <v>8500000</v>
      </c>
      <c r="N1119" s="73"/>
      <c r="O1119" s="73"/>
      <c r="P1119" s="73"/>
      <c r="Q1119" s="73"/>
      <c r="R1119" s="73"/>
    </row>
    <row r="1120" ht="15.75" spans="1:18">
      <c r="A1120" s="133"/>
      <c r="B1120" s="32" t="s">
        <v>712</v>
      </c>
      <c r="C1120" s="37"/>
      <c r="D1120" s="37">
        <v>1</v>
      </c>
      <c r="E1120" s="224">
        <v>4500000</v>
      </c>
      <c r="F1120" s="224">
        <v>4500000</v>
      </c>
      <c r="G1120" s="11" t="s">
        <v>126</v>
      </c>
      <c r="H1120" s="13" t="s">
        <v>896</v>
      </c>
      <c r="I1120" s="16" t="s">
        <v>707</v>
      </c>
      <c r="J1120" s="73"/>
      <c r="K1120" s="224">
        <v>4500000</v>
      </c>
      <c r="L1120" s="73"/>
      <c r="M1120" s="73"/>
      <c r="N1120" s="73"/>
      <c r="O1120" s="73"/>
      <c r="P1120" s="73"/>
      <c r="Q1120" s="73"/>
      <c r="R1120" s="73"/>
    </row>
    <row r="1121" ht="15.75" spans="1:18">
      <c r="A1121" s="133"/>
      <c r="C1121" s="37"/>
      <c r="D1121" s="37"/>
      <c r="E1121" s="11"/>
      <c r="F1121" s="157"/>
      <c r="G1121" s="157"/>
      <c r="H1121" s="35"/>
      <c r="I1121" s="16"/>
      <c r="J1121" s="77"/>
      <c r="K1121" s="77"/>
      <c r="L1121" s="77"/>
      <c r="M1121" s="77"/>
      <c r="N1121" s="77"/>
      <c r="O1121" s="77"/>
      <c r="P1121" s="77"/>
      <c r="Q1121" s="77"/>
      <c r="R1121" s="91"/>
    </row>
    <row r="1122" ht="15.75" spans="1:18">
      <c r="A1122" s="133"/>
      <c r="B1122" s="116" t="s">
        <v>22</v>
      </c>
      <c r="C1122" s="133"/>
      <c r="D1122" s="144"/>
      <c r="E1122" s="133"/>
      <c r="F1122" s="284">
        <f>SUM(F1115:F1121)</f>
        <v>36160000</v>
      </c>
      <c r="G1122" s="133"/>
      <c r="H1122" s="36"/>
      <c r="I1122" s="36"/>
      <c r="J1122" s="144"/>
      <c r="K1122" s="144"/>
      <c r="L1122" s="144"/>
      <c r="M1122" s="144"/>
      <c r="N1122" s="144"/>
      <c r="O1122" s="144"/>
      <c r="P1122" s="144"/>
      <c r="Q1122" s="144"/>
      <c r="R1122" s="144"/>
    </row>
    <row r="1123" ht="15.75" spans="1:18">
      <c r="A1123" s="133"/>
      <c r="B1123" s="32"/>
      <c r="C1123" s="11"/>
      <c r="D1123" s="14"/>
      <c r="E1123" s="285"/>
      <c r="F1123" s="14"/>
      <c r="G1123" s="13"/>
      <c r="H1123" s="13"/>
      <c r="I1123" s="13"/>
      <c r="J1123" s="14"/>
      <c r="K1123" s="14"/>
      <c r="L1123" s="14"/>
      <c r="M1123" s="14"/>
      <c r="N1123" s="14"/>
      <c r="O1123" s="14"/>
      <c r="P1123" s="14"/>
      <c r="Q1123" s="14"/>
      <c r="R1123" s="14"/>
    </row>
    <row r="1124" ht="31.5" spans="1:18">
      <c r="A1124" s="133"/>
      <c r="B1124" s="286" t="s">
        <v>1484</v>
      </c>
      <c r="C1124" s="11"/>
      <c r="D1124" s="14"/>
      <c r="E1124" s="285"/>
      <c r="F1124" s="14"/>
      <c r="G1124" s="13"/>
      <c r="H1124" s="13"/>
      <c r="I1124" s="13"/>
      <c r="J1124" s="14"/>
      <c r="K1124" s="14"/>
      <c r="L1124" s="14"/>
      <c r="M1124" s="14"/>
      <c r="N1124" s="14"/>
      <c r="O1124" s="14"/>
      <c r="P1124" s="14"/>
      <c r="Q1124" s="14"/>
      <c r="R1124" s="14"/>
    </row>
    <row r="1125" ht="31.5" spans="1:18">
      <c r="A1125" s="287"/>
      <c r="B1125" s="38" t="s">
        <v>1485</v>
      </c>
      <c r="C1125" s="288"/>
      <c r="D1125" s="289"/>
      <c r="E1125" s="285">
        <v>2000000</v>
      </c>
      <c r="F1125" s="56">
        <v>2000000</v>
      </c>
      <c r="G1125" s="13" t="s">
        <v>808</v>
      </c>
      <c r="H1125" s="13" t="s">
        <v>716</v>
      </c>
      <c r="I1125" s="13" t="s">
        <v>707</v>
      </c>
      <c r="J1125" s="295"/>
      <c r="K1125" s="56">
        <v>2000000</v>
      </c>
      <c r="L1125" s="14"/>
      <c r="M1125" s="14"/>
      <c r="N1125" s="14"/>
      <c r="O1125" s="14"/>
      <c r="P1125" s="14"/>
      <c r="Q1125" s="14"/>
      <c r="R1125" s="14"/>
    </row>
    <row r="1126" ht="15.75" spans="1:18">
      <c r="A1126" s="133"/>
      <c r="B1126" s="38" t="s">
        <v>1486</v>
      </c>
      <c r="C1126" s="11" t="s">
        <v>884</v>
      </c>
      <c r="D1126" s="14">
        <v>1</v>
      </c>
      <c r="E1126" s="285">
        <v>10500000</v>
      </c>
      <c r="F1126" s="56">
        <v>10500000</v>
      </c>
      <c r="G1126" s="13" t="s">
        <v>808</v>
      </c>
      <c r="H1126" s="13" t="s">
        <v>716</v>
      </c>
      <c r="I1126" s="13" t="s">
        <v>707</v>
      </c>
      <c r="J1126" s="295"/>
      <c r="K1126" s="56">
        <v>10500000</v>
      </c>
      <c r="L1126" s="14"/>
      <c r="M1126" s="14"/>
      <c r="N1126" s="14"/>
      <c r="O1126" s="14"/>
      <c r="P1126" s="14"/>
      <c r="Q1126" s="14"/>
      <c r="R1126" s="14"/>
    </row>
    <row r="1127" ht="15.75" spans="1:18">
      <c r="A1127" s="133"/>
      <c r="B1127" s="38" t="s">
        <v>1487</v>
      </c>
      <c r="C1127" s="11" t="s">
        <v>783</v>
      </c>
      <c r="D1127" s="14">
        <v>2</v>
      </c>
      <c r="E1127" s="285">
        <v>17270000</v>
      </c>
      <c r="F1127" s="56">
        <v>34540000</v>
      </c>
      <c r="G1127" s="13" t="s">
        <v>808</v>
      </c>
      <c r="H1127" s="13" t="s">
        <v>716</v>
      </c>
      <c r="I1127" s="13" t="s">
        <v>707</v>
      </c>
      <c r="J1127" s="14"/>
      <c r="K1127" s="56">
        <v>34540000</v>
      </c>
      <c r="L1127" s="14"/>
      <c r="M1127" s="14"/>
      <c r="N1127" s="14"/>
      <c r="O1127" s="14"/>
      <c r="P1127" s="14"/>
      <c r="Q1127" s="14"/>
      <c r="R1127" s="14"/>
    </row>
    <row r="1128" ht="15.75" spans="1:18">
      <c r="A1128" s="133"/>
      <c r="B1128" s="15" t="s">
        <v>1488</v>
      </c>
      <c r="C1128" s="11"/>
      <c r="D1128" s="14"/>
      <c r="E1128" s="285"/>
      <c r="F1128" s="56">
        <v>2450000</v>
      </c>
      <c r="G1128" s="13" t="s">
        <v>808</v>
      </c>
      <c r="H1128" s="13" t="s">
        <v>716</v>
      </c>
      <c r="I1128" s="13" t="s">
        <v>707</v>
      </c>
      <c r="J1128" s="14"/>
      <c r="K1128" s="56">
        <v>2450000</v>
      </c>
      <c r="L1128" s="14"/>
      <c r="M1128" s="14"/>
      <c r="N1128" s="14"/>
      <c r="O1128" s="14"/>
      <c r="P1128" s="14"/>
      <c r="Q1128" s="14"/>
      <c r="R1128" s="14"/>
    </row>
    <row r="1129" ht="15.75" spans="1:18">
      <c r="A1129" s="133"/>
      <c r="B1129" s="15" t="s">
        <v>1489</v>
      </c>
      <c r="C1129" s="11"/>
      <c r="D1129" s="14"/>
      <c r="E1129" s="285"/>
      <c r="F1129" s="56">
        <v>1300000</v>
      </c>
      <c r="G1129" s="13" t="s">
        <v>1490</v>
      </c>
      <c r="H1129" s="13" t="s">
        <v>716</v>
      </c>
      <c r="I1129" s="13" t="s">
        <v>707</v>
      </c>
      <c r="J1129" s="14"/>
      <c r="K1129" s="56">
        <v>1300000</v>
      </c>
      <c r="L1129" s="14"/>
      <c r="M1129" s="14"/>
      <c r="N1129" s="14"/>
      <c r="O1129" s="14"/>
      <c r="P1129" s="14"/>
      <c r="Q1129" s="14"/>
      <c r="R1129" s="14"/>
    </row>
    <row r="1130" ht="15.75" spans="1:18">
      <c r="A1130" s="133"/>
      <c r="C1130" s="11"/>
      <c r="D1130" s="14"/>
      <c r="E1130" s="285"/>
      <c r="F1130" s="56"/>
      <c r="G1130" s="13"/>
      <c r="H1130" s="13"/>
      <c r="I1130" s="13"/>
      <c r="J1130" s="14"/>
      <c r="K1130" s="56"/>
      <c r="L1130" s="14"/>
      <c r="M1130" s="14"/>
      <c r="N1130" s="14"/>
      <c r="O1130" s="14"/>
      <c r="P1130" s="14"/>
      <c r="Q1130" s="14"/>
      <c r="R1130" s="14"/>
    </row>
    <row r="1131" ht="15.75" spans="1:18">
      <c r="A1131" s="133"/>
      <c r="B1131" s="15"/>
      <c r="C1131" s="11"/>
      <c r="D1131" s="14"/>
      <c r="E1131" s="285"/>
      <c r="F1131" s="56"/>
      <c r="G1131" s="13"/>
      <c r="H1131" s="13"/>
      <c r="I1131" s="13"/>
      <c r="J1131" s="14"/>
      <c r="K1131" s="56"/>
      <c r="L1131" s="14"/>
      <c r="M1131" s="14"/>
      <c r="N1131" s="14"/>
      <c r="O1131" s="14"/>
      <c r="P1131" s="14"/>
      <c r="Q1131" s="14"/>
      <c r="R1131" s="14"/>
    </row>
    <row r="1132" ht="15.75" spans="1:18">
      <c r="A1132" s="133"/>
      <c r="B1132" s="15"/>
      <c r="C1132" s="11"/>
      <c r="D1132" s="14"/>
      <c r="E1132" s="285"/>
      <c r="F1132" s="14"/>
      <c r="G1132" s="13"/>
      <c r="H1132" s="13"/>
      <c r="I1132" s="13"/>
      <c r="J1132" s="14"/>
      <c r="K1132" s="14"/>
      <c r="L1132" s="14"/>
      <c r="M1132" s="14"/>
      <c r="N1132" s="14"/>
      <c r="O1132" s="14"/>
      <c r="P1132" s="14"/>
      <c r="Q1132" s="14"/>
      <c r="R1132" s="14"/>
    </row>
    <row r="1133" ht="15.75" spans="1:18">
      <c r="A1133" s="133"/>
      <c r="B1133" s="290" t="s">
        <v>22</v>
      </c>
      <c r="C1133" s="11"/>
      <c r="D1133" s="14"/>
      <c r="E1133" s="285"/>
      <c r="F1133" s="126">
        <f>SUM(F1125:F1132)</f>
        <v>50790000</v>
      </c>
      <c r="G1133" s="13"/>
      <c r="H1133" s="13"/>
      <c r="I1133" s="13"/>
      <c r="J1133" s="14"/>
      <c r="K1133" s="14"/>
      <c r="L1133" s="14"/>
      <c r="M1133" s="14"/>
      <c r="N1133" s="14"/>
      <c r="O1133" s="14"/>
      <c r="P1133" s="14"/>
      <c r="Q1133" s="14"/>
      <c r="R1133" s="14"/>
    </row>
    <row r="1134" ht="15.75" spans="1:18">
      <c r="A1134" s="133"/>
      <c r="B1134" s="11"/>
      <c r="C1134" s="11"/>
      <c r="D1134" s="14"/>
      <c r="E1134" s="291"/>
      <c r="F1134" s="14"/>
      <c r="G1134" s="13"/>
      <c r="H1134" s="13"/>
      <c r="I1134" s="13"/>
      <c r="J1134" s="14"/>
      <c r="K1134" s="14"/>
      <c r="L1134" s="14"/>
      <c r="M1134" s="14"/>
      <c r="N1134" s="14"/>
      <c r="O1134" s="14"/>
      <c r="P1134" s="14"/>
      <c r="Q1134" s="14"/>
      <c r="R1134" s="14"/>
    </row>
    <row r="1135" ht="15.75" spans="1:18">
      <c r="A1135" s="133"/>
      <c r="B1135" s="15"/>
      <c r="C1135" s="11"/>
      <c r="D1135" s="14"/>
      <c r="E1135" s="285"/>
      <c r="F1135" s="14"/>
      <c r="G1135" s="13"/>
      <c r="H1135" s="13"/>
      <c r="I1135" s="13"/>
      <c r="J1135" s="14"/>
      <c r="K1135" s="14"/>
      <c r="L1135" s="14"/>
      <c r="M1135" s="14"/>
      <c r="N1135" s="14"/>
      <c r="O1135" s="14"/>
      <c r="P1135" s="14"/>
      <c r="Q1135" s="14"/>
      <c r="R1135" s="14"/>
    </row>
    <row r="1136" ht="15.75" spans="1:18">
      <c r="A1136" s="133"/>
      <c r="C1136" s="11"/>
      <c r="D1136" s="14"/>
      <c r="E1136" s="285"/>
      <c r="F1136" s="14"/>
      <c r="G1136" s="13"/>
      <c r="H1136" s="13"/>
      <c r="I1136" s="13"/>
      <c r="J1136" s="14"/>
      <c r="K1136" s="14"/>
      <c r="L1136" s="14"/>
      <c r="M1136" s="14"/>
      <c r="N1136" s="14"/>
      <c r="O1136" s="14"/>
      <c r="P1136" s="14"/>
      <c r="Q1136" s="14"/>
      <c r="R1136" s="14"/>
    </row>
    <row r="1137" ht="15.75" spans="1:18">
      <c r="A1137" s="133"/>
      <c r="B1137" s="38"/>
      <c r="C1137" s="11"/>
      <c r="D1137" s="14"/>
      <c r="E1137" s="115"/>
      <c r="F1137" s="115"/>
      <c r="G1137" s="115"/>
      <c r="H1137" s="115"/>
      <c r="I1137" s="115"/>
      <c r="J1137" s="115"/>
      <c r="K1137" s="14"/>
      <c r="L1137" s="14"/>
      <c r="M1137" s="14"/>
      <c r="N1137" s="14"/>
      <c r="O1137" s="14"/>
      <c r="P1137" s="14"/>
      <c r="Q1137" s="14"/>
      <c r="R1137" s="14"/>
    </row>
    <row r="1138" ht="15.75" spans="1:18">
      <c r="A1138" s="133"/>
      <c r="B1138" s="290" t="s">
        <v>722</v>
      </c>
      <c r="C1138" s="11"/>
      <c r="D1138" s="14"/>
      <c r="E1138" s="115"/>
      <c r="F1138" s="115"/>
      <c r="G1138" s="115"/>
      <c r="H1138" s="115"/>
      <c r="I1138" s="115"/>
      <c r="J1138" s="115"/>
      <c r="K1138" s="14"/>
      <c r="L1138" s="14"/>
      <c r="M1138" s="14"/>
      <c r="N1138" s="14"/>
      <c r="O1138" s="14"/>
      <c r="P1138" s="14"/>
      <c r="Q1138" s="14"/>
      <c r="R1138" s="14"/>
    </row>
    <row r="1139" ht="15.75" spans="1:18">
      <c r="A1139" s="133"/>
      <c r="B1139" s="11" t="s">
        <v>726</v>
      </c>
      <c r="C1139" s="11"/>
      <c r="D1139" s="14">
        <v>1</v>
      </c>
      <c r="E1139" s="285">
        <v>24000000</v>
      </c>
      <c r="F1139" s="285">
        <v>24000000</v>
      </c>
      <c r="G1139" s="13" t="s">
        <v>724</v>
      </c>
      <c r="H1139" s="13" t="s">
        <v>716</v>
      </c>
      <c r="I1139" s="13" t="s">
        <v>707</v>
      </c>
      <c r="J1139" s="14"/>
      <c r="K1139" s="14"/>
      <c r="L1139" s="14"/>
      <c r="M1139" s="14"/>
      <c r="N1139" s="14"/>
      <c r="O1139" s="285">
        <v>24000000</v>
      </c>
      <c r="P1139" s="14"/>
      <c r="Q1139" s="14"/>
      <c r="R1139" s="14"/>
    </row>
    <row r="1140" ht="15.75" spans="1:18">
      <c r="A1140" s="133"/>
      <c r="B1140" s="32" t="s">
        <v>728</v>
      </c>
      <c r="C1140" s="11"/>
      <c r="D1140" s="14">
        <v>1</v>
      </c>
      <c r="E1140" s="169">
        <v>6000000</v>
      </c>
      <c r="F1140" s="169">
        <v>6000000</v>
      </c>
      <c r="G1140" s="35" t="s">
        <v>35</v>
      </c>
      <c r="H1140" s="13" t="s">
        <v>716</v>
      </c>
      <c r="I1140" s="13" t="s">
        <v>707</v>
      </c>
      <c r="J1140" s="73"/>
      <c r="K1140" s="73"/>
      <c r="L1140" s="14"/>
      <c r="M1140" s="169">
        <v>6000000</v>
      </c>
      <c r="N1140" s="14"/>
      <c r="O1140" s="14"/>
      <c r="P1140" s="14"/>
      <c r="Q1140" s="14"/>
      <c r="R1140" s="14"/>
    </row>
    <row r="1141" ht="15.75" spans="1:18">
      <c r="A1141" s="57">
        <v>2</v>
      </c>
      <c r="B1141" s="11" t="s">
        <v>733</v>
      </c>
      <c r="C1141" s="92" t="s">
        <v>1491</v>
      </c>
      <c r="D1141" s="60">
        <v>1</v>
      </c>
      <c r="E1141" s="162">
        <v>45840000</v>
      </c>
      <c r="F1141" s="292">
        <f>D1141*E1141</f>
        <v>45840000</v>
      </c>
      <c r="G1141" s="92" t="s">
        <v>1492</v>
      </c>
      <c r="H1141" s="13" t="s">
        <v>716</v>
      </c>
      <c r="I1141" s="13" t="s">
        <v>707</v>
      </c>
      <c r="J1141" s="14"/>
      <c r="K1141" s="14"/>
      <c r="L1141" s="14"/>
      <c r="M1141" s="14"/>
      <c r="N1141" s="14"/>
      <c r="O1141" s="162">
        <v>45840000</v>
      </c>
      <c r="P1141" s="14"/>
      <c r="Q1141" s="14"/>
      <c r="R1141" s="14"/>
    </row>
    <row r="1142" ht="31.5" spans="1:18">
      <c r="A1142" s="57">
        <v>5</v>
      </c>
      <c r="B1142" s="163" t="s">
        <v>1493</v>
      </c>
      <c r="C1142" s="92" t="s">
        <v>1491</v>
      </c>
      <c r="D1142" s="60">
        <v>1</v>
      </c>
      <c r="E1142" s="293">
        <v>70707676</v>
      </c>
      <c r="F1142" s="292">
        <f>D1142*E1142</f>
        <v>70707676</v>
      </c>
      <c r="G1142" s="92" t="s">
        <v>1492</v>
      </c>
      <c r="H1142" s="13" t="s">
        <v>716</v>
      </c>
      <c r="I1142" s="13" t="s">
        <v>707</v>
      </c>
      <c r="J1142" s="14"/>
      <c r="K1142" s="14"/>
      <c r="L1142" s="14"/>
      <c r="M1142" s="14"/>
      <c r="N1142" s="14"/>
      <c r="O1142" s="293">
        <v>70707676</v>
      </c>
      <c r="P1142" s="14"/>
      <c r="Q1142" s="14"/>
      <c r="R1142" s="14"/>
    </row>
    <row r="1143" ht="31.5" spans="1:18">
      <c r="A1143" s="57">
        <v>6</v>
      </c>
      <c r="B1143" s="163" t="s">
        <v>1494</v>
      </c>
      <c r="C1143" s="92" t="s">
        <v>1491</v>
      </c>
      <c r="D1143" s="60">
        <v>1</v>
      </c>
      <c r="E1143" s="293">
        <v>14000000</v>
      </c>
      <c r="F1143" s="292">
        <f>E1143*D1143</f>
        <v>14000000</v>
      </c>
      <c r="G1143" s="92" t="s">
        <v>1492</v>
      </c>
      <c r="H1143" s="13" t="s">
        <v>716</v>
      </c>
      <c r="I1143" s="13" t="s">
        <v>707</v>
      </c>
      <c r="J1143" s="14"/>
      <c r="K1143" s="14"/>
      <c r="L1143" s="14"/>
      <c r="M1143" s="293">
        <v>14000000</v>
      </c>
      <c r="N1143" s="14"/>
      <c r="O1143" s="14"/>
      <c r="P1143" s="14"/>
      <c r="Q1143" s="14"/>
      <c r="R1143" s="14"/>
    </row>
    <row r="1144" ht="31.5" spans="1:18">
      <c r="A1144" s="57">
        <v>7</v>
      </c>
      <c r="B1144" s="163" t="s">
        <v>1495</v>
      </c>
      <c r="C1144" s="92" t="s">
        <v>1491</v>
      </c>
      <c r="D1144" s="60">
        <v>1</v>
      </c>
      <c r="E1144" s="293">
        <v>147000000</v>
      </c>
      <c r="F1144" s="292">
        <f>D1144*E1144</f>
        <v>147000000</v>
      </c>
      <c r="G1144" s="92" t="s">
        <v>1492</v>
      </c>
      <c r="H1144" s="13" t="s">
        <v>716</v>
      </c>
      <c r="I1144" s="13" t="s">
        <v>707</v>
      </c>
      <c r="J1144" s="14"/>
      <c r="K1144" s="14"/>
      <c r="L1144" s="14"/>
      <c r="M1144" s="14"/>
      <c r="N1144" s="14"/>
      <c r="O1144" s="293">
        <v>147000000</v>
      </c>
      <c r="P1144" s="14"/>
      <c r="Q1144" s="14"/>
      <c r="R1144" s="14"/>
    </row>
    <row r="1145" ht="31.5" spans="1:18">
      <c r="A1145" s="57">
        <v>8</v>
      </c>
      <c r="B1145" s="163" t="s">
        <v>1496</v>
      </c>
      <c r="C1145" s="92" t="s">
        <v>1491</v>
      </c>
      <c r="D1145" s="60">
        <v>1</v>
      </c>
      <c r="E1145" s="293">
        <v>120000000</v>
      </c>
      <c r="F1145" s="292">
        <f>D1145*E1145</f>
        <v>120000000</v>
      </c>
      <c r="G1145" s="92" t="s">
        <v>1492</v>
      </c>
      <c r="H1145" s="13" t="s">
        <v>716</v>
      </c>
      <c r="I1145" s="13" t="s">
        <v>707</v>
      </c>
      <c r="J1145" s="14"/>
      <c r="K1145" s="14"/>
      <c r="L1145" s="14"/>
      <c r="M1145" s="293">
        <v>120000000</v>
      </c>
      <c r="N1145" s="14"/>
      <c r="O1145" s="14"/>
      <c r="P1145" s="14"/>
      <c r="Q1145" s="14"/>
      <c r="R1145" s="14"/>
    </row>
    <row r="1146" ht="15.75" spans="1:18">
      <c r="A1146" s="57">
        <v>9</v>
      </c>
      <c r="B1146" s="163" t="s">
        <v>1497</v>
      </c>
      <c r="C1146" s="92" t="s">
        <v>1491</v>
      </c>
      <c r="D1146" s="60">
        <v>1</v>
      </c>
      <c r="E1146" s="293">
        <v>57000000</v>
      </c>
      <c r="F1146" s="292">
        <f>D1146*E1146</f>
        <v>57000000</v>
      </c>
      <c r="G1146" s="92" t="s">
        <v>1492</v>
      </c>
      <c r="H1146" s="13" t="s">
        <v>716</v>
      </c>
      <c r="I1146" s="13" t="s">
        <v>707</v>
      </c>
      <c r="J1146" s="14"/>
      <c r="K1146" s="14"/>
      <c r="L1146" s="14"/>
      <c r="M1146" s="14"/>
      <c r="N1146" s="14"/>
      <c r="O1146" s="14"/>
      <c r="P1146" s="14"/>
      <c r="Q1146" s="293">
        <v>57000000</v>
      </c>
      <c r="R1146" s="14"/>
    </row>
    <row r="1147" ht="15.75" spans="1:18">
      <c r="A1147" s="133"/>
      <c r="B1147" s="163" t="s">
        <v>1498</v>
      </c>
      <c r="C1147" s="11"/>
      <c r="D1147" s="14"/>
      <c r="E1147" s="170">
        <v>5000000</v>
      </c>
      <c r="F1147" s="170">
        <v>5000000</v>
      </c>
      <c r="G1147" s="11"/>
      <c r="H1147" s="13" t="s">
        <v>716</v>
      </c>
      <c r="I1147" s="13" t="s">
        <v>707</v>
      </c>
      <c r="J1147" s="14"/>
      <c r="K1147" s="14"/>
      <c r="L1147" s="14"/>
      <c r="M1147" s="170">
        <v>5000000</v>
      </c>
      <c r="N1147" s="14"/>
      <c r="O1147" s="14"/>
      <c r="P1147" s="14"/>
      <c r="Q1147" s="14"/>
      <c r="R1147" s="14"/>
    </row>
    <row r="1148" ht="15.75" spans="1:18">
      <c r="A1148" s="133"/>
      <c r="B1148" s="163" t="s">
        <v>1499</v>
      </c>
      <c r="C1148" s="16"/>
      <c r="D1148" s="17"/>
      <c r="E1148" s="96">
        <v>50000000</v>
      </c>
      <c r="F1148" s="96">
        <v>50000000</v>
      </c>
      <c r="G1148" s="16" t="s">
        <v>724</v>
      </c>
      <c r="H1148" s="13" t="s">
        <v>716</v>
      </c>
      <c r="I1148" s="13" t="s">
        <v>707</v>
      </c>
      <c r="J1148" s="245"/>
      <c r="K1148" s="69"/>
      <c r="L1148" s="68"/>
      <c r="M1148" s="96">
        <v>50000000</v>
      </c>
      <c r="N1148" s="68"/>
      <c r="O1148" s="69"/>
      <c r="P1148" s="68"/>
      <c r="Q1148" s="69"/>
      <c r="R1148" s="14"/>
    </row>
    <row r="1149" ht="31.5" spans="1:18">
      <c r="A1149" s="133"/>
      <c r="B1149" s="16" t="s">
        <v>1500</v>
      </c>
      <c r="C1149" s="11"/>
      <c r="D1149" s="20">
        <v>1</v>
      </c>
      <c r="E1149" s="170">
        <v>1000000</v>
      </c>
      <c r="F1149" s="170">
        <v>1000000</v>
      </c>
      <c r="G1149" s="11" t="s">
        <v>46</v>
      </c>
      <c r="H1149" s="13" t="s">
        <v>716</v>
      </c>
      <c r="I1149" s="13" t="s">
        <v>707</v>
      </c>
      <c r="J1149" s="14"/>
      <c r="K1149" s="14"/>
      <c r="L1149" s="20">
        <v>1</v>
      </c>
      <c r="M1149" s="170">
        <v>1000000</v>
      </c>
      <c r="N1149" s="14"/>
      <c r="O1149" s="14"/>
      <c r="P1149" s="14"/>
      <c r="Q1149" s="14"/>
      <c r="R1149" s="14"/>
    </row>
    <row r="1150" ht="15.75" spans="1:18">
      <c r="A1150" s="133"/>
      <c r="B1150" s="19" t="s">
        <v>1501</v>
      </c>
      <c r="C1150" s="11"/>
      <c r="D1150" s="20"/>
      <c r="E1150" s="170">
        <v>70000000</v>
      </c>
      <c r="F1150" s="170">
        <v>70000000</v>
      </c>
      <c r="G1150" s="11" t="s">
        <v>724</v>
      </c>
      <c r="H1150" s="13"/>
      <c r="I1150" s="13"/>
      <c r="J1150" s="14"/>
      <c r="K1150" s="14"/>
      <c r="L1150" s="20"/>
      <c r="M1150" s="170">
        <v>70000000</v>
      </c>
      <c r="N1150" s="14"/>
      <c r="O1150" s="170"/>
      <c r="P1150" s="14"/>
      <c r="Q1150" s="14"/>
      <c r="R1150" s="14"/>
    </row>
    <row r="1151" ht="15.75" spans="1:18">
      <c r="A1151" s="133"/>
      <c r="B1151" s="19" t="s">
        <v>1502</v>
      </c>
      <c r="C1151" s="11"/>
      <c r="D1151" s="20"/>
      <c r="E1151" s="170">
        <v>6000000</v>
      </c>
      <c r="F1151" s="170">
        <v>6000000</v>
      </c>
      <c r="G1151" s="11" t="s">
        <v>724</v>
      </c>
      <c r="H1151" s="13"/>
      <c r="I1151" s="13"/>
      <c r="J1151" s="14"/>
      <c r="K1151" s="14"/>
      <c r="L1151" s="20"/>
      <c r="M1151" s="14"/>
      <c r="N1151" s="14"/>
      <c r="O1151" s="170">
        <v>6000000</v>
      </c>
      <c r="P1151" s="14"/>
      <c r="Q1151" s="14"/>
      <c r="R1151" s="14"/>
    </row>
    <row r="1152" ht="15.75" spans="1:18">
      <c r="A1152" s="133"/>
      <c r="B1152" s="19" t="s">
        <v>1503</v>
      </c>
      <c r="C1152" s="11"/>
      <c r="D1152" s="20"/>
      <c r="E1152" s="294">
        <v>30000000</v>
      </c>
      <c r="F1152" s="294">
        <v>30000000</v>
      </c>
      <c r="G1152" s="11" t="s">
        <v>40</v>
      </c>
      <c r="H1152" s="13" t="s">
        <v>716</v>
      </c>
      <c r="I1152" s="13" t="s">
        <v>707</v>
      </c>
      <c r="J1152" s="14"/>
      <c r="K1152" s="14"/>
      <c r="L1152" s="20"/>
      <c r="M1152" s="14"/>
      <c r="N1152" s="14"/>
      <c r="O1152" s="294">
        <v>30000000</v>
      </c>
      <c r="P1152" s="14"/>
      <c r="Q1152" s="14"/>
      <c r="R1152" s="14"/>
    </row>
    <row r="1153" ht="15.75" spans="1:18">
      <c r="A1153" s="133"/>
      <c r="B1153" s="19" t="s">
        <v>1504</v>
      </c>
      <c r="C1153" s="11"/>
      <c r="D1153" s="20"/>
      <c r="E1153" s="294">
        <v>25000000</v>
      </c>
      <c r="F1153" s="294">
        <v>25000000</v>
      </c>
      <c r="G1153" s="11" t="s">
        <v>40</v>
      </c>
      <c r="H1153" s="13" t="s">
        <v>716</v>
      </c>
      <c r="I1153" s="13" t="s">
        <v>707</v>
      </c>
      <c r="J1153" s="14"/>
      <c r="K1153" s="14"/>
      <c r="L1153" s="20"/>
      <c r="M1153" s="14"/>
      <c r="N1153" s="14"/>
      <c r="O1153" s="294">
        <v>25000000</v>
      </c>
      <c r="P1153" s="14"/>
      <c r="Q1153" s="14"/>
      <c r="R1153" s="14"/>
    </row>
    <row r="1154" ht="15.75" spans="1:18">
      <c r="A1154" s="133"/>
      <c r="B1154" s="19" t="s">
        <v>1505</v>
      </c>
      <c r="C1154" s="11"/>
      <c r="D1154" s="20"/>
      <c r="E1154" s="294">
        <v>60000000</v>
      </c>
      <c r="F1154" s="294">
        <v>60000000</v>
      </c>
      <c r="G1154" s="11" t="s">
        <v>40</v>
      </c>
      <c r="H1154" s="13" t="s">
        <v>716</v>
      </c>
      <c r="I1154" s="13" t="s">
        <v>707</v>
      </c>
      <c r="J1154" s="14"/>
      <c r="K1154" s="14"/>
      <c r="L1154" s="20"/>
      <c r="M1154" s="14"/>
      <c r="N1154" s="14"/>
      <c r="O1154" s="294">
        <v>60000000</v>
      </c>
      <c r="P1154" s="14"/>
      <c r="Q1154" s="14"/>
      <c r="R1154" s="14"/>
    </row>
    <row r="1155" ht="15.75" spans="1:18">
      <c r="A1155" s="133"/>
      <c r="B1155" s="19" t="s">
        <v>1506</v>
      </c>
      <c r="C1155" s="11"/>
      <c r="D1155" s="20"/>
      <c r="E1155" s="294">
        <v>5000000</v>
      </c>
      <c r="F1155" s="294">
        <v>5000000</v>
      </c>
      <c r="G1155" s="11" t="s">
        <v>40</v>
      </c>
      <c r="H1155" s="13" t="s">
        <v>716</v>
      </c>
      <c r="I1155" s="13" t="s">
        <v>707</v>
      </c>
      <c r="J1155" s="14"/>
      <c r="K1155" s="14"/>
      <c r="L1155" s="20"/>
      <c r="M1155" s="14"/>
      <c r="N1155" s="14"/>
      <c r="O1155" s="294">
        <v>5000000</v>
      </c>
      <c r="P1155" s="14"/>
      <c r="Q1155" s="14"/>
      <c r="R1155" s="14"/>
    </row>
    <row r="1156" ht="15.75" spans="1:18">
      <c r="A1156" s="133"/>
      <c r="B1156" s="11" t="s">
        <v>731</v>
      </c>
      <c r="C1156" s="11"/>
      <c r="D1156" s="14">
        <v>1</v>
      </c>
      <c r="E1156" s="170">
        <v>500000</v>
      </c>
      <c r="F1156" s="170">
        <v>500000</v>
      </c>
      <c r="G1156" s="13" t="s">
        <v>40</v>
      </c>
      <c r="H1156" s="13" t="s">
        <v>716</v>
      </c>
      <c r="I1156" s="13" t="s">
        <v>707</v>
      </c>
      <c r="J1156" s="14"/>
      <c r="K1156" s="14"/>
      <c r="L1156" s="14"/>
      <c r="M1156" s="14"/>
      <c r="N1156" s="14"/>
      <c r="O1156" s="170">
        <v>500000</v>
      </c>
      <c r="P1156" s="14"/>
      <c r="Q1156" s="14"/>
      <c r="R1156" s="14"/>
    </row>
    <row r="1157" ht="15.75" spans="1:18">
      <c r="A1157" s="133"/>
      <c r="B1157" s="172" t="s">
        <v>1507</v>
      </c>
      <c r="C1157" s="11"/>
      <c r="D1157" s="20">
        <v>3</v>
      </c>
      <c r="E1157" s="19">
        <v>10000000</v>
      </c>
      <c r="F1157" s="19">
        <v>30000000</v>
      </c>
      <c r="G1157" s="19" t="s">
        <v>40</v>
      </c>
      <c r="H1157" s="13" t="s">
        <v>716</v>
      </c>
      <c r="I1157" s="13" t="s">
        <v>707</v>
      </c>
      <c r="J1157" s="20"/>
      <c r="K1157" s="56"/>
      <c r="L1157" s="20"/>
      <c r="M1157" s="14"/>
      <c r="N1157" s="20"/>
      <c r="O1157" s="19">
        <v>30000000</v>
      </c>
      <c r="P1157" s="20"/>
      <c r="Q1157" s="14"/>
      <c r="R1157" s="14"/>
    </row>
    <row r="1158" ht="15.75" spans="1:18">
      <c r="A1158" s="133"/>
      <c r="B1158" s="19"/>
      <c r="C1158" s="11"/>
      <c r="D1158" s="14"/>
      <c r="E1158" s="11"/>
      <c r="F1158" s="11"/>
      <c r="G1158" s="11"/>
      <c r="H1158" s="13"/>
      <c r="I1158" s="13"/>
      <c r="J1158" s="14"/>
      <c r="K1158" s="14"/>
      <c r="L1158" s="14"/>
      <c r="M1158" s="14"/>
      <c r="N1158" s="14"/>
      <c r="O1158" s="14"/>
      <c r="P1158" s="14"/>
      <c r="Q1158" s="14"/>
      <c r="R1158" s="14"/>
    </row>
    <row r="1159" ht="15.75" spans="1:18">
      <c r="A1159" s="133"/>
      <c r="B1159" s="19"/>
      <c r="C1159" s="11"/>
      <c r="D1159" s="14"/>
      <c r="E1159" s="11"/>
      <c r="F1159" s="11"/>
      <c r="G1159" s="11"/>
      <c r="H1159" s="13"/>
      <c r="I1159" s="13"/>
      <c r="J1159" s="14"/>
      <c r="K1159" s="14"/>
      <c r="L1159" s="14"/>
      <c r="M1159" s="14"/>
      <c r="N1159" s="14"/>
      <c r="O1159" s="14"/>
      <c r="P1159" s="14"/>
      <c r="Q1159" s="14"/>
      <c r="R1159" s="14"/>
    </row>
    <row r="1160" ht="15.75" spans="1:18">
      <c r="A1160" s="133"/>
      <c r="B1160" s="11"/>
      <c r="C1160" s="11"/>
      <c r="D1160" s="14"/>
      <c r="E1160" s="11"/>
      <c r="F1160" s="11"/>
      <c r="G1160" s="11"/>
      <c r="H1160" s="13"/>
      <c r="I1160" s="13"/>
      <c r="J1160" s="14"/>
      <c r="K1160" s="14"/>
      <c r="L1160" s="14"/>
      <c r="M1160" s="14"/>
      <c r="N1160" s="14"/>
      <c r="O1160" s="14"/>
      <c r="P1160" s="14"/>
      <c r="Q1160" s="14"/>
      <c r="R1160" s="14"/>
    </row>
    <row r="1161" ht="15.75" spans="1:18">
      <c r="A1161" s="133"/>
      <c r="B1161" s="11"/>
      <c r="C1161" s="11"/>
      <c r="D1161" s="14"/>
      <c r="E1161" s="177"/>
      <c r="F1161" s="14">
        <f>SUM(F1139:F1160)</f>
        <v>767047676</v>
      </c>
      <c r="G1161" s="14"/>
      <c r="H1161" s="13"/>
      <c r="I1161" s="13"/>
      <c r="J1161" s="14"/>
      <c r="K1161" s="14">
        <f>SUM(K8:K1160)</f>
        <v>124825745</v>
      </c>
      <c r="L1161" s="14"/>
      <c r="M1161" s="14">
        <f>SUM(M8:M1160)</f>
        <v>356892410</v>
      </c>
      <c r="N1161" s="14"/>
      <c r="O1161" s="14">
        <f>SUM(O8:O1160)</f>
        <v>500617256</v>
      </c>
      <c r="P1161" s="14"/>
      <c r="Q1161" s="14">
        <f>SUM(Q8:Q1160)</f>
        <v>95194215</v>
      </c>
      <c r="R1161" s="14"/>
    </row>
    <row r="1162" ht="15.75" spans="1:18">
      <c r="A1162" s="133"/>
      <c r="B1162" s="11"/>
      <c r="C1162" s="133"/>
      <c r="D1162" s="133"/>
      <c r="E1162" s="133"/>
      <c r="F1162" s="133"/>
      <c r="G1162" s="133"/>
      <c r="H1162" s="133"/>
      <c r="I1162" s="133"/>
      <c r="J1162" s="133"/>
      <c r="K1162" s="133"/>
      <c r="L1162" s="133"/>
      <c r="M1162" s="133"/>
      <c r="N1162" s="133"/>
      <c r="O1162" s="133"/>
      <c r="P1162" s="133"/>
      <c r="Q1162" s="133"/>
      <c r="R1162" s="133"/>
    </row>
    <row r="1163" ht="15.75" spans="1:18">
      <c r="A1163" s="133"/>
      <c r="B1163" s="38" t="s">
        <v>22</v>
      </c>
      <c r="C1163" s="133"/>
      <c r="D1163" s="133"/>
      <c r="E1163" s="133"/>
      <c r="F1163" s="133"/>
      <c r="G1163" s="133"/>
      <c r="H1163" s="133"/>
      <c r="I1163" s="133"/>
      <c r="J1163" s="133"/>
      <c r="K1163" s="133"/>
      <c r="L1163" s="133"/>
      <c r="M1163" s="133"/>
      <c r="N1163" s="133"/>
      <c r="O1163" s="133"/>
      <c r="P1163" s="133"/>
      <c r="Q1163" s="133"/>
      <c r="R1163" s="133"/>
    </row>
    <row r="1164" ht="15.75" spans="1:18">
      <c r="A1164" s="133"/>
      <c r="B1164" s="133"/>
      <c r="C1164" s="133"/>
      <c r="D1164" s="133" t="s">
        <v>735</v>
      </c>
      <c r="E1164" s="133" t="s">
        <v>1313</v>
      </c>
      <c r="F1164" s="133"/>
      <c r="G1164" s="133"/>
      <c r="H1164" s="133"/>
      <c r="I1164" s="133"/>
      <c r="J1164" s="133"/>
      <c r="K1164" s="133"/>
      <c r="L1164" s="133"/>
      <c r="M1164" s="133"/>
      <c r="N1164" s="133"/>
      <c r="O1164" s="133"/>
      <c r="P1164" s="133"/>
      <c r="Q1164" s="133"/>
      <c r="R1164" s="133"/>
    </row>
    <row r="1165" ht="15.75" spans="1:18">
      <c r="A1165" s="133">
        <v>1</v>
      </c>
      <c r="B1165" s="133"/>
      <c r="C1165" s="133"/>
      <c r="E1165" s="133"/>
      <c r="F1165" s="133"/>
      <c r="G1165" s="133"/>
      <c r="H1165" s="133"/>
      <c r="I1165" s="133"/>
      <c r="J1165" s="133"/>
      <c r="K1165" s="133"/>
      <c r="L1165" s="133"/>
      <c r="M1165" s="133"/>
      <c r="N1165" s="133"/>
      <c r="O1165" s="133"/>
      <c r="P1165" s="133"/>
      <c r="Q1165" s="133"/>
      <c r="R1165" s="133"/>
    </row>
    <row r="1166" ht="15.75" spans="1:18">
      <c r="A1166" s="133">
        <v>2</v>
      </c>
      <c r="B1166" s="278" t="s">
        <v>734</v>
      </c>
      <c r="C1166" s="133"/>
      <c r="D1166" s="133"/>
      <c r="E1166" s="297"/>
      <c r="F1166" s="133"/>
      <c r="G1166" s="133"/>
      <c r="H1166" s="133"/>
      <c r="I1166" s="133"/>
      <c r="J1166" s="133"/>
      <c r="K1166" s="133"/>
      <c r="L1166" s="133"/>
      <c r="M1166" s="133"/>
      <c r="N1166" s="133"/>
      <c r="O1166" s="133"/>
      <c r="P1166" s="133"/>
      <c r="Q1166" s="133"/>
      <c r="R1166" s="133"/>
    </row>
    <row r="1167" ht="15.75" spans="1:18">
      <c r="A1167" s="133">
        <v>3</v>
      </c>
      <c r="B1167" s="133" t="s">
        <v>736</v>
      </c>
      <c r="C1167" s="133"/>
      <c r="D1167" s="133"/>
      <c r="E1167" s="297">
        <v>7136500</v>
      </c>
      <c r="F1167" s="133"/>
      <c r="G1167" s="133"/>
      <c r="H1167" s="133"/>
      <c r="I1167" s="133"/>
      <c r="J1167" s="133"/>
      <c r="K1167" s="133"/>
      <c r="L1167" s="133"/>
      <c r="M1167" s="133"/>
      <c r="N1167" s="133"/>
      <c r="O1167" s="133"/>
      <c r="P1167" s="133"/>
      <c r="Q1167" s="133"/>
      <c r="R1167" s="133"/>
    </row>
    <row r="1168" ht="15.75" spans="1:18">
      <c r="A1168" s="133">
        <v>4</v>
      </c>
      <c r="B1168" s="133" t="s">
        <v>737</v>
      </c>
      <c r="C1168" s="133"/>
      <c r="D1168" s="133"/>
      <c r="E1168" s="297">
        <v>805000</v>
      </c>
      <c r="F1168" s="133"/>
      <c r="G1168" s="133"/>
      <c r="H1168" s="133"/>
      <c r="I1168" s="133"/>
      <c r="J1168" s="133"/>
      <c r="K1168" s="133"/>
      <c r="L1168" s="133"/>
      <c r="M1168" s="133"/>
      <c r="N1168" s="133"/>
      <c r="O1168" s="133"/>
      <c r="P1168" s="133"/>
      <c r="Q1168" s="133"/>
      <c r="R1168" s="133"/>
    </row>
    <row r="1169" ht="15.75" spans="1:18">
      <c r="A1169" s="133">
        <v>5</v>
      </c>
      <c r="B1169" s="133" t="s">
        <v>738</v>
      </c>
      <c r="C1169" s="133"/>
      <c r="D1169" s="133"/>
      <c r="E1169" s="297">
        <v>331200</v>
      </c>
      <c r="F1169" s="133"/>
      <c r="G1169" s="133"/>
      <c r="H1169" s="133"/>
      <c r="I1169" s="133"/>
      <c r="J1169" s="133"/>
      <c r="K1169" s="133"/>
      <c r="L1169" s="133"/>
      <c r="M1169" s="133"/>
      <c r="N1169" s="133"/>
      <c r="O1169" s="133"/>
      <c r="P1169" s="133"/>
      <c r="Q1169" s="133"/>
      <c r="R1169" s="133"/>
    </row>
    <row r="1170" ht="15.75" spans="1:18">
      <c r="A1170" s="133">
        <v>6</v>
      </c>
      <c r="B1170" s="133" t="s">
        <v>811</v>
      </c>
      <c r="C1170" s="133"/>
      <c r="D1170" s="133"/>
      <c r="E1170" s="297">
        <v>6180000</v>
      </c>
      <c r="F1170" s="133"/>
      <c r="G1170" s="133"/>
      <c r="H1170" s="133"/>
      <c r="I1170" s="133"/>
      <c r="J1170" s="133"/>
      <c r="K1170" s="133"/>
      <c r="L1170" s="133"/>
      <c r="M1170" s="133"/>
      <c r="N1170" s="133"/>
      <c r="O1170" s="133"/>
      <c r="P1170" s="133"/>
      <c r="Q1170" s="133"/>
      <c r="R1170" s="133"/>
    </row>
    <row r="1171" ht="15.75" spans="1:18">
      <c r="A1171" s="133">
        <v>7</v>
      </c>
      <c r="B1171" s="133" t="s">
        <v>740</v>
      </c>
      <c r="C1171" s="133"/>
      <c r="D1171" s="133"/>
      <c r="E1171" s="297">
        <v>532550</v>
      </c>
      <c r="F1171" s="133"/>
      <c r="G1171" s="133"/>
      <c r="H1171" s="133"/>
      <c r="I1171" s="133"/>
      <c r="J1171" s="133"/>
      <c r="K1171" s="133"/>
      <c r="L1171" s="133"/>
      <c r="M1171" s="133"/>
      <c r="N1171" s="133"/>
      <c r="O1171" s="133"/>
      <c r="P1171" s="133"/>
      <c r="Q1171" s="133"/>
      <c r="R1171" s="133"/>
    </row>
    <row r="1172" ht="15.75" spans="1:18">
      <c r="A1172" s="133">
        <v>8</v>
      </c>
      <c r="B1172" s="133" t="s">
        <v>95</v>
      </c>
      <c r="C1172" s="133"/>
      <c r="D1172" s="133"/>
      <c r="E1172" s="297">
        <v>13250000</v>
      </c>
      <c r="F1172" s="298"/>
      <c r="G1172" s="133"/>
      <c r="H1172" s="133"/>
      <c r="I1172" s="133"/>
      <c r="J1172" s="133"/>
      <c r="K1172" s="133"/>
      <c r="L1172" s="133"/>
      <c r="M1172" s="133"/>
      <c r="N1172" s="133"/>
      <c r="O1172" s="133"/>
      <c r="P1172" s="133"/>
      <c r="Q1172" s="298"/>
      <c r="R1172" s="133"/>
    </row>
    <row r="1173" ht="15.75" spans="1:18">
      <c r="A1173" s="133">
        <v>9</v>
      </c>
      <c r="B1173" s="133" t="s">
        <v>741</v>
      </c>
      <c r="C1173" s="133"/>
      <c r="D1173" s="133"/>
      <c r="E1173" s="297">
        <v>6647500</v>
      </c>
      <c r="F1173" s="133"/>
      <c r="G1173" s="133"/>
      <c r="H1173" s="133"/>
      <c r="I1173" s="133"/>
      <c r="J1173" s="133"/>
      <c r="K1173" s="133"/>
      <c r="L1173" s="133"/>
      <c r="M1173" s="133"/>
      <c r="N1173" s="133"/>
      <c r="O1173" s="133"/>
      <c r="P1173" s="133"/>
      <c r="Q1173" s="133"/>
      <c r="R1173" s="133"/>
    </row>
    <row r="1174" ht="15.75" spans="1:17">
      <c r="A1174" s="133">
        <v>10</v>
      </c>
      <c r="B1174" s="133" t="s">
        <v>742</v>
      </c>
      <c r="C1174" s="133"/>
      <c r="D1174" s="133"/>
      <c r="E1174" s="297">
        <v>4000175</v>
      </c>
      <c r="F1174" s="133"/>
      <c r="G1174" s="133"/>
      <c r="H1174" s="133"/>
      <c r="I1174" s="133"/>
      <c r="J1174" s="133"/>
      <c r="K1174" s="133"/>
      <c r="L1174" s="133"/>
      <c r="M1174" s="133"/>
      <c r="N1174" s="133"/>
      <c r="O1174" s="133"/>
      <c r="P1174" s="133"/>
      <c r="Q1174" s="304"/>
    </row>
    <row r="1175" ht="15.75" spans="1:18">
      <c r="A1175" s="133">
        <v>11</v>
      </c>
      <c r="B1175" s="133" t="s">
        <v>743</v>
      </c>
      <c r="C1175" s="133"/>
      <c r="D1175" s="133"/>
      <c r="E1175" s="297">
        <v>1430000</v>
      </c>
      <c r="F1175" s="133"/>
      <c r="G1175" s="133"/>
      <c r="H1175" s="133"/>
      <c r="I1175" s="133"/>
      <c r="J1175" s="133"/>
      <c r="K1175" s="133"/>
      <c r="L1175" s="133"/>
      <c r="M1175" s="133"/>
      <c r="N1175" s="133"/>
      <c r="O1175" s="133"/>
      <c r="P1175" s="133"/>
      <c r="R1175" s="133"/>
    </row>
    <row r="1176" ht="15.75" spans="1:18">
      <c r="A1176" s="133">
        <v>12</v>
      </c>
      <c r="B1176" s="133" t="s">
        <v>744</v>
      </c>
      <c r="C1176" s="133"/>
      <c r="D1176" s="133"/>
      <c r="E1176" s="297">
        <v>962178</v>
      </c>
      <c r="F1176" s="133"/>
      <c r="G1176" s="133"/>
      <c r="H1176" s="133"/>
      <c r="I1176" s="133"/>
      <c r="J1176" s="133"/>
      <c r="K1176" s="133"/>
      <c r="L1176" s="133"/>
      <c r="M1176" s="133"/>
      <c r="N1176" s="133"/>
      <c r="O1176" s="133"/>
      <c r="P1176" s="133"/>
      <c r="Q1176" s="133"/>
      <c r="R1176" s="133"/>
    </row>
    <row r="1177" ht="15.75" spans="1:18">
      <c r="A1177" s="133">
        <v>13</v>
      </c>
      <c r="B1177" s="133" t="s">
        <v>745</v>
      </c>
      <c r="C1177" s="133"/>
      <c r="D1177" s="133"/>
      <c r="E1177" s="297">
        <v>1975000</v>
      </c>
      <c r="F1177" s="133"/>
      <c r="G1177" s="133"/>
      <c r="H1177" s="133"/>
      <c r="I1177" s="133"/>
      <c r="J1177" s="133"/>
      <c r="K1177" s="133"/>
      <c r="L1177" s="133"/>
      <c r="M1177" s="133"/>
      <c r="N1177" s="133"/>
      <c r="O1177" s="133"/>
      <c r="P1177" s="133"/>
      <c r="Q1177" s="133"/>
      <c r="R1177" s="133"/>
    </row>
    <row r="1178" ht="31.5" spans="1:18">
      <c r="A1178" s="133">
        <v>14</v>
      </c>
      <c r="B1178" s="287" t="s">
        <v>1508</v>
      </c>
      <c r="C1178" s="133"/>
      <c r="D1178" s="133"/>
      <c r="E1178" s="297">
        <v>1346500</v>
      </c>
      <c r="F1178" s="133"/>
      <c r="G1178" s="133"/>
      <c r="H1178" s="133"/>
      <c r="I1178" s="133"/>
      <c r="J1178" s="133"/>
      <c r="K1178" s="133"/>
      <c r="L1178" s="133"/>
      <c r="M1178" s="133"/>
      <c r="N1178" s="133"/>
      <c r="O1178" s="133"/>
      <c r="P1178" s="133"/>
      <c r="Q1178"/>
      <c r="R1178" s="133"/>
    </row>
    <row r="1179" ht="15.75" spans="1:18">
      <c r="A1179" s="133">
        <v>15</v>
      </c>
      <c r="B1179" s="133" t="s">
        <v>1509</v>
      </c>
      <c r="C1179" s="133"/>
      <c r="D1179" s="133"/>
      <c r="E1179" s="297">
        <v>3518200</v>
      </c>
      <c r="F1179" s="133"/>
      <c r="G1179" s="133"/>
      <c r="H1179" s="133"/>
      <c r="I1179" s="133"/>
      <c r="J1179" s="133"/>
      <c r="K1179" s="133"/>
      <c r="L1179" s="133"/>
      <c r="M1179" s="133"/>
      <c r="N1179" s="133"/>
      <c r="O1179" s="133"/>
      <c r="P1179" s="133"/>
      <c r="Q1179" s="133"/>
      <c r="R1179" s="133"/>
    </row>
    <row r="1180" ht="15.75" spans="1:18">
      <c r="A1180" s="133">
        <v>16</v>
      </c>
      <c r="B1180" s="133" t="s">
        <v>1510</v>
      </c>
      <c r="C1180" s="133"/>
      <c r="D1180" s="133"/>
      <c r="E1180" s="297">
        <v>232360</v>
      </c>
      <c r="F1180" s="133"/>
      <c r="G1180" s="133"/>
      <c r="H1180" s="133"/>
      <c r="I1180" s="133"/>
      <c r="J1180" s="133"/>
      <c r="K1180" s="133"/>
      <c r="L1180" s="133"/>
      <c r="M1180" s="133"/>
      <c r="N1180" s="133"/>
      <c r="O1180" s="133"/>
      <c r="P1180" s="133"/>
      <c r="Q1180" s="133"/>
      <c r="R1180" s="133"/>
    </row>
    <row r="1181" ht="15.75" spans="1:18">
      <c r="A1181" s="133">
        <v>17</v>
      </c>
      <c r="B1181" s="133" t="s">
        <v>1511</v>
      </c>
      <c r="C1181" s="133"/>
      <c r="D1181" s="133"/>
      <c r="E1181" s="297">
        <v>2340810</v>
      </c>
      <c r="F1181" s="133"/>
      <c r="G1181" s="133"/>
      <c r="H1181" s="133"/>
      <c r="I1181" s="133"/>
      <c r="J1181" s="133"/>
      <c r="K1181" s="133"/>
      <c r="L1181" s="133"/>
      <c r="M1181" s="133"/>
      <c r="N1181" s="133"/>
      <c r="O1181" s="133"/>
      <c r="P1181" s="133"/>
      <c r="Q1181" s="133"/>
      <c r="R1181" s="133"/>
    </row>
    <row r="1182" ht="15.75" spans="1:18">
      <c r="A1182" s="133">
        <v>18</v>
      </c>
      <c r="B1182" s="133" t="s">
        <v>1115</v>
      </c>
      <c r="C1182" s="133"/>
      <c r="D1182" s="133"/>
      <c r="E1182" s="299">
        <v>1200000</v>
      </c>
      <c r="F1182" s="133"/>
      <c r="G1182" s="133"/>
      <c r="H1182" s="133"/>
      <c r="I1182" s="133"/>
      <c r="J1182" s="133"/>
      <c r="K1182" s="133"/>
      <c r="L1182" s="133"/>
      <c r="M1182" s="133"/>
      <c r="N1182" s="133"/>
      <c r="O1182" s="133"/>
      <c r="P1182" s="133"/>
      <c r="Q1182" s="133"/>
      <c r="R1182" s="133"/>
    </row>
    <row r="1183" ht="15.75" spans="1:18">
      <c r="A1183" s="133">
        <v>19</v>
      </c>
      <c r="B1183" s="133" t="s">
        <v>752</v>
      </c>
      <c r="C1183" s="133"/>
      <c r="D1183" s="133"/>
      <c r="E1183" s="297">
        <v>8289600</v>
      </c>
      <c r="F1183" s="133"/>
      <c r="G1183" s="133"/>
      <c r="H1183" s="133"/>
      <c r="I1183" s="133"/>
      <c r="J1183" s="133"/>
      <c r="K1183" s="133"/>
      <c r="L1183" s="133"/>
      <c r="M1183" s="133"/>
      <c r="N1183" s="133"/>
      <c r="O1183" s="133"/>
      <c r="P1183" s="133"/>
      <c r="Q1183" s="133"/>
      <c r="R1183" s="133"/>
    </row>
    <row r="1184" ht="15.75" spans="1:18">
      <c r="A1184" s="133">
        <v>20</v>
      </c>
      <c r="B1184" s="133" t="s">
        <v>1512</v>
      </c>
      <c r="C1184" s="133"/>
      <c r="D1184" s="133"/>
      <c r="E1184" s="297">
        <v>1791630</v>
      </c>
      <c r="F1184" s="133"/>
      <c r="G1184" s="133"/>
      <c r="H1184" s="133"/>
      <c r="I1184" s="133"/>
      <c r="J1184" s="133"/>
      <c r="K1184" s="133"/>
      <c r="L1184" s="133"/>
      <c r="M1184" s="133"/>
      <c r="N1184" s="133"/>
      <c r="O1184" s="133"/>
      <c r="P1184" s="133"/>
      <c r="Q1184" s="133"/>
      <c r="R1184" s="133"/>
    </row>
    <row r="1185" ht="15.75" spans="1:18">
      <c r="A1185" s="133">
        <v>21</v>
      </c>
      <c r="B1185" s="133" t="s">
        <v>1513</v>
      </c>
      <c r="C1185" s="133"/>
      <c r="D1185" s="133"/>
      <c r="E1185" s="297">
        <v>1734630</v>
      </c>
      <c r="F1185" s="133"/>
      <c r="G1185" s="133"/>
      <c r="H1185" s="133"/>
      <c r="I1185" s="133"/>
      <c r="J1185" s="133"/>
      <c r="K1185" s="133"/>
      <c r="L1185" s="133"/>
      <c r="M1185" s="133"/>
      <c r="N1185" s="133"/>
      <c r="O1185" s="133"/>
      <c r="P1185" s="133"/>
      <c r="Q1185" s="133"/>
      <c r="R1185" s="133"/>
    </row>
    <row r="1186" ht="15.75" spans="1:18">
      <c r="A1186" s="133">
        <v>22</v>
      </c>
      <c r="B1186" s="133" t="s">
        <v>1514</v>
      </c>
      <c r="C1186" s="133"/>
      <c r="D1186" s="133"/>
      <c r="E1186" s="297">
        <v>4105000</v>
      </c>
      <c r="F1186" s="133"/>
      <c r="G1186" s="133"/>
      <c r="H1186" s="133"/>
      <c r="I1186" s="133"/>
      <c r="J1186" s="133"/>
      <c r="K1186" s="133"/>
      <c r="L1186" s="133"/>
      <c r="M1186" s="133"/>
      <c r="N1186" s="133"/>
      <c r="O1186" s="133"/>
      <c r="P1186" s="133"/>
      <c r="Q1186" s="133"/>
      <c r="R1186" s="133"/>
    </row>
    <row r="1187" ht="15.75" spans="1:18">
      <c r="A1187" s="133">
        <v>23</v>
      </c>
      <c r="B1187" s="133" t="s">
        <v>1515</v>
      </c>
      <c r="C1187" s="133"/>
      <c r="D1187" s="133"/>
      <c r="E1187" s="297">
        <v>956400</v>
      </c>
      <c r="F1187" s="133"/>
      <c r="G1187" s="133"/>
      <c r="H1187" s="133"/>
      <c r="I1187" s="133"/>
      <c r="J1187" s="133"/>
      <c r="K1187" s="133"/>
      <c r="L1187" s="133"/>
      <c r="M1187" s="133"/>
      <c r="N1187" s="133"/>
      <c r="O1187" s="133"/>
      <c r="P1187" s="133"/>
      <c r="Q1187" s="133"/>
      <c r="R1187" s="133"/>
    </row>
    <row r="1188" ht="15.75" spans="1:18">
      <c r="A1188" s="133">
        <v>24</v>
      </c>
      <c r="B1188" s="133" t="s">
        <v>1264</v>
      </c>
      <c r="C1188" s="133"/>
      <c r="D1188" s="133"/>
      <c r="E1188" s="297">
        <v>498500</v>
      </c>
      <c r="F1188" s="133"/>
      <c r="G1188" s="133"/>
      <c r="H1188" s="133"/>
      <c r="I1188" s="133"/>
      <c r="J1188" s="133"/>
      <c r="K1188" s="133"/>
      <c r="L1188" s="133"/>
      <c r="M1188" s="133"/>
      <c r="N1188" s="133"/>
      <c r="O1188" s="133"/>
      <c r="P1188" s="133"/>
      <c r="Q1188" s="133"/>
      <c r="R1188" s="133"/>
    </row>
    <row r="1189" ht="15.75" spans="1:18">
      <c r="A1189" s="133">
        <v>25</v>
      </c>
      <c r="B1189" s="133" t="s">
        <v>1516</v>
      </c>
      <c r="C1189" s="133"/>
      <c r="D1189" s="133"/>
      <c r="E1189" s="297">
        <v>521570</v>
      </c>
      <c r="F1189" s="133"/>
      <c r="G1189" s="133"/>
      <c r="H1189" s="133"/>
      <c r="I1189" s="133"/>
      <c r="J1189" s="133"/>
      <c r="K1189" s="133"/>
      <c r="L1189" s="133"/>
      <c r="M1189" s="133"/>
      <c r="N1189" s="133"/>
      <c r="O1189" s="133"/>
      <c r="P1189" s="133"/>
      <c r="Q1189" s="133"/>
      <c r="R1189" s="133"/>
    </row>
    <row r="1190" ht="15.75" spans="1:18">
      <c r="A1190" s="133">
        <v>26</v>
      </c>
      <c r="B1190" s="133" t="s">
        <v>758</v>
      </c>
      <c r="C1190" s="133"/>
      <c r="D1190" s="133"/>
      <c r="E1190" s="297">
        <v>298000</v>
      </c>
      <c r="F1190" s="133"/>
      <c r="G1190" s="133"/>
      <c r="H1190" s="133"/>
      <c r="I1190" s="133"/>
      <c r="J1190" s="133"/>
      <c r="K1190" s="133"/>
      <c r="L1190" s="133"/>
      <c r="M1190" s="133"/>
      <c r="N1190" s="133"/>
      <c r="O1190" s="133"/>
      <c r="P1190" s="133"/>
      <c r="Q1190" s="133"/>
      <c r="R1190" s="133"/>
    </row>
    <row r="1191" ht="15.75" spans="1:18">
      <c r="A1191" s="133">
        <v>27</v>
      </c>
      <c r="B1191" s="133" t="s">
        <v>1517</v>
      </c>
      <c r="C1191" s="133"/>
      <c r="D1191" s="133"/>
      <c r="E1191" s="297">
        <v>329000</v>
      </c>
      <c r="F1191" s="133"/>
      <c r="G1191" s="133"/>
      <c r="H1191" s="133"/>
      <c r="I1191" s="133"/>
      <c r="J1191" s="133"/>
      <c r="K1191" s="133"/>
      <c r="L1191" s="133"/>
      <c r="M1191" s="133"/>
      <c r="N1191" s="133"/>
      <c r="O1191" s="133"/>
      <c r="P1191" s="133"/>
      <c r="Q1191" s="133"/>
      <c r="R1191" s="133"/>
    </row>
    <row r="1192" ht="15.75" spans="1:18">
      <c r="A1192" s="133">
        <v>28</v>
      </c>
      <c r="B1192" s="133" t="s">
        <v>1518</v>
      </c>
      <c r="C1192" s="133"/>
      <c r="D1192" s="133"/>
      <c r="E1192" s="297">
        <v>52790000</v>
      </c>
      <c r="F1192" s="133"/>
      <c r="G1192" s="133"/>
      <c r="H1192" s="133"/>
      <c r="I1192" s="133"/>
      <c r="J1192" s="133"/>
      <c r="K1192" s="133"/>
      <c r="L1192" s="133"/>
      <c r="M1192" s="133"/>
      <c r="N1192" s="133"/>
      <c r="O1192" s="133"/>
      <c r="P1192" s="133"/>
      <c r="Q1192" s="133"/>
      <c r="R1192" s="133"/>
    </row>
    <row r="1193" ht="15.75" spans="1:18">
      <c r="A1193" s="133">
        <v>29</v>
      </c>
      <c r="B1193" s="133" t="s">
        <v>1519</v>
      </c>
      <c r="C1193" s="133"/>
      <c r="D1193" s="300"/>
      <c r="E1193" s="297">
        <v>18250</v>
      </c>
      <c r="F1193" s="133"/>
      <c r="G1193" s="133"/>
      <c r="H1193" s="133"/>
      <c r="I1193" s="133"/>
      <c r="J1193" s="133"/>
      <c r="K1193" s="133"/>
      <c r="L1193" s="133"/>
      <c r="M1193" s="133"/>
      <c r="N1193" s="133"/>
      <c r="O1193" s="133"/>
      <c r="P1193" s="133"/>
      <c r="Q1193" s="133"/>
      <c r="R1193" s="133"/>
    </row>
    <row r="1194" ht="15.75" spans="1:18">
      <c r="A1194" s="133">
        <v>30</v>
      </c>
      <c r="B1194" s="133" t="s">
        <v>1520</v>
      </c>
      <c r="C1194" s="133"/>
      <c r="D1194" s="301"/>
      <c r="E1194" s="297">
        <v>2400000</v>
      </c>
      <c r="F1194" s="133"/>
      <c r="G1194" s="133"/>
      <c r="H1194" s="133"/>
      <c r="I1194" s="133"/>
      <c r="J1194" s="133"/>
      <c r="K1194" s="133"/>
      <c r="L1194" s="133"/>
      <c r="M1194" s="133"/>
      <c r="N1194" s="133"/>
      <c r="O1194" s="133"/>
      <c r="P1194" s="133"/>
      <c r="Q1194" s="133"/>
      <c r="R1194" s="133"/>
    </row>
    <row r="1195" ht="15.75" spans="1:18">
      <c r="A1195" s="133"/>
      <c r="B1195" s="133" t="s">
        <v>1322</v>
      </c>
      <c r="C1195" s="133"/>
      <c r="D1195" s="301"/>
      <c r="E1195" s="297">
        <v>1229000</v>
      </c>
      <c r="F1195" s="133"/>
      <c r="G1195" s="133"/>
      <c r="H1195" s="133"/>
      <c r="I1195" s="133"/>
      <c r="J1195" s="133"/>
      <c r="K1195" s="133"/>
      <c r="L1195" s="133"/>
      <c r="M1195" s="133"/>
      <c r="N1195" s="133"/>
      <c r="O1195" s="133"/>
      <c r="P1195" s="133"/>
      <c r="Q1195" s="133"/>
      <c r="R1195" s="133"/>
    </row>
    <row r="1196" ht="15.75" spans="1:18">
      <c r="A1196" s="133"/>
      <c r="B1196" s="133" t="s">
        <v>1521</v>
      </c>
      <c r="C1196" s="133"/>
      <c r="D1196" s="133"/>
      <c r="E1196" s="297">
        <v>36240000</v>
      </c>
      <c r="F1196" s="133"/>
      <c r="G1196" s="133"/>
      <c r="H1196" s="133"/>
      <c r="I1196" s="133"/>
      <c r="J1196" s="133"/>
      <c r="K1196" s="90"/>
      <c r="L1196" s="133"/>
      <c r="M1196" s="133"/>
      <c r="N1196" s="133"/>
      <c r="O1196" s="133"/>
      <c r="P1196" s="133"/>
      <c r="Q1196" s="133"/>
      <c r="R1196" s="133"/>
    </row>
    <row r="1197" ht="15.75" spans="1:18">
      <c r="A1197" s="133"/>
      <c r="B1197" s="278" t="s">
        <v>1349</v>
      </c>
      <c r="C1197" s="133"/>
      <c r="D1197" s="133"/>
      <c r="E1197" s="302">
        <v>9694500</v>
      </c>
      <c r="F1197" s="133"/>
      <c r="G1197" s="133"/>
      <c r="H1197" s="133"/>
      <c r="I1197" s="133"/>
      <c r="J1197" s="133"/>
      <c r="K1197" s="90"/>
      <c r="L1197" s="133"/>
      <c r="M1197" s="133"/>
      <c r="N1197" s="133"/>
      <c r="O1197" s="133"/>
      <c r="P1197" s="133"/>
      <c r="Q1197" s="133"/>
      <c r="R1197" s="133"/>
    </row>
    <row r="1198" ht="15.75" spans="1:18">
      <c r="A1198" s="133"/>
      <c r="B1198" s="133" t="s">
        <v>653</v>
      </c>
      <c r="C1198" s="133"/>
      <c r="D1198" s="90"/>
      <c r="E1198" s="302">
        <v>36412600</v>
      </c>
      <c r="F1198" s="133"/>
      <c r="G1198" s="133"/>
      <c r="H1198" s="133"/>
      <c r="I1198" s="133"/>
      <c r="J1198" s="133"/>
      <c r="L1198" s="133"/>
      <c r="M1198" s="133"/>
      <c r="N1198" s="133"/>
      <c r="O1198" s="133"/>
      <c r="P1198" s="133"/>
      <c r="Q1198" s="133"/>
      <c r="R1198" s="133"/>
    </row>
    <row r="1199" ht="15.75" spans="1:18">
      <c r="A1199" s="133"/>
      <c r="B1199" s="133" t="s">
        <v>679</v>
      </c>
      <c r="C1199" s="133"/>
      <c r="D1199" s="90"/>
      <c r="E1199" s="303">
        <v>320980</v>
      </c>
      <c r="F1199" s="90"/>
      <c r="G1199" s="90"/>
      <c r="H1199" s="90"/>
      <c r="I1199" s="90"/>
      <c r="J1199" s="90"/>
      <c r="L1199" s="133"/>
      <c r="M1199" s="90"/>
      <c r="N1199" s="133"/>
      <c r="O1199" s="133"/>
      <c r="P1199" s="133"/>
      <c r="Q1199" s="133"/>
      <c r="R1199" s="133"/>
    </row>
    <row r="1200" ht="15.75" spans="1:18">
      <c r="A1200" s="90"/>
      <c r="B1200" s="133" t="s">
        <v>1477</v>
      </c>
      <c r="C1200" s="90"/>
      <c r="E1200" s="303">
        <v>267000</v>
      </c>
      <c r="F1200" s="90"/>
      <c r="G1200" s="90"/>
      <c r="H1200" s="90"/>
      <c r="I1200" s="90"/>
      <c r="J1200" s="90"/>
      <c r="L1200" s="90"/>
      <c r="M1200" s="90"/>
      <c r="N1200" s="90"/>
      <c r="O1200" s="90"/>
      <c r="P1200" s="90"/>
      <c r="Q1200" s="90"/>
      <c r="R1200" s="90"/>
    </row>
    <row r="1201" ht="15.75" spans="1:18">
      <c r="A1201" s="90"/>
      <c r="B1201" s="90" t="s">
        <v>762</v>
      </c>
      <c r="C1201" s="90"/>
      <c r="E1201" s="303">
        <v>5120000</v>
      </c>
      <c r="L1201" s="90"/>
      <c r="N1201" s="90"/>
      <c r="O1201" s="90"/>
      <c r="P1201" s="90"/>
      <c r="Q1201" s="90"/>
      <c r="R1201" s="90"/>
    </row>
    <row r="1202" ht="15.75" spans="2:5">
      <c r="B1202" s="90" t="s">
        <v>1483</v>
      </c>
      <c r="E1202" s="303">
        <v>4643840</v>
      </c>
    </row>
    <row r="1203" spans="2:5">
      <c r="B1203" t="s">
        <v>1522</v>
      </c>
      <c r="E1203" s="303">
        <v>36160000</v>
      </c>
    </row>
    <row r="1204" ht="15.75" spans="2:5">
      <c r="B1204" s="133" t="s">
        <v>704</v>
      </c>
      <c r="E1204" s="303">
        <v>817837676</v>
      </c>
    </row>
    <row r="1205" ht="15.75" spans="2:2">
      <c r="B1205" s="278" t="s">
        <v>22</v>
      </c>
    </row>
    <row r="1206" ht="15.75" spans="2:17">
      <c r="B1206" s="133" t="s">
        <v>763</v>
      </c>
      <c r="E1206" s="303"/>
      <c r="Q1206" s="298"/>
    </row>
    <row r="1207" ht="15.75" spans="2:5">
      <c r="B1207" s="133" t="s">
        <v>764</v>
      </c>
      <c r="E1207" s="304">
        <f>SUM(E1167:E1206)</f>
        <v>1073546149</v>
      </c>
    </row>
    <row r="1210" spans="17:17">
      <c r="Q1210" s="305"/>
    </row>
  </sheetData>
  <mergeCells count="1">
    <mergeCell ref="J4:R4"/>
  </mergeCells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3" sqref="A3"/>
    </sheetView>
  </sheetViews>
  <sheetFormatPr defaultColWidth="9" defaultRowHeight="15"/>
  <sheetData/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PROCUREMENT PLAN 2022-2023</vt:lpstr>
      <vt:lpstr>procurement plan2023-2024</vt:lpstr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ipr</cp:lastModifiedBy>
  <dcterms:created xsi:type="dcterms:W3CDTF">2022-03-23T07:11:00Z</dcterms:created>
  <dcterms:modified xsi:type="dcterms:W3CDTF">2023-08-11T09:04:57Z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1033-11.2.0.11537</vt:lpwstr>
  </property>
  <property fmtid="{D5CDD505-2E9C-101B-9397-08002B2CF9AE}" pid="3" name="ICV">
    <vt:lpwstr>8FFB93FA6C764389826C749E0A1B64DD</vt:lpwstr>
  </property>
</Properties>
</file>