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-105" yWindow="-105" windowWidth="23250" windowHeight="12450" activeTab="1"/>
  </bookViews>
  <sheets>
    <sheet name="3 month procurement plan k-sric" sheetId="2" r:id="rId1"/>
    <sheet name="Annual procurement plan" sheetId="5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9" i="2" l="1"/>
  <c r="F214" i="2"/>
  <c r="F186" i="2"/>
  <c r="F179" i="2"/>
  <c r="F175" i="2"/>
  <c r="F155" i="2"/>
  <c r="F146" i="2"/>
  <c r="F98" i="2"/>
  <c r="F80" i="2"/>
  <c r="F67" i="2"/>
  <c r="F55" i="2"/>
  <c r="F40" i="2"/>
  <c r="F34" i="2"/>
  <c r="F13" i="2"/>
  <c r="U216" i="2"/>
  <c r="U217" i="2"/>
  <c r="U218" i="2"/>
  <c r="U219" i="2"/>
  <c r="U220" i="2"/>
  <c r="E329" i="2" l="1"/>
  <c r="E348" i="2"/>
  <c r="E341" i="2"/>
  <c r="U277" i="2"/>
  <c r="U271" i="2"/>
  <c r="U272" i="2"/>
  <c r="F220" i="2"/>
  <c r="F219" i="2"/>
  <c r="F218" i="2"/>
  <c r="F217" i="2"/>
  <c r="F216" i="2"/>
  <c r="F200" i="2"/>
  <c r="F199" i="2"/>
  <c r="F198" i="2"/>
  <c r="F197" i="2"/>
  <c r="F196" i="2"/>
  <c r="F195" i="2"/>
  <c r="F194" i="2"/>
  <c r="F193" i="2"/>
  <c r="F192" i="2"/>
  <c r="F191" i="2"/>
  <c r="U134" i="5" l="1"/>
  <c r="F134" i="5"/>
  <c r="U133" i="5"/>
  <c r="F133" i="5"/>
  <c r="U132" i="5"/>
  <c r="F132" i="5"/>
  <c r="F110" i="5"/>
  <c r="U110" i="5"/>
  <c r="F56" i="5"/>
  <c r="O63" i="5"/>
  <c r="F63" i="5"/>
  <c r="O62" i="5"/>
  <c r="F62" i="5"/>
  <c r="O61" i="5"/>
  <c r="F61" i="5"/>
  <c r="Q55" i="5"/>
  <c r="O55" i="5"/>
  <c r="F55" i="5"/>
  <c r="O54" i="5"/>
  <c r="F54" i="5"/>
  <c r="O53" i="5"/>
  <c r="F53" i="5"/>
  <c r="Q52" i="5"/>
  <c r="O52" i="5"/>
  <c r="F52" i="5"/>
  <c r="F79" i="2" l="1"/>
  <c r="U79" i="2"/>
  <c r="F78" i="2"/>
  <c r="U78" i="2"/>
  <c r="F77" i="2"/>
  <c r="U77" i="2"/>
  <c r="F76" i="2"/>
  <c r="U76" i="2"/>
  <c r="U48" i="5"/>
  <c r="F48" i="5"/>
  <c r="F216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69" i="5"/>
  <c r="F270" i="5"/>
  <c r="F271" i="5"/>
  <c r="F272" i="5"/>
  <c r="F273" i="5"/>
  <c r="F221" i="5"/>
  <c r="U291" i="2"/>
  <c r="F291" i="2"/>
  <c r="U290" i="2"/>
  <c r="F290" i="2"/>
  <c r="U289" i="2"/>
  <c r="F289" i="2"/>
  <c r="U288" i="2"/>
  <c r="F288" i="2"/>
  <c r="U287" i="2"/>
  <c r="F287" i="2"/>
  <c r="U286" i="2"/>
  <c r="F286" i="2"/>
  <c r="U285" i="2"/>
  <c r="F285" i="2"/>
  <c r="U478" i="5" l="1"/>
  <c r="F478" i="5"/>
  <c r="U451" i="5"/>
  <c r="U449" i="5"/>
  <c r="F449" i="5"/>
  <c r="U448" i="5"/>
  <c r="F448" i="5"/>
  <c r="U447" i="5"/>
  <c r="F447" i="5"/>
  <c r="U446" i="5"/>
  <c r="F446" i="5"/>
  <c r="U445" i="5"/>
  <c r="F445" i="5"/>
  <c r="U444" i="5"/>
  <c r="F444" i="5"/>
  <c r="U443" i="5"/>
  <c r="F443" i="5"/>
  <c r="U442" i="5"/>
  <c r="F442" i="5"/>
  <c r="U441" i="5"/>
  <c r="F441" i="5"/>
  <c r="U440" i="5"/>
  <c r="F440" i="5"/>
  <c r="U439" i="5"/>
  <c r="F439" i="5"/>
  <c r="U438" i="5"/>
  <c r="F438" i="5"/>
  <c r="U437" i="5"/>
  <c r="F437" i="5"/>
  <c r="U436" i="5"/>
  <c r="F436" i="5"/>
  <c r="U435" i="5"/>
  <c r="F435" i="5"/>
  <c r="U434" i="5"/>
  <c r="F434" i="5"/>
  <c r="U433" i="5"/>
  <c r="F433" i="5"/>
  <c r="U432" i="5"/>
  <c r="F432" i="5"/>
  <c r="U177" i="2"/>
  <c r="F173" i="2"/>
  <c r="U173" i="2"/>
  <c r="U172" i="2"/>
  <c r="U171" i="2"/>
  <c r="U170" i="2"/>
  <c r="U169" i="2"/>
  <c r="U168" i="2"/>
  <c r="F167" i="2"/>
  <c r="F168" i="2"/>
  <c r="F169" i="2"/>
  <c r="F170" i="2"/>
  <c r="F171" i="2"/>
  <c r="F172" i="2"/>
  <c r="U167" i="2"/>
  <c r="U166" i="2"/>
  <c r="F166" i="2"/>
  <c r="F165" i="2"/>
  <c r="U261" i="2" l="1"/>
  <c r="F261" i="2"/>
  <c r="U284" i="2" l="1"/>
  <c r="U298" i="2"/>
  <c r="F284" i="2"/>
  <c r="F294" i="2" s="1"/>
  <c r="U75" i="2"/>
  <c r="F75" i="2"/>
  <c r="U59" i="2"/>
  <c r="U60" i="2"/>
  <c r="U58" i="2"/>
  <c r="U47" i="5"/>
  <c r="S47" i="5"/>
  <c r="Q47" i="5"/>
  <c r="O47" i="5"/>
  <c r="F47" i="5"/>
  <c r="U46" i="5"/>
  <c r="S46" i="5"/>
  <c r="Q46" i="5"/>
  <c r="O46" i="5"/>
  <c r="F46" i="5"/>
  <c r="U45" i="5"/>
  <c r="S45" i="5"/>
  <c r="Q45" i="5"/>
  <c r="O45" i="5"/>
  <c r="F45" i="5"/>
  <c r="U44" i="5"/>
  <c r="S44" i="5"/>
  <c r="Q44" i="5"/>
  <c r="O44" i="5"/>
  <c r="U43" i="5"/>
  <c r="S43" i="5"/>
  <c r="Q43" i="5"/>
  <c r="O43" i="5"/>
  <c r="F43" i="5"/>
  <c r="U42" i="5"/>
  <c r="S42" i="5"/>
  <c r="Q42" i="5"/>
  <c r="O42" i="5"/>
  <c r="F42" i="5"/>
  <c r="U41" i="5"/>
  <c r="S41" i="5"/>
  <c r="Q41" i="5"/>
  <c r="O41" i="5"/>
  <c r="F41" i="5"/>
  <c r="U40" i="5"/>
  <c r="S40" i="5"/>
  <c r="Q40" i="5"/>
  <c r="O40" i="5"/>
  <c r="F40" i="5"/>
  <c r="F306" i="5"/>
  <c r="F305" i="5"/>
  <c r="F304" i="5"/>
  <c r="F303" i="5"/>
  <c r="F302" i="5"/>
  <c r="F301" i="5"/>
  <c r="F300" i="5"/>
  <c r="F299" i="5"/>
  <c r="U35" i="5"/>
  <c r="S35" i="5"/>
  <c r="Q35" i="5"/>
  <c r="O35" i="5"/>
  <c r="F35" i="5"/>
  <c r="U34" i="5"/>
  <c r="S34" i="5"/>
  <c r="Q34" i="5"/>
  <c r="O34" i="5"/>
  <c r="F34" i="5"/>
  <c r="U33" i="5"/>
  <c r="S33" i="5"/>
  <c r="Q33" i="5"/>
  <c r="O33" i="5"/>
  <c r="F33" i="5"/>
  <c r="U32" i="5"/>
  <c r="S32" i="5"/>
  <c r="Q32" i="5"/>
  <c r="O32" i="5"/>
  <c r="F32" i="5"/>
  <c r="U31" i="5"/>
  <c r="S31" i="5"/>
  <c r="Q31" i="5"/>
  <c r="O31" i="5"/>
  <c r="F31" i="5"/>
  <c r="U30" i="5"/>
  <c r="S30" i="5"/>
  <c r="Q30" i="5"/>
  <c r="O30" i="5"/>
  <c r="F30" i="5"/>
  <c r="U29" i="5"/>
  <c r="S29" i="5"/>
  <c r="Q29" i="5"/>
  <c r="O29" i="5"/>
  <c r="F29" i="5"/>
  <c r="U28" i="5"/>
  <c r="S28" i="5"/>
  <c r="Q28" i="5"/>
  <c r="O28" i="5"/>
  <c r="F28" i="5"/>
  <c r="U27" i="5"/>
  <c r="S27" i="5"/>
  <c r="Q27" i="5"/>
  <c r="O27" i="5"/>
  <c r="F27" i="5"/>
  <c r="U26" i="5"/>
  <c r="S26" i="5"/>
  <c r="Q26" i="5"/>
  <c r="O26" i="5"/>
  <c r="F26" i="5"/>
  <c r="U25" i="5"/>
  <c r="S25" i="5"/>
  <c r="Q25" i="5"/>
  <c r="O25" i="5"/>
  <c r="F25" i="5"/>
  <c r="U24" i="5"/>
  <c r="S24" i="5"/>
  <c r="Q24" i="5"/>
  <c r="O24" i="5"/>
  <c r="F24" i="5"/>
  <c r="U23" i="5"/>
  <c r="S23" i="5"/>
  <c r="Q23" i="5"/>
  <c r="O23" i="5"/>
  <c r="F23" i="5"/>
  <c r="U22" i="5"/>
  <c r="S22" i="5"/>
  <c r="Q22" i="5"/>
  <c r="O22" i="5"/>
  <c r="F22" i="5"/>
  <c r="U21" i="5"/>
  <c r="S21" i="5"/>
  <c r="Q21" i="5"/>
  <c r="O21" i="5"/>
  <c r="F21" i="5"/>
  <c r="U20" i="5"/>
  <c r="S20" i="5"/>
  <c r="Q20" i="5"/>
  <c r="O20" i="5"/>
  <c r="F20" i="5"/>
  <c r="U19" i="5"/>
  <c r="S19" i="5"/>
  <c r="Q19" i="5"/>
  <c r="O19" i="5"/>
  <c r="F19" i="5"/>
  <c r="U18" i="5"/>
  <c r="S18" i="5"/>
  <c r="Q18" i="5"/>
  <c r="O18" i="5"/>
  <c r="F18" i="5"/>
  <c r="U17" i="5"/>
  <c r="S17" i="5"/>
  <c r="Q17" i="5"/>
  <c r="O17" i="5"/>
  <c r="F17" i="5"/>
  <c r="U16" i="5"/>
  <c r="S16" i="5"/>
  <c r="Q16" i="5"/>
  <c r="O16" i="5"/>
  <c r="F16" i="5"/>
  <c r="U15" i="5"/>
  <c r="S15" i="5"/>
  <c r="Q15" i="5"/>
  <c r="O15" i="5"/>
  <c r="F15" i="5"/>
  <c r="U14" i="5"/>
  <c r="S14" i="5"/>
  <c r="Q14" i="5"/>
  <c r="O14" i="5"/>
  <c r="F14" i="5"/>
  <c r="F277" i="2" l="1"/>
  <c r="F280" i="2" s="1"/>
  <c r="F248" i="2" l="1"/>
  <c r="F272" i="2"/>
  <c r="F7" i="2" l="1"/>
  <c r="F8" i="2"/>
  <c r="F9" i="2"/>
  <c r="F10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6" i="2"/>
  <c r="F37" i="2"/>
  <c r="F38" i="2"/>
  <c r="F42" i="2"/>
  <c r="F43" i="2"/>
  <c r="F48" i="2"/>
  <c r="F50" i="2"/>
  <c r="F51" i="2"/>
  <c r="F58" i="2"/>
  <c r="F59" i="2"/>
  <c r="F60" i="2"/>
  <c r="F61" i="2"/>
  <c r="F62" i="2"/>
  <c r="F63" i="2"/>
  <c r="F64" i="2"/>
  <c r="F65" i="2"/>
  <c r="F66" i="2"/>
  <c r="F69" i="2"/>
  <c r="F70" i="2"/>
  <c r="F71" i="2"/>
  <c r="F72" i="2"/>
  <c r="F73" i="2"/>
  <c r="F74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8" i="2"/>
  <c r="F149" i="2"/>
  <c r="F150" i="2"/>
  <c r="F151" i="2"/>
  <c r="F152" i="2"/>
  <c r="F157" i="2"/>
  <c r="F158" i="2"/>
  <c r="F159" i="2"/>
  <c r="F164" i="2"/>
  <c r="F176" i="2"/>
  <c r="F177" i="2"/>
  <c r="F181" i="2"/>
  <c r="F182" i="2"/>
  <c r="F183" i="2"/>
  <c r="F188" i="2"/>
  <c r="F189" i="2" s="1"/>
  <c r="F201" i="2"/>
  <c r="F202" i="2"/>
  <c r="F203" i="2"/>
  <c r="F204" i="2"/>
  <c r="F205" i="2"/>
  <c r="F206" i="2"/>
  <c r="F207" i="2"/>
  <c r="F208" i="2"/>
  <c r="F209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42" i="2"/>
  <c r="F244" i="2" s="1"/>
  <c r="F250" i="2"/>
  <c r="F251" i="2"/>
  <c r="F255" i="2"/>
  <c r="F256" i="2"/>
  <c r="F257" i="2"/>
  <c r="F258" i="2"/>
  <c r="F259" i="2"/>
  <c r="F260" i="2"/>
  <c r="F265" i="2"/>
  <c r="F266" i="2"/>
  <c r="F271" i="2"/>
  <c r="F275" i="2" s="1"/>
  <c r="U6" i="2"/>
  <c r="F253" i="2" l="1"/>
  <c r="F162" i="2"/>
  <c r="F46" i="2"/>
  <c r="F240" i="2"/>
  <c r="F263" i="2"/>
  <c r="U250" i="2"/>
  <c r="U251" i="2"/>
  <c r="U255" i="2"/>
  <c r="U256" i="2"/>
  <c r="U257" i="2"/>
  <c r="U258" i="2"/>
  <c r="U259" i="2"/>
  <c r="U260" i="2"/>
  <c r="U265" i="2"/>
  <c r="U266" i="2"/>
  <c r="U242" i="2"/>
  <c r="U246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74" i="2"/>
  <c r="U157" i="2"/>
  <c r="U158" i="2"/>
  <c r="U15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42" i="2"/>
  <c r="U38" i="2"/>
  <c r="U37" i="2"/>
  <c r="U36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69" i="2" l="1"/>
  <c r="U70" i="2"/>
  <c r="U71" i="2"/>
  <c r="U72" i="2"/>
  <c r="U73" i="2"/>
  <c r="U11" i="2"/>
  <c r="U9" i="2"/>
  <c r="F215" i="5" l="1"/>
  <c r="F213" i="5"/>
  <c r="F214" i="5"/>
  <c r="F212" i="5"/>
  <c r="F211" i="5"/>
  <c r="F210" i="5"/>
  <c r="F209" i="5"/>
  <c r="F208" i="5"/>
  <c r="F207" i="5"/>
  <c r="F206" i="5"/>
  <c r="F205" i="5"/>
  <c r="F9" i="5"/>
  <c r="F176" i="5"/>
  <c r="F175" i="5"/>
  <c r="F192" i="5"/>
  <c r="F190" i="5"/>
  <c r="F189" i="5"/>
  <c r="F188" i="5"/>
  <c r="F187" i="5"/>
  <c r="F186" i="5"/>
  <c r="F170" i="5"/>
  <c r="F182" i="5"/>
  <c r="F179" i="5"/>
  <c r="F185" i="5"/>
  <c r="F204" i="5"/>
  <c r="F203" i="5"/>
  <c r="F195" i="5"/>
  <c r="F202" i="5"/>
  <c r="F201" i="5"/>
  <c r="F200" i="5"/>
  <c r="F199" i="5"/>
  <c r="F198" i="5"/>
  <c r="F197" i="5"/>
  <c r="F196" i="5"/>
  <c r="F194" i="5"/>
  <c r="F193" i="5"/>
  <c r="F184" i="5"/>
  <c r="F183" i="5"/>
  <c r="F87" i="5" l="1"/>
  <c r="U482" i="5"/>
  <c r="F482" i="5"/>
  <c r="F475" i="5"/>
  <c r="F474" i="5"/>
  <c r="F473" i="5"/>
  <c r="F472" i="5"/>
  <c r="F471" i="5"/>
  <c r="F470" i="5"/>
  <c r="F431" i="5"/>
  <c r="F430" i="5"/>
  <c r="F451" i="5" s="1"/>
  <c r="F429" i="5"/>
  <c r="F428" i="5"/>
  <c r="F427" i="5"/>
  <c r="F426" i="5"/>
  <c r="F418" i="5"/>
  <c r="F417" i="5"/>
  <c r="F416" i="5"/>
  <c r="U415" i="5"/>
  <c r="F415" i="5"/>
  <c r="U414" i="5"/>
  <c r="F414" i="5"/>
  <c r="F413" i="5"/>
  <c r="F412" i="5"/>
  <c r="F411" i="5"/>
  <c r="F410" i="5"/>
  <c r="F409" i="5"/>
  <c r="F408" i="5"/>
  <c r="F407" i="5"/>
  <c r="F406" i="5"/>
  <c r="U405" i="5"/>
  <c r="U404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U386" i="5"/>
  <c r="F386" i="5"/>
  <c r="U385" i="5"/>
  <c r="F385" i="5"/>
  <c r="U384" i="5"/>
  <c r="F384" i="5"/>
  <c r="U383" i="5"/>
  <c r="F383" i="5"/>
  <c r="U382" i="5"/>
  <c r="F382" i="5"/>
  <c r="U381" i="5"/>
  <c r="F381" i="5"/>
  <c r="U380" i="5"/>
  <c r="F380" i="5"/>
  <c r="F378" i="5"/>
  <c r="F377" i="5"/>
  <c r="F376" i="5"/>
  <c r="F375" i="5"/>
  <c r="F374" i="5"/>
  <c r="F373" i="5"/>
  <c r="F372" i="5"/>
  <c r="F371" i="5"/>
  <c r="F370" i="5"/>
  <c r="F369" i="5"/>
  <c r="U368" i="5"/>
  <c r="F368" i="5"/>
  <c r="U366" i="5"/>
  <c r="F366" i="5"/>
  <c r="U365" i="5"/>
  <c r="F365" i="5"/>
  <c r="U364" i="5"/>
  <c r="F364" i="5"/>
  <c r="U363" i="5"/>
  <c r="F363" i="5"/>
  <c r="U362" i="5"/>
  <c r="F362" i="5"/>
  <c r="U361" i="5"/>
  <c r="F361" i="5"/>
  <c r="U360" i="5"/>
  <c r="F360" i="5"/>
  <c r="F357" i="5"/>
  <c r="F356" i="5"/>
  <c r="F355" i="5"/>
  <c r="F354" i="5"/>
  <c r="U353" i="5"/>
  <c r="F353" i="5"/>
  <c r="U352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U333" i="5"/>
  <c r="F333" i="5"/>
  <c r="U332" i="5"/>
  <c r="F332" i="5"/>
  <c r="U331" i="5"/>
  <c r="F331" i="5"/>
  <c r="U330" i="5"/>
  <c r="F330" i="5"/>
  <c r="U329" i="5"/>
  <c r="F329" i="5"/>
  <c r="U328" i="5"/>
  <c r="F328" i="5"/>
  <c r="U327" i="5"/>
  <c r="F327" i="5"/>
  <c r="U326" i="5"/>
  <c r="F326" i="5"/>
  <c r="U325" i="5"/>
  <c r="F325" i="5"/>
  <c r="U324" i="5"/>
  <c r="F324" i="5"/>
  <c r="U323" i="5"/>
  <c r="U322" i="5"/>
  <c r="U321" i="5"/>
  <c r="U320" i="5"/>
  <c r="U319" i="5"/>
  <c r="F319" i="5"/>
  <c r="U318" i="5"/>
  <c r="F318" i="5"/>
  <c r="U317" i="5"/>
  <c r="F317" i="5"/>
  <c r="U316" i="5"/>
  <c r="F316" i="5"/>
  <c r="U315" i="5"/>
  <c r="F315" i="5"/>
  <c r="U314" i="5"/>
  <c r="F314" i="5"/>
  <c r="U313" i="5"/>
  <c r="F313" i="5"/>
  <c r="U312" i="5"/>
  <c r="F312" i="5"/>
  <c r="U311" i="5"/>
  <c r="F311" i="5"/>
  <c r="U310" i="5"/>
  <c r="F310" i="5"/>
  <c r="U309" i="5"/>
  <c r="F309" i="5"/>
  <c r="U308" i="5"/>
  <c r="F308" i="5"/>
  <c r="U298" i="5"/>
  <c r="F298" i="5"/>
  <c r="U297" i="5"/>
  <c r="F297" i="5"/>
  <c r="U296" i="5"/>
  <c r="F296" i="5"/>
  <c r="U295" i="5"/>
  <c r="F295" i="5"/>
  <c r="U294" i="5"/>
  <c r="F294" i="5"/>
  <c r="U293" i="5"/>
  <c r="F293" i="5"/>
  <c r="U292" i="5"/>
  <c r="F292" i="5"/>
  <c r="U291" i="5"/>
  <c r="F291" i="5"/>
  <c r="U290" i="5"/>
  <c r="F290" i="5"/>
  <c r="U289" i="5"/>
  <c r="F289" i="5"/>
  <c r="U288" i="5"/>
  <c r="F288" i="5"/>
  <c r="U287" i="5"/>
  <c r="F287" i="5"/>
  <c r="U286" i="5"/>
  <c r="F286" i="5"/>
  <c r="U285" i="5"/>
  <c r="F285" i="5"/>
  <c r="F284" i="5"/>
  <c r="U283" i="5"/>
  <c r="F283" i="5"/>
  <c r="U282" i="5"/>
  <c r="F282" i="5"/>
  <c r="U281" i="5"/>
  <c r="F281" i="5"/>
  <c r="U280" i="5"/>
  <c r="F280" i="5"/>
  <c r="U279" i="5"/>
  <c r="F279" i="5"/>
  <c r="U278" i="5"/>
  <c r="F278" i="5"/>
  <c r="U277" i="5"/>
  <c r="F277" i="5"/>
  <c r="U276" i="5"/>
  <c r="F276" i="5"/>
  <c r="F275" i="5"/>
  <c r="U274" i="5"/>
  <c r="F274" i="5"/>
  <c r="U273" i="5"/>
  <c r="U272" i="5"/>
  <c r="U271" i="5"/>
  <c r="U270" i="5"/>
  <c r="U269" i="5"/>
  <c r="U261" i="5"/>
  <c r="U259" i="5"/>
  <c r="U258" i="5"/>
  <c r="U257" i="5"/>
  <c r="U256" i="5"/>
  <c r="U254" i="5"/>
  <c r="U253" i="5"/>
  <c r="U251" i="5"/>
  <c r="U250" i="5"/>
  <c r="U249" i="5"/>
  <c r="U248" i="5"/>
  <c r="U247" i="5"/>
  <c r="U246" i="5"/>
  <c r="U245" i="5"/>
  <c r="U243" i="5"/>
  <c r="U242" i="5"/>
  <c r="U241" i="5"/>
  <c r="U239" i="5"/>
  <c r="U238" i="5"/>
  <c r="U237" i="5"/>
  <c r="U236" i="5"/>
  <c r="U235" i="5"/>
  <c r="U234" i="5"/>
  <c r="U233" i="5"/>
  <c r="U232" i="5"/>
  <c r="U231" i="5"/>
  <c r="U230" i="5"/>
  <c r="U229" i="5"/>
  <c r="U228" i="5"/>
  <c r="U221" i="5"/>
  <c r="F191" i="5"/>
  <c r="F181" i="5"/>
  <c r="F180" i="5"/>
  <c r="F178" i="5"/>
  <c r="F177" i="5"/>
  <c r="F174" i="5"/>
  <c r="F173" i="5"/>
  <c r="F172" i="5"/>
  <c r="F171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U141" i="5"/>
  <c r="F141" i="5"/>
  <c r="U131" i="5"/>
  <c r="F131" i="5"/>
  <c r="U130" i="5"/>
  <c r="F130" i="5"/>
  <c r="U129" i="5"/>
  <c r="F129" i="5"/>
  <c r="U128" i="5"/>
  <c r="F128" i="5"/>
  <c r="U127" i="5"/>
  <c r="F127" i="5"/>
  <c r="U126" i="5"/>
  <c r="F126" i="5"/>
  <c r="U125" i="5"/>
  <c r="F125" i="5"/>
  <c r="U124" i="5"/>
  <c r="F124" i="5"/>
  <c r="U123" i="5"/>
  <c r="F123" i="5"/>
  <c r="U122" i="5"/>
  <c r="F122" i="5"/>
  <c r="U121" i="5"/>
  <c r="F121" i="5"/>
  <c r="U120" i="5"/>
  <c r="F120" i="5"/>
  <c r="U119" i="5"/>
  <c r="F119" i="5"/>
  <c r="U118" i="5"/>
  <c r="F118" i="5"/>
  <c r="U117" i="5"/>
  <c r="F117" i="5"/>
  <c r="U116" i="5"/>
  <c r="F116" i="5"/>
  <c r="U115" i="5"/>
  <c r="F115" i="5"/>
  <c r="U114" i="5"/>
  <c r="F114" i="5"/>
  <c r="U113" i="5"/>
  <c r="F113" i="5"/>
  <c r="U109" i="5"/>
  <c r="F109" i="5"/>
  <c r="U108" i="5"/>
  <c r="F108" i="5"/>
  <c r="U107" i="5"/>
  <c r="F107" i="5"/>
  <c r="U106" i="5"/>
  <c r="F106" i="5"/>
  <c r="U105" i="5"/>
  <c r="F105" i="5"/>
  <c r="U104" i="5"/>
  <c r="F104" i="5"/>
  <c r="U103" i="5"/>
  <c r="F103" i="5"/>
  <c r="U102" i="5"/>
  <c r="F102" i="5"/>
  <c r="U101" i="5"/>
  <c r="F101" i="5"/>
  <c r="U100" i="5"/>
  <c r="F100" i="5"/>
  <c r="U99" i="5"/>
  <c r="F99" i="5"/>
  <c r="U98" i="5"/>
  <c r="F98" i="5"/>
  <c r="U97" i="5"/>
  <c r="F97" i="5"/>
  <c r="U96" i="5"/>
  <c r="F96" i="5"/>
  <c r="U95" i="5"/>
  <c r="F95" i="5"/>
  <c r="U94" i="5"/>
  <c r="F94" i="5"/>
  <c r="U93" i="5"/>
  <c r="F93" i="5"/>
  <c r="U92" i="5"/>
  <c r="F92" i="5"/>
  <c r="U91" i="5"/>
  <c r="F91" i="5"/>
  <c r="U90" i="5"/>
  <c r="F90" i="5"/>
  <c r="U89" i="5"/>
  <c r="F89" i="5"/>
  <c r="U88" i="5"/>
  <c r="F88" i="5"/>
  <c r="U87" i="5"/>
  <c r="U86" i="5"/>
  <c r="F86" i="5"/>
  <c r="U85" i="5"/>
  <c r="F85" i="5"/>
  <c r="U84" i="5"/>
  <c r="F84" i="5"/>
  <c r="U83" i="5"/>
  <c r="F83" i="5"/>
  <c r="U82" i="5"/>
  <c r="F82" i="5"/>
  <c r="U81" i="5"/>
  <c r="F81" i="5"/>
  <c r="U80" i="5"/>
  <c r="F80" i="5"/>
  <c r="U79" i="5"/>
  <c r="F79" i="5"/>
  <c r="U78" i="5"/>
  <c r="F78" i="5"/>
  <c r="U77" i="5"/>
  <c r="U76" i="5"/>
  <c r="F76" i="5"/>
  <c r="U75" i="5"/>
  <c r="F75" i="5"/>
  <c r="U74" i="5"/>
  <c r="F74" i="5"/>
  <c r="U73" i="5"/>
  <c r="F73" i="5"/>
  <c r="U72" i="5"/>
  <c r="F72" i="5"/>
  <c r="U71" i="5"/>
  <c r="F71" i="5"/>
  <c r="U70" i="5"/>
  <c r="F70" i="5"/>
  <c r="U39" i="5"/>
  <c r="U38" i="5"/>
  <c r="U13" i="5"/>
  <c r="U8" i="5"/>
  <c r="F8" i="5"/>
  <c r="U7" i="5"/>
  <c r="F7" i="5"/>
  <c r="U6" i="5"/>
  <c r="F6" i="5"/>
  <c r="U96" i="2"/>
  <c r="F483" i="5" l="1"/>
  <c r="U152" i="2" l="1"/>
  <c r="U148" i="2"/>
  <c r="U149" i="2"/>
  <c r="U150" i="2"/>
  <c r="U151" i="2"/>
  <c r="U94" i="2"/>
  <c r="U95" i="2"/>
  <c r="U61" i="2"/>
  <c r="U62" i="2"/>
  <c r="U63" i="2"/>
  <c r="U64" i="2"/>
  <c r="U65" i="2"/>
  <c r="U66" i="2"/>
  <c r="U82" i="2"/>
  <c r="U83" i="2"/>
  <c r="U93" i="2"/>
  <c r="U91" i="2" l="1"/>
  <c r="U90" i="2"/>
  <c r="U89" i="2"/>
  <c r="U88" i="2"/>
  <c r="U87" i="2"/>
  <c r="U7" i="2"/>
  <c r="U8" i="2"/>
  <c r="U10" i="2"/>
  <c r="U48" i="2"/>
  <c r="U49" i="2"/>
  <c r="U50" i="2"/>
  <c r="U51" i="2"/>
  <c r="U84" i="2"/>
  <c r="U85" i="2"/>
  <c r="U86" i="2"/>
  <c r="U92" i="2"/>
  <c r="U164" i="2"/>
  <c r="U165" i="2"/>
  <c r="U175" i="2"/>
  <c r="U176" i="2"/>
  <c r="U181" i="2"/>
  <c r="U182" i="2"/>
  <c r="U183" i="2"/>
  <c r="U188" i="2"/>
  <c r="F6" i="2"/>
</calcChain>
</file>

<file path=xl/sharedStrings.xml><?xml version="1.0" encoding="utf-8"?>
<sst xmlns="http://schemas.openxmlformats.org/spreadsheetml/2006/main" count="2775" uniqueCount="537">
  <si>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</si>
  <si>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</si>
  <si>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</si>
  <si>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</si>
  <si>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</si>
  <si>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</si>
  <si>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</si>
  <si>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</si>
  <si>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</si>
  <si>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</si>
  <si>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QUARTER REQUIRED</t>
  </si>
  <si>
    <t>1ST</t>
  </si>
  <si>
    <t>2ND</t>
  </si>
  <si>
    <t>3RD</t>
  </si>
  <si>
    <t>4TH</t>
  </si>
  <si>
    <t>KSH</t>
  </si>
  <si>
    <t>OPEN</t>
  </si>
  <si>
    <t>1.Licenses and permits</t>
  </si>
  <si>
    <t>NACOSTI research license</t>
  </si>
  <si>
    <t>WRTI research permit</t>
  </si>
  <si>
    <t>NEMA access permit</t>
  </si>
  <si>
    <t>ISERC ethical permit</t>
  </si>
  <si>
    <t>GOK</t>
  </si>
  <si>
    <t>KSRIC</t>
  </si>
  <si>
    <t>Direct Procurement</t>
  </si>
  <si>
    <t>√</t>
  </si>
  <si>
    <t>2.Medical and veterinary supplies consumables</t>
  </si>
  <si>
    <t>4.TOOLS  AND EQUIPMENT</t>
  </si>
  <si>
    <t>RFQ</t>
  </si>
  <si>
    <t>5. VEHICLE MAITAINANCE AND FUEL</t>
  </si>
  <si>
    <t>Service of motor vehicles</t>
  </si>
  <si>
    <t>6. Uniforms and Protective gears</t>
  </si>
  <si>
    <t>Gaiters</t>
  </si>
  <si>
    <t>Snake capture Tongs 100cm</t>
  </si>
  <si>
    <t>Snake captureTongs 120cm</t>
  </si>
  <si>
    <t>Snake capture hooks-Long</t>
  </si>
  <si>
    <t>Snake capture Hook -medium</t>
  </si>
  <si>
    <t>7. Laboratory supplies non  consumables</t>
  </si>
  <si>
    <t>Eye wash and mounted station</t>
  </si>
  <si>
    <t>Refrigerator (-20° C, +4 °C)</t>
  </si>
  <si>
    <t>Biosafety cabinet Class II B2</t>
  </si>
  <si>
    <t>Beddings</t>
  </si>
  <si>
    <t>UNIT</t>
  </si>
  <si>
    <t>Installation of HVAC SYSTEM</t>
  </si>
  <si>
    <t>NO</t>
  </si>
  <si>
    <t>Automatic lighting system</t>
  </si>
  <si>
    <t>Snake rooms renovation</t>
  </si>
  <si>
    <t xml:space="preserve">Snake cages </t>
  </si>
  <si>
    <t>snake racks</t>
  </si>
  <si>
    <t>CCTV camera installation and security system</t>
  </si>
  <si>
    <t>SDS Powder</t>
  </si>
  <si>
    <t>Glycerol</t>
  </si>
  <si>
    <t>Acetic acid</t>
  </si>
  <si>
    <t>pc</t>
  </si>
  <si>
    <t xml:space="preserve">Gel electrophoresis system (casting plates, electrode assembly, companion running module, buffer tank and lid, casting stand and frames, Power Pac </t>
  </si>
  <si>
    <t>no</t>
  </si>
  <si>
    <t>absolute ethanol</t>
  </si>
  <si>
    <t>absolute methanol</t>
  </si>
  <si>
    <t>Eppendorf tubes (1.5ml)</t>
  </si>
  <si>
    <t>bottles</t>
  </si>
  <si>
    <t>pkt</t>
  </si>
  <si>
    <t>box</t>
  </si>
  <si>
    <t>Tips( 200ul) yellow</t>
  </si>
  <si>
    <t>sodium phosphate monobasic</t>
  </si>
  <si>
    <t>sodium phosphate dibasic</t>
  </si>
  <si>
    <t>sodium phosphate tribasic</t>
  </si>
  <si>
    <t>500gm</t>
  </si>
  <si>
    <t>0.2 µm filter, Nalgene rapid flow sterile disposable filter units with PES membranes(pack of 12)</t>
  </si>
  <si>
    <t>No</t>
  </si>
  <si>
    <t>Microplate Spectophotometer (Preferred wavelength range 200 -999 nm)</t>
  </si>
  <si>
    <t>Illumina Hiseq 2500</t>
  </si>
  <si>
    <t>Pkt</t>
  </si>
  <si>
    <t>Soy Milk</t>
  </si>
  <si>
    <t>Horseradish Peroxidese-Conjugated Rabbit anti-horse 1gG secondary antibody</t>
  </si>
  <si>
    <t>Coating Buffer Tablets</t>
  </si>
  <si>
    <t xml:space="preserve">Citric Acid </t>
  </si>
  <si>
    <t>ABTZ Tablets</t>
  </si>
  <si>
    <t>Automatic pipet aid</t>
  </si>
  <si>
    <t>Tips (1000ul)blue</t>
  </si>
  <si>
    <t>Columns ( Sephadex G25 desalting column, RP-HPLC, Hydrophobic interactions columns)</t>
  </si>
  <si>
    <t>nos</t>
  </si>
  <si>
    <t>litres</t>
  </si>
  <si>
    <t>pcs</t>
  </si>
  <si>
    <t>pair</t>
  </si>
  <si>
    <t>NOS</t>
  </si>
  <si>
    <t>Pipettes P10</t>
  </si>
  <si>
    <t>Pipettes P20</t>
  </si>
  <si>
    <t>Pipettes P200</t>
  </si>
  <si>
    <t>Pipettes P1000)</t>
  </si>
  <si>
    <t xml:space="preserve">12 Multichannel pipettes 30 - 300 µl  </t>
  </si>
  <si>
    <t>12 Multichannel Pipettes 10 - 100 µl</t>
  </si>
  <si>
    <t>PKT</t>
  </si>
  <si>
    <t>Petridishes</t>
  </si>
  <si>
    <t>Purified protease from bovine plasma</t>
  </si>
  <si>
    <t>DNA from calf thymus</t>
  </si>
  <si>
    <t>kg</t>
  </si>
  <si>
    <t>Agarose  500g</t>
  </si>
  <si>
    <t>boxes</t>
  </si>
  <si>
    <t>Trichloroacetic acid( 500ml)</t>
  </si>
  <si>
    <t>sodium citrate tubes( 6ml)</t>
  </si>
  <si>
    <t>pkts</t>
  </si>
  <si>
    <t>Gelatin, (500gm)</t>
  </si>
  <si>
    <t xml:space="preserve">Triton X-100 </t>
  </si>
  <si>
    <t>Azocasein 5gm</t>
  </si>
  <si>
    <t>Human fibronogen ( 100mg)</t>
  </si>
  <si>
    <t>sachets</t>
  </si>
  <si>
    <t>kit</t>
  </si>
  <si>
    <t>One Taq 2X master mix</t>
  </si>
  <si>
    <t xml:space="preserve">Phusion Green hot star 11 high fidelity PCR master mix </t>
  </si>
  <si>
    <t xml:space="preserve">DNA sequencing </t>
  </si>
  <si>
    <t>sample</t>
  </si>
  <si>
    <t>DNA extraction kit</t>
  </si>
  <si>
    <t>purchase /lease of land for animal research</t>
  </si>
  <si>
    <t xml:space="preserve">purchase of horses </t>
  </si>
  <si>
    <t>ELISA washer and dispenser</t>
  </si>
  <si>
    <t>Diaminobenzidine( DAB) substrate</t>
  </si>
  <si>
    <t xml:space="preserve">Transblot transfer system </t>
  </si>
  <si>
    <t>IgG purification kit</t>
  </si>
  <si>
    <t>Dialysis cassettes</t>
  </si>
  <si>
    <t xml:space="preserve"> 0.22 µm filters</t>
  </si>
  <si>
    <t>pepsin</t>
  </si>
  <si>
    <t>CD-1 MICE PROCUREMENT</t>
  </si>
  <si>
    <t>Rodent house renovation and construction of preclinical testing lab</t>
  </si>
  <si>
    <t>Water bottles</t>
  </si>
  <si>
    <t>Racks</t>
  </si>
  <si>
    <t xml:space="preserve">Mice Cages </t>
  </si>
  <si>
    <t>10.Laboratory tools and equipments</t>
  </si>
  <si>
    <t>11.Colony Supplies</t>
  </si>
  <si>
    <t>12.New snake cages</t>
  </si>
  <si>
    <t>13.F00D FOR PRIMATES AND SMALL ANIMALS</t>
  </si>
  <si>
    <t>Mice beddings</t>
  </si>
  <si>
    <t>bag</t>
  </si>
  <si>
    <t>cotton wool</t>
  </si>
  <si>
    <t>formaldehyde</t>
  </si>
  <si>
    <t>surgical spirit</t>
  </si>
  <si>
    <t>roll</t>
  </si>
  <si>
    <t>2.5litres</t>
  </si>
  <si>
    <t>5litres</t>
  </si>
  <si>
    <t xml:space="preserve">Setting up a production unit at KIPRE </t>
  </si>
  <si>
    <t>Bio hazards bags</t>
  </si>
  <si>
    <t>Disposable bags</t>
  </si>
  <si>
    <t>Dustbins</t>
  </si>
  <si>
    <t>Nitrile gloves medium</t>
  </si>
  <si>
    <t>Nitrile gloves small</t>
  </si>
  <si>
    <t>Nitrile  gloves-Large</t>
  </si>
  <si>
    <t>No.</t>
  </si>
  <si>
    <t>Beakers 50ml</t>
  </si>
  <si>
    <t>Beakers100ml</t>
  </si>
  <si>
    <t>Beakers 250ml</t>
  </si>
  <si>
    <t>Beakers 500ml</t>
  </si>
  <si>
    <t>Beakers 1000ml</t>
  </si>
  <si>
    <t>Conical Flask 25ml</t>
  </si>
  <si>
    <t>Conical Flask 50ml</t>
  </si>
  <si>
    <t>Conical Flask 100ml</t>
  </si>
  <si>
    <t>Conical Flask 250ml</t>
  </si>
  <si>
    <t>Conical Flask 500ml</t>
  </si>
  <si>
    <t>Conical Flask 1000ml</t>
  </si>
  <si>
    <t>Wash Bottles 500ml</t>
  </si>
  <si>
    <t>Spray Bottles 500ml</t>
  </si>
  <si>
    <t>Medium centrifuge</t>
  </si>
  <si>
    <t>lab stools</t>
  </si>
  <si>
    <t>Vortexer</t>
  </si>
  <si>
    <t>Eye wash and mounted stations</t>
  </si>
  <si>
    <t>Power supply extension</t>
  </si>
  <si>
    <t>UPS</t>
  </si>
  <si>
    <t>Water distiller system</t>
  </si>
  <si>
    <t>Laboratory renovations</t>
  </si>
  <si>
    <t>14.TRAINING,WORKSHOPS AND CONFERENCES</t>
  </si>
  <si>
    <t xml:space="preserve">STAFF TRAINING </t>
  </si>
  <si>
    <t>15.AIR TICKETS EXPENSES</t>
  </si>
  <si>
    <t>tickets</t>
  </si>
  <si>
    <t xml:space="preserve"> Bijous</t>
  </si>
  <si>
    <t xml:space="preserve">Tris buffer </t>
  </si>
  <si>
    <t>Mice feeds</t>
  </si>
  <si>
    <t>16. INFRASTRUCTURE</t>
  </si>
  <si>
    <t>laptops</t>
  </si>
  <si>
    <t>Projector</t>
  </si>
  <si>
    <t>tablets</t>
  </si>
  <si>
    <t>Tablets</t>
  </si>
  <si>
    <t>Power Bank</t>
  </si>
  <si>
    <t>Printer</t>
  </si>
  <si>
    <t>18.STATIONERIES AND PRINTING</t>
  </si>
  <si>
    <t xml:space="preserve">Flip chart </t>
  </si>
  <si>
    <t>Flip chart stand</t>
  </si>
  <si>
    <t>Roller Banners</t>
  </si>
  <si>
    <t>19.purchase of new motor vehicle</t>
  </si>
  <si>
    <t>computer software</t>
  </si>
  <si>
    <t>4x4 motor vehicle loaded with GPS COMMUNICATION ACCESSORIES</t>
  </si>
  <si>
    <t>Double cabin motor vehicle loaded with GPS communication accessories</t>
  </si>
  <si>
    <t>Desktop computers</t>
  </si>
  <si>
    <t>External hard disk 3TB</t>
  </si>
  <si>
    <t>M &amp;E tools and software network</t>
  </si>
  <si>
    <t>ISO Certificate</t>
  </si>
  <si>
    <t>Thermocycler</t>
  </si>
  <si>
    <t>BD Facs Melody Cell Sorter</t>
  </si>
  <si>
    <t>Negative 80 freezer</t>
  </si>
  <si>
    <t>Tear Drops</t>
  </si>
  <si>
    <t xml:space="preserve">Elisa 96 well plates (Nunc flat bottom),  </t>
  </si>
  <si>
    <t>Box</t>
  </si>
  <si>
    <t>Filtered Tips( 10ul)</t>
  </si>
  <si>
    <t>Filtered Tips( 200ul)</t>
  </si>
  <si>
    <t>Filtered Tips(1000ul)</t>
  </si>
  <si>
    <t>50ml Falcon Tubes</t>
  </si>
  <si>
    <t>Serological pipettes 5ml</t>
  </si>
  <si>
    <t>Serological pipettes 10ml</t>
  </si>
  <si>
    <t>Serological pipettes 25ml</t>
  </si>
  <si>
    <t>Serological pipettes 50 ml</t>
  </si>
  <si>
    <t>8.Lboratory Supplies Consumables</t>
  </si>
  <si>
    <t>9.Laboratory Chemicals, Reagents and kits</t>
  </si>
  <si>
    <t>Bags</t>
  </si>
  <si>
    <t>Trap boxes</t>
  </si>
  <si>
    <t>Water bowls/Drinkers</t>
  </si>
  <si>
    <t>Chest Freezer 480L</t>
  </si>
  <si>
    <t>HVAC Systems at Herptarium</t>
  </si>
  <si>
    <t>Automatic Lighting System  at Herptarium</t>
  </si>
  <si>
    <t xml:space="preserve">CCTV Cameras Installation </t>
  </si>
  <si>
    <t xml:space="preserve">Installation Smoke detectors </t>
  </si>
  <si>
    <t>Installation Motion Sensor Cameras</t>
  </si>
  <si>
    <t>Torch</t>
  </si>
  <si>
    <t>GPS Communicaton Devices</t>
  </si>
  <si>
    <t>Voice Recorder</t>
  </si>
  <si>
    <t>External Hards Disk 3TB</t>
  </si>
  <si>
    <t>N vivo qual Analysis Software License</t>
  </si>
  <si>
    <t>Digital Cameras</t>
  </si>
  <si>
    <t>Geotagging Machine</t>
  </si>
  <si>
    <t>Autoclave Machine</t>
  </si>
  <si>
    <t>Alluminium Troys</t>
  </si>
  <si>
    <t>Np.</t>
  </si>
  <si>
    <t>High Defination Binoculars</t>
  </si>
  <si>
    <t>fuel for snake mapping</t>
  </si>
  <si>
    <t xml:space="preserve">Vehicle maintainance </t>
  </si>
  <si>
    <t>several</t>
  </si>
  <si>
    <t>conference facilities</t>
  </si>
  <si>
    <t>lot</t>
  </si>
  <si>
    <t>Air ticket</t>
  </si>
  <si>
    <t>TICKETS</t>
  </si>
  <si>
    <t>lots</t>
  </si>
  <si>
    <t>20. Electricals</t>
  </si>
  <si>
    <t>21.Publicity expenses</t>
  </si>
  <si>
    <t>Media expenses</t>
  </si>
  <si>
    <t>Printing materials,data collection material and training material</t>
  </si>
  <si>
    <t>Bromophenol blue 25g</t>
  </si>
  <si>
    <t>Coomassie brilliant blue stain 25g</t>
  </si>
  <si>
    <t xml:space="preserve"> 10X PBS  1litre</t>
  </si>
  <si>
    <t>PH Meter standards 4.0 (1L)</t>
  </si>
  <si>
    <t>PH Meter standards 7.01(1L)</t>
  </si>
  <si>
    <t>PH Meter standards storage(1L)</t>
  </si>
  <si>
    <t>Tween 20 100ml</t>
  </si>
  <si>
    <t>NETWORK ASSISTED STORAGE 10TB</t>
  </si>
  <si>
    <t>Printer EcosystemM3145idn</t>
  </si>
  <si>
    <t>22.TONERS AND CATRIDGES</t>
  </si>
  <si>
    <t>Catridges for Ecosystem</t>
  </si>
  <si>
    <t>printing papers</t>
  </si>
  <si>
    <t>Branded  pens</t>
  </si>
  <si>
    <t>highlighters</t>
  </si>
  <si>
    <t>Paper flip charts</t>
  </si>
  <si>
    <t>rolls</t>
  </si>
  <si>
    <t>Pencils</t>
  </si>
  <si>
    <t>White out</t>
  </si>
  <si>
    <t>Yellow stickers</t>
  </si>
  <si>
    <t>Box file</t>
  </si>
  <si>
    <t xml:space="preserve"> Spring files</t>
  </si>
  <si>
    <t>Folders</t>
  </si>
  <si>
    <t>Portfolio</t>
  </si>
  <si>
    <t>Staplers</t>
  </si>
  <si>
    <t>Staple pins</t>
  </si>
  <si>
    <t>Thumb pin</t>
  </si>
  <si>
    <t>Paper punch</t>
  </si>
  <si>
    <t>Binders</t>
  </si>
  <si>
    <t>Paper Cutter</t>
  </si>
  <si>
    <t>Standing board</t>
  </si>
  <si>
    <t>23.OFFICE FURNITURE AND EQUIPMENT</t>
  </si>
  <si>
    <t>Office cabinets</t>
  </si>
  <si>
    <t>Binding  machines</t>
  </si>
  <si>
    <t xml:space="preserve">Camera </t>
  </si>
  <si>
    <t>One Digital camera</t>
  </si>
  <si>
    <t>24. SOFTWARES</t>
  </si>
  <si>
    <r>
      <t>17.</t>
    </r>
    <r>
      <rPr>
        <b/>
        <sz val="12"/>
        <color theme="1"/>
        <rFont val="Calibri"/>
        <family val="2"/>
        <scheme val="minor"/>
      </rPr>
      <t>Computer hardware and accessories</t>
    </r>
  </si>
  <si>
    <t>Graph pad prism software((academic package 10 users package)</t>
  </si>
  <si>
    <t>SPSS Software single user</t>
  </si>
  <si>
    <t>Turnitin software</t>
  </si>
  <si>
    <t>Subscription per year for 100 students</t>
  </si>
  <si>
    <t>Geneious software</t>
  </si>
  <si>
    <t>15.insurance</t>
  </si>
  <si>
    <t>Travel insurance</t>
  </si>
  <si>
    <t>30 gauge insulin/trajector syringes</t>
  </si>
  <si>
    <t xml:space="preserve">Oxytetracycline </t>
  </si>
  <si>
    <t>100ml</t>
  </si>
  <si>
    <t>Penstrep</t>
  </si>
  <si>
    <t xml:space="preserve">100ml </t>
  </si>
  <si>
    <t xml:space="preserve">200g </t>
  </si>
  <si>
    <t xml:space="preserve">Piperazin </t>
  </si>
  <si>
    <t>100g</t>
  </si>
  <si>
    <t>Albafas 10%</t>
  </si>
  <si>
    <t>1liter</t>
  </si>
  <si>
    <t>Hydrogen peroxide</t>
  </si>
  <si>
    <t>200ml</t>
  </si>
  <si>
    <t>500ml</t>
  </si>
  <si>
    <t>Ivermectin</t>
  </si>
  <si>
    <t>Iodine</t>
  </si>
  <si>
    <t>Jik</t>
  </si>
  <si>
    <t>20ml ordinary syringe</t>
  </si>
  <si>
    <t>5ml Ordinary syringe</t>
  </si>
  <si>
    <t>SAIMR monovalent antivenom(Boomslang), EchiTab-Plus monovalent antivenom , Saimr polyvalent</t>
  </si>
  <si>
    <t>Glycine</t>
  </si>
  <si>
    <t>Dried skimmed milk (500grams)</t>
  </si>
  <si>
    <t>PCR tubes</t>
  </si>
  <si>
    <t>PH Meter standards 4.0 (250ml)</t>
  </si>
  <si>
    <t>PH Meter standards 7.01(250ml)</t>
  </si>
  <si>
    <t>PH Meter standards storage(250ml)</t>
  </si>
  <si>
    <t>Pkts</t>
  </si>
  <si>
    <t>Vials</t>
  </si>
  <si>
    <t>Coating Buffer Tablets (100g)</t>
  </si>
  <si>
    <t>Citric Acid (500gm)</t>
  </si>
  <si>
    <t>Mass spectrometry (sample processing)</t>
  </si>
  <si>
    <t>Molecular water (500ml)</t>
  </si>
  <si>
    <t>One Taq hotstart 2X master mix</t>
  </si>
  <si>
    <t xml:space="preserve">Phusion Green hotstart II high fidelity PCR master mix </t>
  </si>
  <si>
    <t>Tin</t>
  </si>
  <si>
    <t xml:space="preserve">β-mercaptoethanol </t>
  </si>
  <si>
    <t>100bp DNA ladder</t>
  </si>
  <si>
    <t>Acrylamide</t>
  </si>
  <si>
    <t>1kb DNA ladder</t>
  </si>
  <si>
    <t>DNA loading dye</t>
  </si>
  <si>
    <t>TEMED</t>
  </si>
  <si>
    <t>Bis-acrylamide</t>
  </si>
  <si>
    <t>Bovine serum albumin (1mg/ml)</t>
  </si>
  <si>
    <t>Purified horse IgG (1mg/ml)</t>
  </si>
  <si>
    <t>DNA purification kit (EXOSAP)</t>
  </si>
  <si>
    <t>Big dye sequencing kit</t>
  </si>
  <si>
    <t>tin</t>
  </si>
  <si>
    <t>Unstained protein ladder (100-250 kDa (2vials)</t>
  </si>
  <si>
    <t>Prestained protein ladder (100-250 kDa (2vials)</t>
  </si>
  <si>
    <t>Prestained protein ladder (100-250 kDa (2 vials)</t>
  </si>
  <si>
    <t>vials</t>
  </si>
  <si>
    <t>Mini Centrifuge  (PCR tubes)</t>
  </si>
  <si>
    <t>Ultra-Performance Liquid
Chromatography (1290 Infinity II, Agilent Technologies)</t>
  </si>
  <si>
    <t>Electroporation cuvettes</t>
  </si>
  <si>
    <t>Protein A/G affinity chromatography columns (HiTrap Protein A HP 5ml and HiTrap Protein G HP 5ml)</t>
  </si>
  <si>
    <t xml:space="preserve">bottle </t>
  </si>
  <si>
    <t>Molecular grade water (500ml)</t>
  </si>
  <si>
    <t xml:space="preserve">CO2 Incubator </t>
  </si>
  <si>
    <t>Bottle</t>
  </si>
  <si>
    <t>TAE X10 (5 liter)</t>
  </si>
  <si>
    <t>Mass spectrometry (service)</t>
  </si>
  <si>
    <t>Horseradish Peroxidase-Conjugated Rabbit anti-horse 1gG secondary antibody</t>
  </si>
  <si>
    <t>bottle</t>
  </si>
  <si>
    <t>CaCL2  (500grams)</t>
  </si>
  <si>
    <t>NaCL (500grams)</t>
  </si>
  <si>
    <t>NaOH (500g)</t>
  </si>
  <si>
    <t>NaCL (500g)</t>
  </si>
  <si>
    <t>0.45 μm  nitrocellulose membrane</t>
  </si>
  <si>
    <t>Diaminobenzidine (DAB) substrate</t>
  </si>
  <si>
    <t>Caprylic acid (500grams)</t>
  </si>
  <si>
    <t>ammonium sulfate (500 grams)</t>
  </si>
  <si>
    <t>Ammonium persulfate (500g)</t>
  </si>
  <si>
    <t xml:space="preserve">Dnase from bovine pancreas </t>
  </si>
  <si>
    <t>KWS</t>
  </si>
  <si>
    <t>KWS research permit</t>
  </si>
  <si>
    <t>Diesel(fuel) for snake capture work in 15 counties</t>
  </si>
  <si>
    <t>Yeast Extract (250g)</t>
  </si>
  <si>
    <t>D-Sorbitol (500g)</t>
  </si>
  <si>
    <t>SR-CAA yeast growth media (500g)</t>
  </si>
  <si>
    <t>D Raffinose Pentahydrate powder (100g)</t>
  </si>
  <si>
    <t>Bacto Casamino acids (500g)</t>
  </si>
  <si>
    <t>Dextrose (1kg)</t>
  </si>
  <si>
    <t>Galactose (1kg)</t>
  </si>
  <si>
    <t>Streptavidin-488 (SA-PE), Alexa fluor 488 dye</t>
  </si>
  <si>
    <t>KCL (500g)</t>
  </si>
  <si>
    <t>anti-llama antibody</t>
  </si>
  <si>
    <t>Monoclonal Antibody Sequency</t>
  </si>
  <si>
    <t>Samples</t>
  </si>
  <si>
    <t>Fuel for snake mapping</t>
  </si>
  <si>
    <t>Beakers 20ml</t>
  </si>
  <si>
    <t>Beakers 40ml</t>
  </si>
  <si>
    <t>Beakers 60ml</t>
  </si>
  <si>
    <t>Beakers 80ml</t>
  </si>
  <si>
    <t>Biotrim-Vet</t>
  </si>
  <si>
    <t>multivitami</t>
  </si>
  <si>
    <t>Snake beddings/old newspapers</t>
  </si>
  <si>
    <t>Kg</t>
  </si>
  <si>
    <t>Lot</t>
  </si>
  <si>
    <t xml:space="preserve">Fuel </t>
  </si>
  <si>
    <t>Safety Googles</t>
  </si>
  <si>
    <t>Safety boots</t>
  </si>
  <si>
    <t>Heavy duty gloves( hammered)</t>
  </si>
  <si>
    <t>Lab coats branded</t>
  </si>
  <si>
    <t>sachet</t>
  </si>
  <si>
    <t>2.5L</t>
  </si>
  <si>
    <t>Mice cubes</t>
  </si>
  <si>
    <t>50kg bag</t>
  </si>
  <si>
    <t>Ground nuts</t>
  </si>
  <si>
    <t>Chicks for snake feeding</t>
  </si>
  <si>
    <t xml:space="preserve">Digital Camera </t>
  </si>
  <si>
    <t>Laptops</t>
  </si>
  <si>
    <t>Lab Retort Stand</t>
  </si>
  <si>
    <t>OPEN TENDER</t>
  </si>
  <si>
    <t>Develop Standard Operating Procedures (SoPs) for M&amp;E activities(10 Days workshop for 22 pax)</t>
  </si>
  <si>
    <t>PAX</t>
  </si>
  <si>
    <t>Development of SAPP-Project workplan, procurement plan and Cashflow (10days workshop for 25pax)</t>
  </si>
  <si>
    <t>Develop monitoring and evaluation framework tools for SAPP project (10days workshop for 22pax</t>
  </si>
  <si>
    <t>Conduct mid-year review of SAPP of SAPP project performance</t>
  </si>
  <si>
    <t>ISO Staff sensitization: Group 1</t>
  </si>
  <si>
    <t>ISO Staff sensitization: Group 2</t>
  </si>
  <si>
    <t>ISO Staff sensitization: Group 3</t>
  </si>
  <si>
    <t>ISO Staff sensitization: Group 4</t>
  </si>
  <si>
    <t>ISO Auditors training</t>
  </si>
  <si>
    <t>Pedestal mobile 3 drawer</t>
  </si>
  <si>
    <t xml:space="preserve">Medium Back mesh chair-Fixed PP arms, single lock mechanism, Nylon base with Nylon castors </t>
  </si>
  <si>
    <t xml:space="preserve">2 way workstation Desk with white metal frame </t>
  </si>
  <si>
    <t xml:space="preserve">Screen -Desktop clamp mounted -Rounded corners </t>
  </si>
  <si>
    <t>4 drawer filing cabinet -Grey</t>
  </si>
  <si>
    <t xml:space="preserve">Flip chart Board </t>
  </si>
  <si>
    <t>Office heater- Von</t>
  </si>
  <si>
    <t xml:space="preserve">Extension cables </t>
  </si>
  <si>
    <t xml:space="preserve">Executive sofa - two seater with arms and buttons - Ash grey </t>
  </si>
  <si>
    <t>Filing cabinet -glass swing door -Mahogany</t>
  </si>
  <si>
    <t xml:space="preserve">Safe digital lock + Key lock  &amp; tray, rating 60min - Inside </t>
  </si>
  <si>
    <t xml:space="preserve">Airmesh medium back mesh chair -1D arms adjustable Height, Tilt function, Nylon Base with Nylon castors </t>
  </si>
  <si>
    <t>Straight Desk with metal frame (Inclusive front panel)</t>
  </si>
  <si>
    <t>Verona Executive desk  with side extension (Consiting of 3drawers  and filing cabinet)</t>
  </si>
  <si>
    <t xml:space="preserve">Single coat hanger with arms in chrome &amp; wooden finish </t>
  </si>
  <si>
    <t>Water dispensor- Von (Cold, warm &amp; hot)</t>
  </si>
  <si>
    <t xml:space="preserve">Executive confrence table Oblong with panel legs </t>
  </si>
  <si>
    <t xml:space="preserve">Oblog coffee table </t>
  </si>
  <si>
    <t xml:space="preserve">Stockable Plastic chair with chrome legs </t>
  </si>
  <si>
    <t xml:space="preserve">SUMMARY OF PROCUREMENT PLAN </t>
  </si>
  <si>
    <t>Licenses and permits</t>
  </si>
  <si>
    <t>2.Medical and Veterinary Supplies Consumables</t>
  </si>
  <si>
    <t>3.Medical and Veterinary Supplies Non Consumables</t>
  </si>
  <si>
    <t>4.Snake Enrichment Devices/Materials</t>
  </si>
  <si>
    <t>5. Vehicle Maintenance and Fuel</t>
  </si>
  <si>
    <t>6. Uniforms, Protective Gears and Snake Handling Tools</t>
  </si>
  <si>
    <t>7. Laboratory Supplies Non-consumables</t>
  </si>
  <si>
    <t>10.New Snake Cages</t>
  </si>
  <si>
    <t>11.Animal Feeds(Snakes &amp; Rodents)</t>
  </si>
  <si>
    <t>12.Training,Workshops and Conferences</t>
  </si>
  <si>
    <t>Staff Training</t>
  </si>
  <si>
    <t>13.Air Ticket Expenses</t>
  </si>
  <si>
    <t>14.Insurance</t>
  </si>
  <si>
    <r>
      <t>15.</t>
    </r>
    <r>
      <rPr>
        <b/>
        <sz val="12"/>
        <color theme="1"/>
        <rFont val="Calibri"/>
        <family val="2"/>
        <scheme val="minor"/>
      </rPr>
      <t>Computer Hardware and Accessories</t>
    </r>
  </si>
  <si>
    <t>16.Stationery and Printing</t>
  </si>
  <si>
    <t>Medical and Veterinary Supplies Consumables</t>
  </si>
  <si>
    <t>Medical and Veterinary Supplies Non Consumables</t>
  </si>
  <si>
    <t>Snake Enrichment Devices/Materials</t>
  </si>
  <si>
    <t>Vehicle Maintenance and Fuel</t>
  </si>
  <si>
    <t>Uniforms, Protective Gears and Snake Handling Tools</t>
  </si>
  <si>
    <t>17.Publicity Expenses</t>
  </si>
  <si>
    <t>18.Toners and Cartridges</t>
  </si>
  <si>
    <t>19.Office Furiniture and Equipment</t>
  </si>
  <si>
    <t>20. Softwares</t>
  </si>
  <si>
    <t>21.Purchase of New Motor Vehicle</t>
  </si>
  <si>
    <t>22. Electricals</t>
  </si>
  <si>
    <t>Laboratory Supplies Non-consumables</t>
  </si>
  <si>
    <t>Laboratory Chemicals, Reagents and kits</t>
  </si>
  <si>
    <t>New Snake Cages</t>
  </si>
  <si>
    <t>Animal Feeds(Snakes &amp; Rodents)</t>
  </si>
  <si>
    <t>Training,Workshops and Conferences</t>
  </si>
  <si>
    <t>Air Ticket Expenses</t>
  </si>
  <si>
    <t>Insurance</t>
  </si>
  <si>
    <t>Computer Hardware and Accessories</t>
  </si>
  <si>
    <t>Stationery and Printing</t>
  </si>
  <si>
    <t>Publicity Expenses</t>
  </si>
  <si>
    <t>Toners and Cartridges</t>
  </si>
  <si>
    <t>Office Furiniture and Equipment</t>
  </si>
  <si>
    <t>Softwares</t>
  </si>
  <si>
    <t>Purchase of New Motor Vehicle</t>
  </si>
  <si>
    <t>Electricals</t>
  </si>
  <si>
    <t>Lboratory Supplies Consumables</t>
  </si>
  <si>
    <t>AMOUNT</t>
  </si>
  <si>
    <t>TOTAL</t>
  </si>
  <si>
    <t>Purchase Of Animals</t>
  </si>
  <si>
    <t>KENYA SNAKE BITE ANTIVENOM PROCUREMENT PLAN 2024-2025</t>
  </si>
  <si>
    <t>muiltivitamin</t>
  </si>
  <si>
    <t>First Aid kit/Snake emergecy kit</t>
  </si>
  <si>
    <t>Spot Vital Signs Monitor</t>
  </si>
  <si>
    <t>Dissecting kit</t>
  </si>
  <si>
    <t>Restraining tubes( set)</t>
  </si>
  <si>
    <t xml:space="preserve">24.Lab equipments </t>
  </si>
  <si>
    <t>Lab equipments</t>
  </si>
  <si>
    <t>Portable  medical freezer -20</t>
  </si>
  <si>
    <t>pax</t>
  </si>
  <si>
    <t>Conference sub activity 2 for 15 pax for 2 daysat 2 counties</t>
  </si>
  <si>
    <t>Conference sub activity 3 for 15 pax for 5 days at 3 counties</t>
  </si>
  <si>
    <t>Conference sub activity 5 for 18 pax for 5 days in 1 county</t>
  </si>
  <si>
    <t>Conference activity 12 10 pax for 5 days in 1 county</t>
  </si>
  <si>
    <t>Conference sub activity 9 for 18 pax for 5 days in 1 county</t>
  </si>
  <si>
    <t>Conference activity 16 for 15 pax for 5 days in 1 county</t>
  </si>
  <si>
    <t>Conference activity 17 for  35 pax for 5 days in 6counties</t>
  </si>
  <si>
    <t>Conference activity 18 for 15 pax for 5 days in 1 county</t>
  </si>
  <si>
    <t>Conference activity 20 for 35 pax for 5 days in 6 counties</t>
  </si>
  <si>
    <t>Absolute ethanol</t>
  </si>
  <si>
    <t>Absolute methanol</t>
  </si>
  <si>
    <t>Sodium phosphate monobasic</t>
  </si>
  <si>
    <t>Sodium phosphate dibasic</t>
  </si>
  <si>
    <t>Sodium phosphate tribasic</t>
  </si>
  <si>
    <t xml:space="preserve">Analytical weighing balance </t>
  </si>
  <si>
    <t>Liquid nitrogen tank (50ml)</t>
  </si>
  <si>
    <t>Refrigerator double door 635 litres (+4,-20)</t>
  </si>
  <si>
    <t xml:space="preserve"> Electric Inverter APC </t>
  </si>
  <si>
    <t>Mini vortexer mixer</t>
  </si>
  <si>
    <t xml:space="preserve">Laboratory fluorescence microscope </t>
  </si>
  <si>
    <t>Amscope fluorescent microscope camera</t>
  </si>
  <si>
    <t>Pro-safe Fume Hood 6ft</t>
  </si>
  <si>
    <t>Portable medical freezer (-20 )</t>
  </si>
  <si>
    <t>Portable power generator</t>
  </si>
  <si>
    <t>Wheelchair</t>
  </si>
  <si>
    <t>Pallet truck (trolly)</t>
  </si>
  <si>
    <t>CO2 tank and gauge</t>
  </si>
  <si>
    <t>Small animal rodent euthanasia chamber</t>
  </si>
  <si>
    <t>Temperator monitor for freezer room</t>
  </si>
  <si>
    <t>Lab thermometer hygrometer</t>
  </si>
  <si>
    <t>Confined space multi gas detector</t>
  </si>
  <si>
    <t>Equipment maintenance and servicing</t>
  </si>
  <si>
    <t>11.maintainance of lab equipments</t>
  </si>
  <si>
    <t>3.Medical tools  and veterinary supplies non consumbles</t>
  </si>
  <si>
    <t>Parafilm</t>
  </si>
  <si>
    <t>Roll</t>
  </si>
  <si>
    <t>Cellotape Hard &amp; Transparent</t>
  </si>
  <si>
    <t>Paper Towel</t>
  </si>
  <si>
    <t>Cooler Box</t>
  </si>
  <si>
    <t>Snake Enrichment devices/materials</t>
  </si>
  <si>
    <t>Trap boxes/snake hiding boxes</t>
  </si>
  <si>
    <t>Snake drinking water bowls</t>
  </si>
  <si>
    <t xml:space="preserve">No. </t>
  </si>
  <si>
    <t>Snake hiding basins</t>
  </si>
  <si>
    <t>Animal feeding (snakes &amp; Rodents)</t>
  </si>
  <si>
    <t>Mice Beddings/wood chips</t>
  </si>
  <si>
    <t>Bag</t>
  </si>
  <si>
    <t>Bijous Bottles</t>
  </si>
  <si>
    <t>Pcs</t>
  </si>
  <si>
    <t>printing</t>
  </si>
  <si>
    <t>SPECIAL GROUP CATEGORIES</t>
  </si>
  <si>
    <t>Total Allocation to  the reserved Category</t>
  </si>
  <si>
    <t>Total Procurement</t>
  </si>
  <si>
    <t xml:space="preserve">reserved Percentage </t>
  </si>
  <si>
    <t xml:space="preserve"> SNAKE BITE RESEARCH ANTI VENOM PRODUCTION PROCUREMENT PLAN 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</si>
</sst>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Wingdings"/>
      <charset val="2"/>
    </font>
    <font>
      <sz val="12"/>
      <color theme="1"/>
      <name val="Times New Roman"/>
      <family val="1"/>
    </font>
    <font>
      <sz val="11"/>
      <color theme="1"/>
      <name val="Agency FB"/>
      <family val="2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Times New Roman"/>
      <family val="1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Verdana"/>
      <family val="2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6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164" fontId="0" fillId="0" borderId="1" xfId="1" applyFont="1" applyBorder="1"/>
    <xf numFmtId="0" fontId="4" fillId="0" borderId="1" xfId="0" applyFont="1" applyBorder="1"/>
    <xf numFmtId="0" fontId="2" fillId="0" borderId="1" xfId="0" applyFont="1" applyBorder="1" applyAlignment="1">
      <alignment horizontal="left" vertical="top"/>
    </xf>
    <xf numFmtId="0" fontId="2" fillId="0" borderId="2" xfId="0" applyFont="1" applyBorder="1"/>
    <xf numFmtId="0" fontId="2" fillId="0" borderId="3" xfId="0" applyFont="1" applyBorder="1" applyAlignment="1">
      <alignment wrapText="1"/>
    </xf>
    <xf numFmtId="0" fontId="2" fillId="0" borderId="3" xfId="0" applyFont="1" applyBorder="1"/>
    <xf numFmtId="0" fontId="2" fillId="0" borderId="1" xfId="0" applyFont="1" applyBorder="1" applyAlignment="1">
      <alignment horizontal="center" wrapText="1"/>
    </xf>
    <xf numFmtId="0" fontId="2" fillId="0" borderId="8" xfId="0" applyFont="1" applyBorder="1" applyAlignment="1">
      <alignment horizontal="left"/>
    </xf>
    <xf numFmtId="0" fontId="6" fillId="0" borderId="1" xfId="0" applyFont="1" applyBorder="1"/>
    <xf numFmtId="3" fontId="0" fillId="0" borderId="0" xfId="0" applyNumberFormat="1"/>
    <xf numFmtId="43" fontId="0" fillId="0" borderId="1" xfId="0" applyNumberFormat="1" applyBorder="1"/>
    <xf numFmtId="0" fontId="5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0" fillId="2" borderId="0" xfId="0" applyFill="1"/>
    <xf numFmtId="3" fontId="5" fillId="2" borderId="1" xfId="0" applyNumberFormat="1" applyFont="1" applyFill="1" applyBorder="1" applyAlignment="1">
      <alignment vertical="center" wrapText="1"/>
    </xf>
    <xf numFmtId="0" fontId="0" fillId="0" borderId="2" xfId="0" applyBorder="1"/>
    <xf numFmtId="0" fontId="5" fillId="0" borderId="1" xfId="0" applyFont="1" applyFill="1" applyBorder="1" applyAlignment="1">
      <alignment vertical="center" wrapText="1"/>
    </xf>
    <xf numFmtId="164" fontId="0" fillId="2" borderId="1" xfId="1" applyFont="1" applyFill="1" applyBorder="1"/>
    <xf numFmtId="0" fontId="0" fillId="0" borderId="3" xfId="0" applyFill="1" applyBorder="1"/>
    <xf numFmtId="0" fontId="0" fillId="0" borderId="1" xfId="0" applyBorder="1" applyAlignment="1">
      <alignment wrapText="1"/>
    </xf>
    <xf numFmtId="0" fontId="7" fillId="0" borderId="1" xfId="0" applyFont="1" applyBorder="1"/>
    <xf numFmtId="3" fontId="0" fillId="0" borderId="1" xfId="0" applyNumberFormat="1" applyBorder="1"/>
    <xf numFmtId="0" fontId="5" fillId="2" borderId="3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/>
    <xf numFmtId="3" fontId="5" fillId="2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3" fontId="0" fillId="4" borderId="1" xfId="0" applyNumberFormat="1" applyFill="1" applyBorder="1"/>
    <xf numFmtId="0" fontId="0" fillId="4" borderId="3" xfId="0" applyFill="1" applyBorder="1"/>
    <xf numFmtId="0" fontId="0" fillId="4" borderId="3" xfId="0" applyFill="1" applyBorder="1" applyAlignment="1">
      <alignment wrapText="1"/>
    </xf>
    <xf numFmtId="0" fontId="0" fillId="3" borderId="1" xfId="0" applyFill="1" applyBorder="1"/>
    <xf numFmtId="164" fontId="0" fillId="3" borderId="1" xfId="1" applyFont="1" applyFill="1" applyBorder="1"/>
    <xf numFmtId="0" fontId="6" fillId="3" borderId="1" xfId="0" applyFont="1" applyFill="1" applyBorder="1"/>
    <xf numFmtId="0" fontId="5" fillId="4" borderId="1" xfId="0" applyFont="1" applyFill="1" applyBorder="1" applyAlignment="1">
      <alignment vertical="center" wrapText="1"/>
    </xf>
    <xf numFmtId="164" fontId="0" fillId="4" borderId="1" xfId="1" applyFont="1" applyFill="1" applyBorder="1"/>
    <xf numFmtId="43" fontId="0" fillId="4" borderId="1" xfId="0" applyNumberFormat="1" applyFill="1" applyBorder="1"/>
    <xf numFmtId="0" fontId="0" fillId="4" borderId="0" xfId="0" applyFill="1"/>
    <xf numFmtId="0" fontId="2" fillId="4" borderId="1" xfId="0" applyFont="1" applyFill="1" applyBorder="1"/>
    <xf numFmtId="0" fontId="0" fillId="4" borderId="1" xfId="0" applyFont="1" applyFill="1" applyBorder="1"/>
    <xf numFmtId="0" fontId="0" fillId="4" borderId="1" xfId="0" applyFont="1" applyFill="1" applyBorder="1" applyAlignment="1">
      <alignment wrapText="1"/>
    </xf>
    <xf numFmtId="164" fontId="0" fillId="2" borderId="0" xfId="0" applyNumberFormat="1" applyFill="1"/>
    <xf numFmtId="164" fontId="0" fillId="0" borderId="3" xfId="1" applyFont="1" applyFill="1" applyBorder="1"/>
    <xf numFmtId="0" fontId="0" fillId="3" borderId="1" xfId="0" applyFill="1" applyBorder="1" applyAlignment="1">
      <alignment wrapText="1"/>
    </xf>
    <xf numFmtId="43" fontId="0" fillId="2" borderId="1" xfId="0" applyNumberFormat="1" applyFill="1" applyBorder="1"/>
    <xf numFmtId="0" fontId="2" fillId="2" borderId="1" xfId="0" applyFont="1" applyFill="1" applyBorder="1"/>
    <xf numFmtId="0" fontId="9" fillId="2" borderId="1" xfId="0" applyFont="1" applyFill="1" applyBorder="1"/>
    <xf numFmtId="43" fontId="0" fillId="3" borderId="1" xfId="0" applyNumberFormat="1" applyFill="1" applyBorder="1"/>
    <xf numFmtId="0" fontId="0" fillId="3" borderId="0" xfId="0" applyFill="1"/>
    <xf numFmtId="0" fontId="0" fillId="2" borderId="1" xfId="0" applyFill="1" applyBorder="1" applyAlignment="1">
      <alignment wrapText="1"/>
    </xf>
    <xf numFmtId="3" fontId="0" fillId="2" borderId="1" xfId="0" applyNumberFormat="1" applyFill="1" applyBorder="1"/>
    <xf numFmtId="0" fontId="0" fillId="5" borderId="1" xfId="0" applyFill="1" applyBorder="1"/>
    <xf numFmtId="164" fontId="0" fillId="5" borderId="1" xfId="1" applyFont="1" applyFill="1" applyBorder="1"/>
    <xf numFmtId="0" fontId="2" fillId="0" borderId="8" xfId="0" applyFont="1" applyBorder="1" applyAlignment="1">
      <alignment horizontal="left"/>
    </xf>
    <xf numFmtId="0" fontId="5" fillId="0" borderId="3" xfId="0" applyFont="1" applyFill="1" applyBorder="1" applyAlignment="1">
      <alignment vertical="center" wrapText="1"/>
    </xf>
    <xf numFmtId="0" fontId="10" fillId="0" borderId="1" xfId="0" applyFont="1" applyBorder="1"/>
    <xf numFmtId="0" fontId="11" fillId="2" borderId="1" xfId="0" applyFont="1" applyFill="1" applyBorder="1" applyAlignment="1">
      <alignment vertical="center" wrapText="1"/>
    </xf>
    <xf numFmtId="164" fontId="10" fillId="0" borderId="1" xfId="1" applyFont="1" applyBorder="1"/>
    <xf numFmtId="0" fontId="12" fillId="0" borderId="1" xfId="0" applyFont="1" applyBorder="1"/>
    <xf numFmtId="0" fontId="13" fillId="2" borderId="1" xfId="0" applyFont="1" applyFill="1" applyBorder="1" applyAlignment="1">
      <alignment vertical="center" wrapText="1"/>
    </xf>
    <xf numFmtId="164" fontId="12" fillId="0" borderId="1" xfId="1" applyFont="1" applyBorder="1"/>
    <xf numFmtId="0" fontId="14" fillId="0" borderId="0" xfId="0" applyFont="1"/>
    <xf numFmtId="0" fontId="4" fillId="2" borderId="1" xfId="0" applyFont="1" applyFill="1" applyBorder="1"/>
    <xf numFmtId="0" fontId="0" fillId="2" borderId="1" xfId="0" applyFont="1" applyFill="1" applyBorder="1" applyAlignment="1">
      <alignment wrapText="1"/>
    </xf>
    <xf numFmtId="0" fontId="5" fillId="0" borderId="1" xfId="0" applyFont="1" applyFill="1" applyBorder="1" applyAlignment="1">
      <alignment vertical="center"/>
    </xf>
    <xf numFmtId="164" fontId="0" fillId="0" borderId="1" xfId="1" applyFont="1" applyBorder="1" applyAlignment="1">
      <alignment wrapText="1"/>
    </xf>
    <xf numFmtId="0" fontId="15" fillId="0" borderId="1" xfId="0" applyFont="1" applyBorder="1"/>
    <xf numFmtId="164" fontId="0" fillId="0" borderId="1" xfId="0" applyNumberFormat="1" applyBorder="1"/>
    <xf numFmtId="0" fontId="0" fillId="2" borderId="1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2" fillId="0" borderId="1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43" fontId="2" fillId="0" borderId="1" xfId="0" applyNumberFormat="1" applyFont="1" applyBorder="1"/>
    <xf numFmtId="43" fontId="0" fillId="5" borderId="1" xfId="0" applyNumberFormat="1" applyFill="1" applyBorder="1"/>
    <xf numFmtId="164" fontId="3" fillId="2" borderId="1" xfId="1" applyFont="1" applyFill="1" applyBorder="1"/>
    <xf numFmtId="43" fontId="0" fillId="2" borderId="1" xfId="0" applyNumberFormat="1" applyFont="1" applyFill="1" applyBorder="1"/>
    <xf numFmtId="0" fontId="12" fillId="2" borderId="0" xfId="0" applyFont="1" applyFill="1"/>
    <xf numFmtId="0" fontId="12" fillId="4" borderId="1" xfId="0" applyFont="1" applyFill="1" applyBorder="1"/>
    <xf numFmtId="43" fontId="0" fillId="0" borderId="0" xfId="0" applyNumberFormat="1"/>
    <xf numFmtId="0" fontId="6" fillId="5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6" fillId="0" borderId="0" xfId="0" applyFont="1"/>
    <xf numFmtId="0" fontId="0" fillId="0" borderId="1" xfId="0" applyBorder="1" applyAlignment="1">
      <alignment horizontal="center"/>
    </xf>
    <xf numFmtId="0" fontId="16" fillId="3" borderId="1" xfId="0" applyFont="1" applyFill="1" applyBorder="1" applyAlignment="1">
      <alignment vertical="center" wrapText="1"/>
    </xf>
    <xf numFmtId="0" fontId="0" fillId="0" borderId="10" xfId="0" applyBorder="1"/>
    <xf numFmtId="164" fontId="0" fillId="0" borderId="10" xfId="1" applyFont="1" applyBorder="1"/>
    <xf numFmtId="3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wrapText="1"/>
    </xf>
    <xf numFmtId="0" fontId="6" fillId="2" borderId="1" xfId="0" applyFont="1" applyFill="1" applyBorder="1" applyAlignment="1">
      <alignment horizontal="center"/>
    </xf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1" xfId="0" applyFont="1" applyBorder="1" applyAlignment="1">
      <alignment horizontal="center" wrapText="1"/>
    </xf>
    <xf numFmtId="0" fontId="2" fillId="0" borderId="7" xfId="0" applyFont="1" applyBorder="1"/>
    <xf numFmtId="0" fontId="0" fillId="0" borderId="1" xfId="0" applyFont="1" applyBorder="1" applyAlignment="1"/>
    <xf numFmtId="0" fontId="0" fillId="2" borderId="1" xfId="0" applyFill="1" applyBorder="1" applyAlignment="1">
      <alignment horizontal="center"/>
    </xf>
    <xf numFmtId="164" fontId="2" fillId="0" borderId="1" xfId="1" applyFont="1" applyBorder="1"/>
    <xf numFmtId="164" fontId="2" fillId="2" borderId="1" xfId="1" applyFont="1" applyFill="1" applyBorder="1"/>
    <xf numFmtId="0" fontId="12" fillId="2" borderId="1" xfId="0" applyFont="1" applyFill="1" applyBorder="1"/>
    <xf numFmtId="164" fontId="2" fillId="2" borderId="1" xfId="0" applyNumberFormat="1" applyFont="1" applyFill="1" applyBorder="1"/>
    <xf numFmtId="0" fontId="0" fillId="5" borderId="1" xfId="0" applyFill="1" applyBorder="1" applyAlignment="1">
      <alignment horizontal="right"/>
    </xf>
    <xf numFmtId="164" fontId="2" fillId="5" borderId="1" xfId="1" applyFont="1" applyFill="1" applyBorder="1"/>
    <xf numFmtId="0" fontId="0" fillId="2" borderId="7" xfId="0" applyFill="1" applyBorder="1"/>
    <xf numFmtId="0" fontId="0" fillId="2" borderId="8" xfId="0" applyFill="1" applyBorder="1"/>
    <xf numFmtId="164" fontId="5" fillId="2" borderId="1" xfId="1" applyFont="1" applyFill="1" applyBorder="1"/>
    <xf numFmtId="0" fontId="18" fillId="2" borderId="1" xfId="0" applyFont="1" applyFill="1" applyBorder="1"/>
    <xf numFmtId="0" fontId="18" fillId="2" borderId="1" xfId="0" applyFont="1" applyFill="1" applyBorder="1" applyAlignment="1">
      <alignment horizontal="center" wrapText="1"/>
    </xf>
    <xf numFmtId="0" fontId="5" fillId="5" borderId="1" xfId="0" applyFont="1" applyFill="1" applyBorder="1"/>
    <xf numFmtId="0" fontId="5" fillId="5" borderId="1" xfId="0" applyFont="1" applyFill="1" applyBorder="1" applyAlignment="1">
      <alignment vertical="center" wrapText="1"/>
    </xf>
    <xf numFmtId="3" fontId="5" fillId="5" borderId="1" xfId="0" applyNumberFormat="1" applyFont="1" applyFill="1" applyBorder="1" applyAlignment="1">
      <alignment vertical="center" wrapText="1"/>
    </xf>
    <xf numFmtId="164" fontId="5" fillId="5" borderId="1" xfId="1" applyFont="1" applyFill="1" applyBorder="1"/>
    <xf numFmtId="0" fontId="5" fillId="5" borderId="1" xfId="0" applyFont="1" applyFill="1" applyBorder="1" applyAlignment="1">
      <alignment wrapText="1"/>
    </xf>
    <xf numFmtId="3" fontId="5" fillId="5" borderId="1" xfId="0" applyNumberFormat="1" applyFont="1" applyFill="1" applyBorder="1" applyAlignment="1">
      <alignment horizontal="center" wrapText="1"/>
    </xf>
    <xf numFmtId="3" fontId="5" fillId="5" borderId="1" xfId="0" applyNumberFormat="1" applyFont="1" applyFill="1" applyBorder="1"/>
    <xf numFmtId="0" fontId="18" fillId="5" borderId="1" xfId="0" applyFont="1" applyFill="1" applyBorder="1"/>
    <xf numFmtId="0" fontId="2" fillId="0" borderId="0" xfId="0" applyFont="1"/>
    <xf numFmtId="164" fontId="2" fillId="0" borderId="1" xfId="0" applyNumberFormat="1" applyFont="1" applyBorder="1"/>
    <xf numFmtId="4" fontId="0" fillId="0" borderId="0" xfId="0" applyNumberFormat="1"/>
    <xf numFmtId="164" fontId="2" fillId="0" borderId="0" xfId="1" applyFont="1" applyAlignment="1">
      <alignment horizontal="center"/>
    </xf>
    <xf numFmtId="0" fontId="0" fillId="5" borderId="0" xfId="0" applyFill="1"/>
    <xf numFmtId="4" fontId="0" fillId="5" borderId="0" xfId="0" applyNumberFormat="1" applyFill="1"/>
    <xf numFmtId="3" fontId="0" fillId="5" borderId="0" xfId="0" applyNumberFormat="1" applyFill="1"/>
    <xf numFmtId="0" fontId="8" fillId="2" borderId="7" xfId="0" applyFont="1" applyFill="1" applyBorder="1" applyAlignment="1">
      <alignment horizontal="left"/>
    </xf>
    <xf numFmtId="0" fontId="8" fillId="2" borderId="8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2" fillId="2" borderId="7" xfId="0" applyFont="1" applyFill="1" applyBorder="1" applyAlignment="1"/>
    <xf numFmtId="0" fontId="2" fillId="2" borderId="8" xfId="0" applyFont="1" applyFill="1" applyBorder="1" applyAlignment="1"/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7" xfId="0" applyFont="1" applyBorder="1"/>
    <xf numFmtId="0" fontId="2" fillId="0" borderId="8" xfId="0" applyFont="1" applyBorder="1"/>
    <xf numFmtId="0" fontId="0" fillId="0" borderId="1" xfId="0" applyFont="1" applyBorder="1" applyAlignment="1"/>
    <xf numFmtId="0" fontId="0" fillId="5" borderId="1" xfId="0" applyFont="1" applyFill="1" applyBorder="1" applyAlignment="1">
      <alignment horizontal="left"/>
    </xf>
    <xf numFmtId="0" fontId="0" fillId="0" borderId="7" xfId="0" applyFont="1" applyBorder="1" applyAlignment="1">
      <alignment horizontal="left"/>
    </xf>
    <xf numFmtId="0" fontId="0" fillId="0" borderId="9" xfId="0" applyFont="1" applyBorder="1" applyAlignment="1">
      <alignment horizontal="left"/>
    </xf>
    <xf numFmtId="0" fontId="0" fillId="0" borderId="8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17" fillId="0" borderId="1" xfId="0" applyFont="1" applyBorder="1" applyAlignment="1"/>
    <xf numFmtId="0" fontId="0" fillId="0" borderId="1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7" xfId="0" applyFont="1" applyBorder="1" applyAlignment="1"/>
    <xf numFmtId="0" fontId="0" fillId="0" borderId="9" xfId="0" applyFont="1" applyBorder="1" applyAlignment="1"/>
    <xf numFmtId="0" fontId="0" fillId="0" borderId="8" xfId="0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523875</xdr:colOff>
      <xdr:row>7</xdr:row>
      <xdr:rowOff>157162</xdr:rowOff>
    </xdr:from>
    <xdr:ext cx="65" cy="172227"/>
    <xdr:sp macro="" textlink="">
      <xdr:nvSpPr>
        <xdr:cNvPr id="2" name="TextBox 1"/>
        <xdr:cNvSpPr txBox="1"/>
      </xdr:nvSpPr>
      <xdr:spPr>
        <a:xfrm>
          <a:off x="5943600" y="18716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523875</xdr:colOff>
      <xdr:row>8</xdr:row>
      <xdr:rowOff>157162</xdr:rowOff>
    </xdr:from>
    <xdr:ext cx="65" cy="172227"/>
    <xdr:sp macro="" textlink="">
      <xdr:nvSpPr>
        <xdr:cNvPr id="3" name="TextBox 2"/>
        <xdr:cNvSpPr txBox="1"/>
      </xdr:nvSpPr>
      <xdr:spPr>
        <a:xfrm>
          <a:off x="7187911" y="163267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523875</xdr:colOff>
      <xdr:row>7</xdr:row>
      <xdr:rowOff>157162</xdr:rowOff>
    </xdr:from>
    <xdr:ext cx="404380" cy="99147"/>
    <xdr:sp macro="" textlink="">
      <xdr:nvSpPr>
        <xdr:cNvPr id="2" name="TextBox 1"/>
        <xdr:cNvSpPr txBox="1"/>
      </xdr:nvSpPr>
      <xdr:spPr>
        <a:xfrm>
          <a:off x="7084002" y="1632671"/>
          <a:ext cx="404380" cy="99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B348"/>
  <sheetViews>
    <sheetView topLeftCell="A10" zoomScale="110" zoomScaleNormal="110" workbookViewId="0">
      <selection activeCell="H342" sqref="H342"/>
    </sheetView>
  </sheetViews>
  <sheetFormatPr defaultRowHeight="15" x14ac:dyDescent="0.25"/>
  <cols>
    <col min="1" max="1" width="15" customWidth="1"/>
    <col min="2" max="2" width="31.42578125" customWidth="1"/>
    <col min="3" max="3" width="7.85546875" customWidth="1"/>
    <col min="4" max="4" width="6.7109375" customWidth="1"/>
    <col min="5" max="5" width="16.7109375" customWidth="1"/>
    <col min="6" max="6" width="20.85546875" customWidth="1"/>
    <col min="7" max="7" width="10" customWidth="1"/>
    <col min="8" max="8" width="19.140625" customWidth="1"/>
    <col min="9" max="9" width="11.7109375" customWidth="1"/>
    <col min="20" max="20" width="9.7109375" customWidth="1"/>
    <col min="21" max="21" width="16.140625" customWidth="1"/>
  </cols>
  <sheetData>
    <row r="1" spans="1:21" x14ac:dyDescent="0.25">
      <c r="E1" s="152" t="s">
        <v>536</v>
      </c>
      <c r="F1" s="152"/>
      <c r="G1" s="152"/>
      <c r="H1" s="152"/>
    </row>
    <row r="2" spans="1:21" ht="30" x14ac:dyDescent="0.25">
      <c r="A2" s="3"/>
      <c r="B2" s="30" t="s">
        <v>0</v>
      </c>
      <c r="C2" s="30" t="s">
        <v>42</v>
      </c>
      <c r="D2" s="3" t="s">
        <v>1</v>
      </c>
      <c r="E2" s="30" t="s">
        <v>2</v>
      </c>
      <c r="F2" s="30" t="s">
        <v>3</v>
      </c>
      <c r="G2" s="30" t="s">
        <v>4</v>
      </c>
      <c r="H2" s="30" t="s">
        <v>5</v>
      </c>
      <c r="I2" s="30" t="s">
        <v>6</v>
      </c>
      <c r="J2" s="3" t="s">
        <v>7</v>
      </c>
      <c r="K2" s="3" t="s">
        <v>8</v>
      </c>
      <c r="L2" s="3" t="s">
        <v>9</v>
      </c>
      <c r="M2" s="3" t="s">
        <v>16</v>
      </c>
      <c r="N2" s="138" t="s">
        <v>10</v>
      </c>
      <c r="O2" s="139"/>
      <c r="P2" s="139"/>
      <c r="Q2" s="139"/>
      <c r="R2" s="139"/>
      <c r="S2" s="139"/>
      <c r="T2" s="139"/>
      <c r="U2" s="140"/>
    </row>
    <row r="3" spans="1:21" x14ac:dyDescent="0.25">
      <c r="A3" s="3"/>
      <c r="B3" s="30"/>
      <c r="C3" s="30"/>
      <c r="D3" s="3"/>
      <c r="E3" s="30"/>
      <c r="F3" s="30"/>
      <c r="G3" s="30"/>
      <c r="H3" s="30"/>
      <c r="I3" s="30"/>
      <c r="J3" s="3"/>
      <c r="K3" s="3"/>
      <c r="L3" s="3"/>
      <c r="M3" s="3"/>
      <c r="N3" s="143" t="s">
        <v>11</v>
      </c>
      <c r="O3" s="144"/>
      <c r="P3" s="143" t="s">
        <v>12</v>
      </c>
      <c r="Q3" s="144"/>
      <c r="R3" s="143" t="s">
        <v>13</v>
      </c>
      <c r="S3" s="144"/>
      <c r="T3" s="143" t="s">
        <v>14</v>
      </c>
      <c r="U3" s="144"/>
    </row>
    <row r="4" spans="1:21" x14ac:dyDescent="0.25">
      <c r="A4" s="3"/>
      <c r="B4" s="30"/>
      <c r="C4" s="30"/>
      <c r="D4" s="3"/>
      <c r="E4" s="30"/>
      <c r="F4" s="30"/>
      <c r="G4" s="30"/>
      <c r="H4" s="30"/>
      <c r="I4" s="30"/>
      <c r="J4" s="3"/>
      <c r="K4" s="3"/>
      <c r="L4" s="3"/>
      <c r="M4" s="3"/>
      <c r="N4" t="s">
        <v>1</v>
      </c>
      <c r="O4" s="102" t="s">
        <v>15</v>
      </c>
      <c r="P4" t="s">
        <v>1</v>
      </c>
      <c r="Q4" s="1" t="s">
        <v>15</v>
      </c>
      <c r="R4" t="s">
        <v>1</v>
      </c>
      <c r="S4" s="1" t="s">
        <v>15</v>
      </c>
      <c r="T4" t="s">
        <v>1</v>
      </c>
      <c r="U4" s="1" t="s">
        <v>15</v>
      </c>
    </row>
    <row r="5" spans="1:21" ht="15.75" x14ac:dyDescent="0.25">
      <c r="A5" s="153" t="s">
        <v>17</v>
      </c>
      <c r="B5" s="154"/>
      <c r="C5" s="6"/>
      <c r="D5" s="1"/>
      <c r="E5" s="4"/>
      <c r="F5" s="4"/>
      <c r="G5" s="1"/>
      <c r="H5" s="1"/>
      <c r="I5" s="1"/>
      <c r="J5" s="1"/>
      <c r="K5" s="1"/>
      <c r="L5" s="1"/>
      <c r="M5" s="9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">
        <v>1</v>
      </c>
      <c r="B6" s="1" t="s">
        <v>18</v>
      </c>
      <c r="C6" s="1"/>
      <c r="D6" s="1">
        <v>1</v>
      </c>
      <c r="E6" s="4">
        <v>10000</v>
      </c>
      <c r="F6" s="4">
        <f>D6*E6</f>
        <v>10000</v>
      </c>
      <c r="G6" s="1" t="s">
        <v>23</v>
      </c>
      <c r="H6" s="1" t="s">
        <v>24</v>
      </c>
      <c r="I6" s="1" t="s">
        <v>22</v>
      </c>
      <c r="J6" s="1"/>
      <c r="K6" s="1"/>
      <c r="L6" s="1"/>
      <c r="M6" s="88" t="s">
        <v>25</v>
      </c>
      <c r="N6" s="1"/>
      <c r="O6" s="1"/>
      <c r="P6" s="1"/>
      <c r="Q6" s="1"/>
      <c r="R6" s="1"/>
      <c r="S6" s="1"/>
      <c r="T6" s="1">
        <v>1</v>
      </c>
      <c r="U6" s="14">
        <f>D6*E6</f>
        <v>10000</v>
      </c>
    </row>
    <row r="7" spans="1:21" x14ac:dyDescent="0.25">
      <c r="A7" s="1">
        <v>2</v>
      </c>
      <c r="B7" s="1" t="s">
        <v>19</v>
      </c>
      <c r="C7" s="1"/>
      <c r="D7" s="1">
        <v>1</v>
      </c>
      <c r="E7" s="4">
        <v>10000</v>
      </c>
      <c r="F7" s="4">
        <f t="shared" ref="F7:F74" si="0">D7*E7</f>
        <v>10000</v>
      </c>
      <c r="G7" s="1" t="s">
        <v>23</v>
      </c>
      <c r="H7" s="1" t="s">
        <v>24</v>
      </c>
      <c r="I7" s="1" t="s">
        <v>22</v>
      </c>
      <c r="J7" s="1"/>
      <c r="K7" s="1"/>
      <c r="L7" s="1"/>
      <c r="M7" s="88" t="s">
        <v>25</v>
      </c>
      <c r="N7" s="1"/>
      <c r="O7" s="1"/>
      <c r="P7" s="1"/>
      <c r="Q7" s="1"/>
      <c r="R7" s="1"/>
      <c r="S7" s="1"/>
      <c r="T7" s="1">
        <v>1</v>
      </c>
      <c r="U7" s="14">
        <f t="shared" ref="U7:U74" si="1">D7*E7</f>
        <v>10000</v>
      </c>
    </row>
    <row r="8" spans="1:21" x14ac:dyDescent="0.25">
      <c r="A8" s="1">
        <v>3</v>
      </c>
      <c r="B8" s="1" t="s">
        <v>20</v>
      </c>
      <c r="C8" s="1"/>
      <c r="D8" s="1">
        <v>1</v>
      </c>
      <c r="E8" s="4">
        <v>50000</v>
      </c>
      <c r="F8" s="4">
        <f t="shared" si="0"/>
        <v>50000</v>
      </c>
      <c r="G8" s="1" t="s">
        <v>23</v>
      </c>
      <c r="H8" s="1" t="s">
        <v>24</v>
      </c>
      <c r="I8" s="1" t="s">
        <v>22</v>
      </c>
      <c r="J8" s="1"/>
      <c r="K8" s="1"/>
      <c r="L8" s="1"/>
      <c r="M8" s="88" t="s">
        <v>25</v>
      </c>
      <c r="N8" s="1"/>
      <c r="O8" s="1"/>
      <c r="P8" s="1"/>
      <c r="Q8" s="1"/>
      <c r="R8" s="1"/>
      <c r="S8" s="1"/>
      <c r="T8" s="1">
        <v>1</v>
      </c>
      <c r="U8" s="14">
        <f t="shared" si="1"/>
        <v>50000</v>
      </c>
    </row>
    <row r="9" spans="1:21" x14ac:dyDescent="0.25">
      <c r="A9" s="1">
        <v>4</v>
      </c>
      <c r="B9" s="1" t="s">
        <v>357</v>
      </c>
      <c r="C9" s="1"/>
      <c r="D9" s="1">
        <v>1</v>
      </c>
      <c r="E9" s="4">
        <v>10000</v>
      </c>
      <c r="F9" s="4">
        <f t="shared" si="0"/>
        <v>10000</v>
      </c>
      <c r="G9" s="1" t="s">
        <v>23</v>
      </c>
      <c r="H9" s="1" t="s">
        <v>24</v>
      </c>
      <c r="I9" s="1" t="s">
        <v>22</v>
      </c>
      <c r="J9" s="1"/>
      <c r="K9" s="1"/>
      <c r="L9" s="1"/>
      <c r="M9" s="88" t="s">
        <v>25</v>
      </c>
      <c r="N9" s="1"/>
      <c r="O9" s="1"/>
      <c r="P9" s="1"/>
      <c r="Q9" s="1"/>
      <c r="R9" s="1"/>
      <c r="S9" s="1"/>
      <c r="T9" s="1">
        <v>1</v>
      </c>
      <c r="U9" s="14">
        <f t="shared" si="1"/>
        <v>10000</v>
      </c>
    </row>
    <row r="10" spans="1:21" x14ac:dyDescent="0.25">
      <c r="A10" s="1">
        <v>5</v>
      </c>
      <c r="B10" s="1" t="s">
        <v>21</v>
      </c>
      <c r="C10" s="1"/>
      <c r="D10" s="1">
        <v>1</v>
      </c>
      <c r="E10" s="4">
        <v>13300</v>
      </c>
      <c r="F10" s="4">
        <f t="shared" si="0"/>
        <v>13300</v>
      </c>
      <c r="G10" s="1" t="s">
        <v>23</v>
      </c>
      <c r="H10" s="1" t="s">
        <v>24</v>
      </c>
      <c r="I10" s="1" t="s">
        <v>22</v>
      </c>
      <c r="J10" s="1"/>
      <c r="K10" s="1"/>
      <c r="L10" s="1"/>
      <c r="M10" s="88" t="s">
        <v>25</v>
      </c>
      <c r="N10" s="1"/>
      <c r="O10" s="1"/>
      <c r="P10" s="1"/>
      <c r="Q10" s="1"/>
      <c r="R10" s="1"/>
      <c r="S10" s="1"/>
      <c r="T10" s="1">
        <v>1</v>
      </c>
      <c r="U10" s="14">
        <f t="shared" si="1"/>
        <v>13300</v>
      </c>
    </row>
    <row r="11" spans="1:21" x14ac:dyDescent="0.25">
      <c r="A11" s="36">
        <v>6</v>
      </c>
      <c r="B11" s="36" t="s">
        <v>192</v>
      </c>
      <c r="C11" s="36"/>
      <c r="D11" s="36">
        <v>1</v>
      </c>
      <c r="E11" s="37"/>
      <c r="F11" s="37"/>
      <c r="G11" s="36" t="s">
        <v>23</v>
      </c>
      <c r="H11" s="36" t="s">
        <v>24</v>
      </c>
      <c r="I11" s="36" t="s">
        <v>22</v>
      </c>
      <c r="J11" s="36"/>
      <c r="K11" s="36"/>
      <c r="L11" s="36"/>
      <c r="M11" s="89" t="s">
        <v>25</v>
      </c>
      <c r="N11" s="36"/>
      <c r="O11" s="36"/>
      <c r="P11" s="36"/>
      <c r="Q11" s="36"/>
      <c r="R11" s="36"/>
      <c r="S11" s="36"/>
      <c r="T11" s="36">
        <v>1</v>
      </c>
      <c r="U11" s="52">
        <f t="shared" si="1"/>
        <v>0</v>
      </c>
    </row>
    <row r="12" spans="1:21" x14ac:dyDescent="0.25">
      <c r="A12" s="1"/>
      <c r="B12" s="1"/>
      <c r="C12" s="1"/>
      <c r="D12" s="1"/>
      <c r="E12" s="4"/>
      <c r="F12" s="4"/>
      <c r="G12" s="1"/>
      <c r="H12" s="1"/>
      <c r="I12" s="1"/>
      <c r="J12" s="1"/>
      <c r="K12" s="1"/>
      <c r="L12" s="1"/>
      <c r="M12" s="88"/>
      <c r="N12" s="1"/>
      <c r="O12" s="1"/>
      <c r="P12" s="1"/>
      <c r="Q12" s="1"/>
      <c r="R12" s="1"/>
      <c r="S12" s="1"/>
      <c r="T12" s="1"/>
      <c r="U12" s="14"/>
    </row>
    <row r="13" spans="1:21" x14ac:dyDescent="0.25">
      <c r="A13" s="1"/>
      <c r="B13" s="1"/>
      <c r="C13" s="1"/>
      <c r="D13" s="1"/>
      <c r="E13" s="4"/>
      <c r="F13" s="106">
        <f>SUM(F6:F12)</f>
        <v>93300</v>
      </c>
      <c r="G13" s="1"/>
      <c r="H13" s="1"/>
      <c r="I13" s="1"/>
      <c r="J13" s="1"/>
      <c r="K13" s="1"/>
      <c r="L13" s="1"/>
      <c r="M13" s="88"/>
      <c r="N13" s="1"/>
      <c r="O13" s="1"/>
      <c r="P13" s="1"/>
      <c r="Q13" s="1"/>
      <c r="R13" s="1"/>
      <c r="S13" s="1"/>
      <c r="T13" s="1"/>
      <c r="U13" s="14"/>
    </row>
    <row r="14" spans="1:21" x14ac:dyDescent="0.25">
      <c r="A14" s="3" t="s">
        <v>428</v>
      </c>
      <c r="B14" s="3"/>
      <c r="C14" s="3"/>
      <c r="D14" s="1"/>
      <c r="E14" s="4"/>
      <c r="F14" s="4"/>
      <c r="G14" s="1"/>
      <c r="H14" s="1"/>
      <c r="I14" s="1"/>
      <c r="J14" s="1"/>
      <c r="K14" s="1"/>
      <c r="L14" s="1"/>
      <c r="M14" s="91"/>
      <c r="N14" s="1"/>
      <c r="O14" s="1"/>
      <c r="P14" s="1"/>
      <c r="Q14" s="1"/>
      <c r="R14" s="1"/>
      <c r="S14" s="1"/>
      <c r="T14" s="1"/>
      <c r="U14" s="14"/>
    </row>
    <row r="15" spans="1:21" ht="63" x14ac:dyDescent="0.25">
      <c r="A15" s="1">
        <v>1</v>
      </c>
      <c r="B15" s="15" t="s">
        <v>303</v>
      </c>
      <c r="C15" s="1" t="s">
        <v>91</v>
      </c>
      <c r="D15" s="23">
        <v>50</v>
      </c>
      <c r="E15" s="4">
        <v>72000</v>
      </c>
      <c r="F15" s="4">
        <f>D15*E15</f>
        <v>3600000</v>
      </c>
      <c r="G15" s="1" t="s">
        <v>23</v>
      </c>
      <c r="H15" s="1" t="s">
        <v>24</v>
      </c>
      <c r="I15" s="1" t="s">
        <v>22</v>
      </c>
      <c r="J15" s="1"/>
      <c r="K15" s="1"/>
      <c r="L15" s="1"/>
      <c r="M15" s="88" t="s">
        <v>25</v>
      </c>
      <c r="N15" s="1"/>
      <c r="O15" s="1"/>
      <c r="P15" s="1"/>
      <c r="Q15" s="1"/>
      <c r="R15" s="1"/>
      <c r="S15" s="1"/>
      <c r="T15" s="23">
        <v>50</v>
      </c>
      <c r="U15" s="14">
        <f>E15*T15</f>
        <v>3600000</v>
      </c>
    </row>
    <row r="16" spans="1:21" ht="15.75" x14ac:dyDescent="0.25">
      <c r="A16" s="1">
        <v>3</v>
      </c>
      <c r="B16" s="15" t="s">
        <v>132</v>
      </c>
      <c r="C16" s="1" t="s">
        <v>135</v>
      </c>
      <c r="D16" s="23">
        <v>2</v>
      </c>
      <c r="E16" s="4">
        <v>600</v>
      </c>
      <c r="F16" s="4">
        <f t="shared" ref="F16:F33" si="2">D16*E16</f>
        <v>1200</v>
      </c>
      <c r="G16" s="1" t="s">
        <v>23</v>
      </c>
      <c r="H16" s="1" t="s">
        <v>28</v>
      </c>
      <c r="I16" s="1" t="s">
        <v>22</v>
      </c>
      <c r="J16" s="1"/>
      <c r="K16" s="1"/>
      <c r="L16" s="1"/>
      <c r="M16" s="88" t="s">
        <v>25</v>
      </c>
      <c r="N16" s="1"/>
      <c r="O16" s="1"/>
      <c r="P16" s="1"/>
      <c r="Q16" s="1"/>
      <c r="R16" s="1"/>
      <c r="S16" s="1"/>
      <c r="T16" s="23">
        <v>2</v>
      </c>
      <c r="U16" s="14">
        <f t="shared" ref="U16:U33" si="3">E16*T16</f>
        <v>1200</v>
      </c>
    </row>
    <row r="17" spans="1:21" ht="15.75" x14ac:dyDescent="0.25">
      <c r="A17" s="1">
        <v>5</v>
      </c>
      <c r="B17" s="15" t="s">
        <v>134</v>
      </c>
      <c r="C17" s="1" t="s">
        <v>137</v>
      </c>
      <c r="D17" s="23">
        <v>2</v>
      </c>
      <c r="E17" s="4">
        <v>2600</v>
      </c>
      <c r="F17" s="4">
        <f t="shared" si="2"/>
        <v>5200</v>
      </c>
      <c r="G17" s="1" t="s">
        <v>23</v>
      </c>
      <c r="H17" s="1" t="s">
        <v>28</v>
      </c>
      <c r="I17" s="1" t="s">
        <v>22</v>
      </c>
      <c r="J17" s="1"/>
      <c r="K17" s="1"/>
      <c r="L17" s="1"/>
      <c r="M17" s="88" t="s">
        <v>25</v>
      </c>
      <c r="N17" s="1"/>
      <c r="O17" s="1"/>
      <c r="P17" s="1"/>
      <c r="Q17" s="1"/>
      <c r="R17" s="1"/>
      <c r="S17" s="1"/>
      <c r="T17" s="23">
        <v>2</v>
      </c>
      <c r="U17" s="14">
        <f t="shared" si="3"/>
        <v>5200</v>
      </c>
    </row>
    <row r="18" spans="1:21" ht="15.75" x14ac:dyDescent="0.25">
      <c r="A18" s="1">
        <v>6</v>
      </c>
      <c r="B18" s="15" t="s">
        <v>144</v>
      </c>
      <c r="C18" s="1" t="s">
        <v>71</v>
      </c>
      <c r="D18" s="23">
        <v>30</v>
      </c>
      <c r="E18" s="4">
        <v>1600</v>
      </c>
      <c r="F18" s="4">
        <f t="shared" si="2"/>
        <v>48000</v>
      </c>
      <c r="G18" s="1" t="s">
        <v>23</v>
      </c>
      <c r="H18" s="1" t="s">
        <v>28</v>
      </c>
      <c r="I18" s="1" t="s">
        <v>22</v>
      </c>
      <c r="J18" s="1"/>
      <c r="K18" s="1"/>
      <c r="L18" s="1"/>
      <c r="M18" s="88" t="s">
        <v>25</v>
      </c>
      <c r="N18" s="1"/>
      <c r="O18" s="1"/>
      <c r="P18" s="1"/>
      <c r="Q18" s="1"/>
      <c r="R18" s="1"/>
      <c r="S18" s="1"/>
      <c r="T18" s="23">
        <v>30</v>
      </c>
      <c r="U18" s="14">
        <f t="shared" si="3"/>
        <v>48000</v>
      </c>
    </row>
    <row r="19" spans="1:21" ht="15.75" x14ac:dyDescent="0.25">
      <c r="A19" s="1">
        <v>7</v>
      </c>
      <c r="B19" s="15" t="s">
        <v>142</v>
      </c>
      <c r="C19" s="1" t="s">
        <v>71</v>
      </c>
      <c r="D19" s="23">
        <v>30</v>
      </c>
      <c r="E19" s="4">
        <v>1500</v>
      </c>
      <c r="F19" s="4">
        <f t="shared" si="2"/>
        <v>45000</v>
      </c>
      <c r="G19" s="1" t="s">
        <v>23</v>
      </c>
      <c r="H19" s="1" t="s">
        <v>28</v>
      </c>
      <c r="I19" s="1" t="s">
        <v>22</v>
      </c>
      <c r="J19" s="1"/>
      <c r="K19" s="1"/>
      <c r="L19" s="1"/>
      <c r="M19" s="88" t="s">
        <v>25</v>
      </c>
      <c r="N19" s="1"/>
      <c r="O19" s="1"/>
      <c r="P19" s="1"/>
      <c r="Q19" s="1"/>
      <c r="R19" s="1"/>
      <c r="S19" s="1"/>
      <c r="T19" s="23">
        <v>30</v>
      </c>
      <c r="U19" s="14">
        <f t="shared" si="3"/>
        <v>45000</v>
      </c>
    </row>
    <row r="20" spans="1:21" ht="15.75" x14ac:dyDescent="0.25">
      <c r="A20" s="1">
        <v>8</v>
      </c>
      <c r="B20" s="15" t="s">
        <v>143</v>
      </c>
      <c r="C20" s="1" t="s">
        <v>71</v>
      </c>
      <c r="D20" s="23">
        <v>30</v>
      </c>
      <c r="E20" s="4">
        <v>1600</v>
      </c>
      <c r="F20" s="4">
        <f t="shared" si="2"/>
        <v>48000</v>
      </c>
      <c r="G20" s="1" t="s">
        <v>23</v>
      </c>
      <c r="H20" s="1" t="s">
        <v>28</v>
      </c>
      <c r="I20" s="1" t="s">
        <v>22</v>
      </c>
      <c r="J20" s="1"/>
      <c r="K20" s="1"/>
      <c r="L20" s="1"/>
      <c r="M20" s="88" t="s">
        <v>25</v>
      </c>
      <c r="N20" s="1"/>
      <c r="O20" s="1"/>
      <c r="P20" s="1"/>
      <c r="Q20" s="1"/>
      <c r="R20" s="1"/>
      <c r="S20" s="1"/>
      <c r="T20" s="23">
        <v>30</v>
      </c>
      <c r="U20" s="14">
        <f t="shared" si="3"/>
        <v>48000</v>
      </c>
    </row>
    <row r="21" spans="1:21" ht="15.75" x14ac:dyDescent="0.25">
      <c r="A21" s="1">
        <v>9</v>
      </c>
      <c r="B21" s="15" t="s">
        <v>139</v>
      </c>
      <c r="C21" s="1" t="s">
        <v>71</v>
      </c>
      <c r="D21" s="23">
        <v>4</v>
      </c>
      <c r="E21" s="4">
        <v>8500</v>
      </c>
      <c r="F21" s="4">
        <f t="shared" si="2"/>
        <v>34000</v>
      </c>
      <c r="G21" s="1" t="s">
        <v>23</v>
      </c>
      <c r="H21" s="1" t="s">
        <v>28</v>
      </c>
      <c r="I21" s="1" t="s">
        <v>22</v>
      </c>
      <c r="J21" s="1"/>
      <c r="K21" s="1"/>
      <c r="L21" s="1"/>
      <c r="M21" s="88" t="s">
        <v>25</v>
      </c>
      <c r="N21" s="1"/>
      <c r="O21" s="1"/>
      <c r="P21" s="1"/>
      <c r="Q21" s="1"/>
      <c r="R21" s="1"/>
      <c r="S21" s="1"/>
      <c r="T21" s="23">
        <v>4</v>
      </c>
      <c r="U21" s="14">
        <f t="shared" si="3"/>
        <v>34000</v>
      </c>
    </row>
    <row r="22" spans="1:21" ht="15.75" x14ac:dyDescent="0.25">
      <c r="A22" s="1">
        <v>10</v>
      </c>
      <c r="B22" s="15" t="s">
        <v>140</v>
      </c>
      <c r="C22" s="1" t="s">
        <v>71</v>
      </c>
      <c r="D22" s="23">
        <v>4</v>
      </c>
      <c r="E22" s="4">
        <v>5000</v>
      </c>
      <c r="F22" s="4">
        <f t="shared" si="2"/>
        <v>20000</v>
      </c>
      <c r="G22" s="1" t="s">
        <v>23</v>
      </c>
      <c r="H22" s="1" t="s">
        <v>28</v>
      </c>
      <c r="I22" s="1" t="s">
        <v>22</v>
      </c>
      <c r="J22" s="1"/>
      <c r="K22" s="1"/>
      <c r="L22" s="1"/>
      <c r="M22" s="88" t="s">
        <v>25</v>
      </c>
      <c r="N22" s="1"/>
      <c r="O22" s="1"/>
      <c r="P22" s="1"/>
      <c r="Q22" s="1"/>
      <c r="R22" s="1"/>
      <c r="S22" s="1"/>
      <c r="T22" s="23">
        <v>4</v>
      </c>
      <c r="U22" s="14">
        <f t="shared" si="3"/>
        <v>20000</v>
      </c>
    </row>
    <row r="23" spans="1:21" ht="15.75" x14ac:dyDescent="0.25">
      <c r="A23" s="1">
        <v>11</v>
      </c>
      <c r="B23" s="15" t="s">
        <v>286</v>
      </c>
      <c r="C23" s="1" t="s">
        <v>287</v>
      </c>
      <c r="D23" s="23">
        <v>2</v>
      </c>
      <c r="E23" s="70">
        <v>1200</v>
      </c>
      <c r="F23" s="4">
        <f t="shared" si="2"/>
        <v>2400</v>
      </c>
      <c r="G23" s="1" t="s">
        <v>23</v>
      </c>
      <c r="H23" s="1" t="s">
        <v>28</v>
      </c>
      <c r="I23" s="1" t="s">
        <v>22</v>
      </c>
      <c r="J23" s="1"/>
      <c r="K23" s="1"/>
      <c r="L23" s="1"/>
      <c r="M23" s="88" t="s">
        <v>25</v>
      </c>
      <c r="N23" s="1"/>
      <c r="O23" s="1"/>
      <c r="P23" s="1"/>
      <c r="Q23" s="1"/>
      <c r="R23" s="1"/>
      <c r="S23" s="1"/>
      <c r="T23" s="23">
        <v>2</v>
      </c>
      <c r="U23" s="14">
        <f t="shared" si="3"/>
        <v>2400</v>
      </c>
    </row>
    <row r="24" spans="1:21" ht="15.75" x14ac:dyDescent="0.25">
      <c r="A24" s="1">
        <v>12</v>
      </c>
      <c r="B24" s="15" t="s">
        <v>288</v>
      </c>
      <c r="C24" s="1" t="s">
        <v>289</v>
      </c>
      <c r="D24" s="23">
        <v>2</v>
      </c>
      <c r="E24" s="70">
        <v>1200</v>
      </c>
      <c r="F24" s="4">
        <f t="shared" si="2"/>
        <v>2400</v>
      </c>
      <c r="G24" s="1" t="s">
        <v>23</v>
      </c>
      <c r="H24" s="1" t="s">
        <v>28</v>
      </c>
      <c r="I24" s="1" t="s">
        <v>22</v>
      </c>
      <c r="J24" s="1"/>
      <c r="K24" s="1"/>
      <c r="L24" s="1"/>
      <c r="M24" s="88" t="s">
        <v>25</v>
      </c>
      <c r="N24" s="1"/>
      <c r="O24" s="1"/>
      <c r="P24" s="1"/>
      <c r="Q24" s="1"/>
      <c r="R24" s="1"/>
      <c r="S24" s="1"/>
      <c r="T24" s="23">
        <v>2</v>
      </c>
      <c r="U24" s="14">
        <f t="shared" si="3"/>
        <v>2400</v>
      </c>
    </row>
    <row r="25" spans="1:21" ht="15.75" x14ac:dyDescent="0.25">
      <c r="A25" s="1">
        <v>13</v>
      </c>
      <c r="B25" s="15" t="s">
        <v>377</v>
      </c>
      <c r="C25" s="1" t="s">
        <v>290</v>
      </c>
      <c r="D25" s="23">
        <v>2</v>
      </c>
      <c r="E25" s="70">
        <v>1300</v>
      </c>
      <c r="F25" s="4">
        <f t="shared" si="2"/>
        <v>2600</v>
      </c>
      <c r="G25" s="1" t="s">
        <v>23</v>
      </c>
      <c r="H25" s="1" t="s">
        <v>28</v>
      </c>
      <c r="I25" s="1" t="s">
        <v>22</v>
      </c>
      <c r="J25" s="1"/>
      <c r="K25" s="1"/>
      <c r="L25" s="1"/>
      <c r="M25" s="88" t="s">
        <v>25</v>
      </c>
      <c r="N25" s="1"/>
      <c r="O25" s="1"/>
      <c r="P25" s="1"/>
      <c r="Q25" s="1"/>
      <c r="R25" s="1"/>
      <c r="S25" s="1"/>
      <c r="T25" s="23">
        <v>2</v>
      </c>
      <c r="U25" s="14">
        <f t="shared" si="3"/>
        <v>2600</v>
      </c>
    </row>
    <row r="26" spans="1:21" ht="15.75" x14ac:dyDescent="0.25">
      <c r="A26" s="1">
        <v>14</v>
      </c>
      <c r="B26" s="15" t="s">
        <v>291</v>
      </c>
      <c r="C26" s="1" t="s">
        <v>292</v>
      </c>
      <c r="D26" s="23">
        <v>2</v>
      </c>
      <c r="E26" s="70">
        <v>500</v>
      </c>
      <c r="F26" s="4">
        <f t="shared" si="2"/>
        <v>1000</v>
      </c>
      <c r="G26" s="1" t="s">
        <v>23</v>
      </c>
      <c r="H26" s="1" t="s">
        <v>28</v>
      </c>
      <c r="I26" s="1" t="s">
        <v>22</v>
      </c>
      <c r="J26" s="1"/>
      <c r="K26" s="1"/>
      <c r="L26" s="1"/>
      <c r="M26" s="88" t="s">
        <v>25</v>
      </c>
      <c r="N26" s="1"/>
      <c r="O26" s="1"/>
      <c r="P26" s="1"/>
      <c r="Q26" s="1"/>
      <c r="R26" s="1"/>
      <c r="S26" s="1"/>
      <c r="T26" s="23">
        <v>2</v>
      </c>
      <c r="U26" s="14">
        <f t="shared" si="3"/>
        <v>1000</v>
      </c>
    </row>
    <row r="27" spans="1:21" ht="15.75" x14ac:dyDescent="0.25">
      <c r="A27" s="1">
        <v>15</v>
      </c>
      <c r="B27" s="15" t="s">
        <v>293</v>
      </c>
      <c r="C27" s="1" t="s">
        <v>294</v>
      </c>
      <c r="D27" s="23">
        <v>2</v>
      </c>
      <c r="E27" s="70">
        <v>1400</v>
      </c>
      <c r="F27" s="4">
        <f t="shared" si="2"/>
        <v>2800</v>
      </c>
      <c r="G27" s="1" t="s">
        <v>23</v>
      </c>
      <c r="H27" s="1" t="s">
        <v>28</v>
      </c>
      <c r="I27" s="1" t="s">
        <v>22</v>
      </c>
      <c r="J27" s="1"/>
      <c r="K27" s="1"/>
      <c r="L27" s="1"/>
      <c r="M27" s="88" t="s">
        <v>25</v>
      </c>
      <c r="N27" s="1"/>
      <c r="O27" s="1"/>
      <c r="P27" s="1"/>
      <c r="Q27" s="1"/>
      <c r="R27" s="1"/>
      <c r="S27" s="1"/>
      <c r="T27" s="23">
        <v>2</v>
      </c>
      <c r="U27" s="14">
        <f t="shared" si="3"/>
        <v>2800</v>
      </c>
    </row>
    <row r="28" spans="1:21" ht="15.75" x14ac:dyDescent="0.25">
      <c r="A28" s="1">
        <v>16</v>
      </c>
      <c r="B28" s="15" t="s">
        <v>295</v>
      </c>
      <c r="C28" s="1" t="s">
        <v>296</v>
      </c>
      <c r="D28" s="23">
        <v>2</v>
      </c>
      <c r="E28" s="70">
        <v>400</v>
      </c>
      <c r="F28" s="4">
        <f t="shared" si="2"/>
        <v>800</v>
      </c>
      <c r="G28" s="1" t="s">
        <v>23</v>
      </c>
      <c r="H28" s="1" t="s">
        <v>28</v>
      </c>
      <c r="I28" s="1" t="s">
        <v>22</v>
      </c>
      <c r="J28" s="1"/>
      <c r="K28" s="1"/>
      <c r="L28" s="1"/>
      <c r="M28" s="88" t="s">
        <v>25</v>
      </c>
      <c r="N28" s="1"/>
      <c r="O28" s="1"/>
      <c r="P28" s="1"/>
      <c r="Q28" s="1"/>
      <c r="R28" s="1"/>
      <c r="S28" s="1"/>
      <c r="T28" s="23">
        <v>2</v>
      </c>
      <c r="U28" s="14">
        <f t="shared" si="3"/>
        <v>800</v>
      </c>
    </row>
    <row r="29" spans="1:21" ht="15.75" x14ac:dyDescent="0.25">
      <c r="A29" s="1">
        <v>17</v>
      </c>
      <c r="B29" s="15" t="s">
        <v>299</v>
      </c>
      <c r="C29" s="1" t="s">
        <v>297</v>
      </c>
      <c r="D29" s="23">
        <v>1</v>
      </c>
      <c r="E29" s="70">
        <v>3000</v>
      </c>
      <c r="F29" s="4">
        <f t="shared" si="2"/>
        <v>3000</v>
      </c>
      <c r="G29" s="1" t="s">
        <v>23</v>
      </c>
      <c r="H29" s="1" t="s">
        <v>28</v>
      </c>
      <c r="I29" s="1" t="s">
        <v>22</v>
      </c>
      <c r="J29" s="1"/>
      <c r="K29" s="1"/>
      <c r="L29" s="1"/>
      <c r="M29" s="88" t="s">
        <v>25</v>
      </c>
      <c r="N29" s="1"/>
      <c r="O29" s="1"/>
      <c r="P29" s="1"/>
      <c r="Q29" s="1"/>
      <c r="R29" s="1"/>
      <c r="S29" s="1"/>
      <c r="T29" s="23">
        <v>1</v>
      </c>
      <c r="U29" s="14">
        <f t="shared" si="3"/>
        <v>3000</v>
      </c>
    </row>
    <row r="30" spans="1:21" ht="15.75" x14ac:dyDescent="0.25">
      <c r="A30" s="1">
        <v>18</v>
      </c>
      <c r="B30" s="15" t="s">
        <v>298</v>
      </c>
      <c r="C30" s="1" t="s">
        <v>287</v>
      </c>
      <c r="D30" s="23">
        <v>2</v>
      </c>
      <c r="E30" s="70">
        <v>700</v>
      </c>
      <c r="F30" s="4">
        <f t="shared" si="2"/>
        <v>1400</v>
      </c>
      <c r="G30" s="1" t="s">
        <v>23</v>
      </c>
      <c r="H30" s="1" t="s">
        <v>28</v>
      </c>
      <c r="I30" s="1" t="s">
        <v>22</v>
      </c>
      <c r="J30" s="1"/>
      <c r="K30" s="1"/>
      <c r="L30" s="1"/>
      <c r="M30" s="88" t="s">
        <v>25</v>
      </c>
      <c r="N30" s="1"/>
      <c r="O30" s="1"/>
      <c r="P30" s="1"/>
      <c r="Q30" s="1"/>
      <c r="R30" s="1"/>
      <c r="S30" s="1"/>
      <c r="T30" s="23">
        <v>2</v>
      </c>
      <c r="U30" s="14">
        <f t="shared" si="3"/>
        <v>1400</v>
      </c>
    </row>
    <row r="31" spans="1:21" ht="15.75" x14ac:dyDescent="0.25">
      <c r="A31" s="1">
        <v>19</v>
      </c>
      <c r="B31" s="15" t="s">
        <v>300</v>
      </c>
      <c r="C31" s="1" t="s">
        <v>137</v>
      </c>
      <c r="D31" s="23">
        <v>2</v>
      </c>
      <c r="E31" s="70">
        <v>2800</v>
      </c>
      <c r="F31" s="4">
        <f t="shared" si="2"/>
        <v>5600</v>
      </c>
      <c r="G31" s="1" t="s">
        <v>23</v>
      </c>
      <c r="H31" s="1" t="s">
        <v>28</v>
      </c>
      <c r="I31" s="1" t="s">
        <v>22</v>
      </c>
      <c r="J31" s="1"/>
      <c r="K31" s="1"/>
      <c r="L31" s="1"/>
      <c r="M31" s="88" t="s">
        <v>25</v>
      </c>
      <c r="N31" s="1"/>
      <c r="O31" s="1"/>
      <c r="P31" s="1"/>
      <c r="Q31" s="1"/>
      <c r="R31" s="1"/>
      <c r="S31" s="1"/>
      <c r="T31" s="23">
        <v>2</v>
      </c>
      <c r="U31" s="14">
        <f t="shared" si="3"/>
        <v>5600</v>
      </c>
    </row>
    <row r="32" spans="1:21" ht="15.75" x14ac:dyDescent="0.25">
      <c r="A32" s="1">
        <v>20</v>
      </c>
      <c r="B32" s="15" t="s">
        <v>378</v>
      </c>
      <c r="C32" s="1" t="s">
        <v>287</v>
      </c>
      <c r="D32" s="23">
        <v>2</v>
      </c>
      <c r="E32" s="70">
        <v>700</v>
      </c>
      <c r="F32" s="4">
        <f t="shared" si="2"/>
        <v>1400</v>
      </c>
      <c r="G32" s="1" t="s">
        <v>23</v>
      </c>
      <c r="H32" s="1" t="s">
        <v>28</v>
      </c>
      <c r="I32" s="1" t="s">
        <v>22</v>
      </c>
      <c r="J32" s="1"/>
      <c r="K32" s="1"/>
      <c r="L32" s="1"/>
      <c r="M32" s="88" t="s">
        <v>25</v>
      </c>
      <c r="N32" s="1"/>
      <c r="O32" s="1"/>
      <c r="P32" s="1"/>
      <c r="Q32" s="1"/>
      <c r="R32" s="1"/>
      <c r="S32" s="1"/>
      <c r="T32" s="23">
        <v>2</v>
      </c>
      <c r="U32" s="14">
        <f t="shared" si="3"/>
        <v>1400</v>
      </c>
    </row>
    <row r="33" spans="1:21" ht="15.75" x14ac:dyDescent="0.25">
      <c r="A33" s="1">
        <v>22</v>
      </c>
      <c r="B33" s="15" t="s">
        <v>302</v>
      </c>
      <c r="C33" s="1" t="s">
        <v>60</v>
      </c>
      <c r="D33" s="23">
        <v>5</v>
      </c>
      <c r="E33" s="70">
        <v>2600</v>
      </c>
      <c r="F33" s="4">
        <f t="shared" si="2"/>
        <v>13000</v>
      </c>
      <c r="G33" s="1" t="s">
        <v>23</v>
      </c>
      <c r="H33" s="1" t="s">
        <v>28</v>
      </c>
      <c r="I33" s="1" t="s">
        <v>22</v>
      </c>
      <c r="J33" s="1"/>
      <c r="K33" s="1"/>
      <c r="L33" s="1"/>
      <c r="M33" s="88" t="s">
        <v>25</v>
      </c>
      <c r="N33" s="1"/>
      <c r="O33" s="1"/>
      <c r="P33" s="1"/>
      <c r="Q33" s="1"/>
      <c r="R33" s="1"/>
      <c r="S33" s="1"/>
      <c r="T33" s="23">
        <v>5</v>
      </c>
      <c r="U33" s="14">
        <f t="shared" si="3"/>
        <v>13000</v>
      </c>
    </row>
    <row r="34" spans="1:21" ht="15.75" x14ac:dyDescent="0.25">
      <c r="A34" s="1"/>
      <c r="B34" s="15"/>
      <c r="C34" s="1"/>
      <c r="D34" s="1"/>
      <c r="E34" s="4"/>
      <c r="F34" s="106">
        <f>SUM(F15:F33)</f>
        <v>3837800</v>
      </c>
      <c r="G34" s="1"/>
      <c r="H34" s="1"/>
      <c r="I34" s="1"/>
      <c r="J34" s="1"/>
      <c r="K34" s="1"/>
      <c r="L34" s="1"/>
      <c r="M34" s="88"/>
      <c r="N34" s="1"/>
      <c r="O34" s="1"/>
      <c r="P34" s="1"/>
      <c r="Q34" s="1"/>
      <c r="R34" s="1"/>
      <c r="S34" s="1"/>
      <c r="T34" s="1"/>
      <c r="U34" s="14"/>
    </row>
    <row r="35" spans="1:21" ht="15.75" customHeight="1" x14ac:dyDescent="0.25">
      <c r="A35" s="141" t="s">
        <v>429</v>
      </c>
      <c r="B35" s="142"/>
      <c r="C35" s="1"/>
      <c r="D35" s="1"/>
      <c r="E35" s="4"/>
      <c r="F35" s="4"/>
      <c r="G35" s="1"/>
      <c r="H35" s="1"/>
      <c r="I35" s="1"/>
      <c r="J35" s="1"/>
      <c r="K35" s="1"/>
      <c r="L35" s="1"/>
      <c r="M35" s="88"/>
      <c r="N35" s="1"/>
      <c r="O35" s="1"/>
      <c r="P35" s="1"/>
      <c r="Q35" s="1"/>
      <c r="R35" s="1"/>
      <c r="S35" s="1"/>
      <c r="T35" s="1"/>
      <c r="U35" s="14"/>
    </row>
    <row r="36" spans="1:21" x14ac:dyDescent="0.25">
      <c r="A36" s="1">
        <v>1</v>
      </c>
      <c r="B36" s="1" t="s">
        <v>158</v>
      </c>
      <c r="C36" s="1" t="s">
        <v>68</v>
      </c>
      <c r="D36" s="23">
        <v>10</v>
      </c>
      <c r="E36" s="4">
        <v>480</v>
      </c>
      <c r="F36" s="4">
        <f t="shared" ref="F36:F38" si="4">E36*D36</f>
        <v>4800</v>
      </c>
      <c r="G36" s="1" t="s">
        <v>23</v>
      </c>
      <c r="H36" s="1" t="s">
        <v>28</v>
      </c>
      <c r="I36" s="1" t="s">
        <v>22</v>
      </c>
      <c r="J36" s="1"/>
      <c r="K36" s="1"/>
      <c r="L36" s="1"/>
      <c r="M36" s="88" t="s">
        <v>25</v>
      </c>
      <c r="N36" s="1"/>
      <c r="O36" s="72"/>
      <c r="P36" s="1"/>
      <c r="Q36" s="1"/>
      <c r="R36" s="1"/>
      <c r="S36" s="1"/>
      <c r="T36" s="71">
        <v>10</v>
      </c>
      <c r="U36" s="14">
        <f t="shared" ref="U36:U42" si="5">E36*T36</f>
        <v>4800</v>
      </c>
    </row>
    <row r="37" spans="1:21" x14ac:dyDescent="0.25">
      <c r="A37" s="1">
        <v>2</v>
      </c>
      <c r="B37" s="1" t="s">
        <v>157</v>
      </c>
      <c r="C37" s="1" t="s">
        <v>44</v>
      </c>
      <c r="D37" s="54">
        <v>10</v>
      </c>
      <c r="E37" s="4">
        <v>1600</v>
      </c>
      <c r="F37" s="4">
        <f t="shared" si="4"/>
        <v>16000</v>
      </c>
      <c r="G37" s="1" t="s">
        <v>23</v>
      </c>
      <c r="H37" s="1" t="s">
        <v>28</v>
      </c>
      <c r="I37" s="1" t="s">
        <v>22</v>
      </c>
      <c r="J37" s="1"/>
      <c r="K37" s="1"/>
      <c r="L37" s="1"/>
      <c r="M37" s="88" t="s">
        <v>25</v>
      </c>
      <c r="N37" s="1"/>
      <c r="O37" s="72"/>
      <c r="P37" s="1"/>
      <c r="Q37" s="1"/>
      <c r="R37" s="1"/>
      <c r="S37" s="1"/>
      <c r="T37" s="71">
        <v>10</v>
      </c>
      <c r="U37" s="14">
        <f t="shared" si="5"/>
        <v>16000</v>
      </c>
    </row>
    <row r="38" spans="1:21" ht="15.75" x14ac:dyDescent="0.25">
      <c r="A38" s="1">
        <v>3</v>
      </c>
      <c r="B38" s="15" t="s">
        <v>141</v>
      </c>
      <c r="C38" s="1" t="s">
        <v>145</v>
      </c>
      <c r="D38" s="23">
        <v>10</v>
      </c>
      <c r="E38" s="4">
        <v>9200</v>
      </c>
      <c r="F38" s="4">
        <f t="shared" si="4"/>
        <v>92000</v>
      </c>
      <c r="G38" s="1" t="s">
        <v>23</v>
      </c>
      <c r="H38" s="1" t="s">
        <v>28</v>
      </c>
      <c r="I38" s="1" t="s">
        <v>22</v>
      </c>
      <c r="J38" s="1"/>
      <c r="K38" s="1"/>
      <c r="L38" s="1"/>
      <c r="M38" s="88" t="s">
        <v>25</v>
      </c>
      <c r="N38" s="1"/>
      <c r="O38" s="72"/>
      <c r="P38" s="1"/>
      <c r="Q38" s="1"/>
      <c r="R38" s="1"/>
      <c r="S38" s="1"/>
      <c r="T38" s="1">
        <v>10</v>
      </c>
      <c r="U38" s="14">
        <f t="shared" si="5"/>
        <v>92000</v>
      </c>
    </row>
    <row r="39" spans="1:21" x14ac:dyDescent="0.25">
      <c r="A39" s="1"/>
      <c r="B39" s="1"/>
      <c r="C39" s="1"/>
      <c r="D39" s="1"/>
      <c r="E39" s="4"/>
      <c r="F39" s="4"/>
      <c r="G39" s="1"/>
      <c r="H39" s="1"/>
      <c r="I39" s="1"/>
      <c r="J39" s="1"/>
      <c r="K39" s="1"/>
      <c r="L39" s="1"/>
      <c r="M39" s="88" t="s">
        <v>25</v>
      </c>
      <c r="N39" s="1"/>
      <c r="O39" s="1"/>
      <c r="P39" s="1"/>
      <c r="Q39" s="1"/>
      <c r="R39" s="1"/>
      <c r="S39" s="1"/>
      <c r="T39" s="1"/>
      <c r="U39" s="14"/>
    </row>
    <row r="40" spans="1:21" x14ac:dyDescent="0.25">
      <c r="A40" s="1"/>
      <c r="B40" s="1"/>
      <c r="C40" s="1"/>
      <c r="D40" s="1"/>
      <c r="E40" s="4"/>
      <c r="F40" s="106">
        <f>SUM(F36:F39)</f>
        <v>112800</v>
      </c>
      <c r="G40" s="1"/>
      <c r="H40" s="1"/>
      <c r="I40" s="1"/>
      <c r="J40" s="1"/>
      <c r="K40" s="1"/>
      <c r="L40" s="1"/>
      <c r="M40" s="88"/>
      <c r="N40" s="1"/>
      <c r="O40" s="1"/>
      <c r="P40" s="1"/>
      <c r="Q40" s="1"/>
      <c r="R40" s="1"/>
      <c r="S40" s="1"/>
      <c r="T40" s="1"/>
      <c r="U40" s="14"/>
    </row>
    <row r="41" spans="1:21" x14ac:dyDescent="0.25">
      <c r="A41" s="145" t="s">
        <v>430</v>
      </c>
      <c r="B41" s="146"/>
      <c r="C41" s="1"/>
      <c r="D41" s="1"/>
      <c r="E41" s="4"/>
      <c r="F41" s="4"/>
      <c r="G41" s="1"/>
      <c r="H41" s="1"/>
      <c r="I41" s="1"/>
      <c r="J41" s="1"/>
      <c r="K41" s="1"/>
      <c r="L41" s="1"/>
      <c r="M41" s="88"/>
      <c r="N41" s="1"/>
      <c r="O41" s="1"/>
      <c r="P41" s="1"/>
      <c r="Q41" s="1"/>
      <c r="R41" s="1"/>
      <c r="S41" s="1"/>
      <c r="T41" s="1"/>
      <c r="U41" s="14"/>
    </row>
    <row r="42" spans="1:21" x14ac:dyDescent="0.25">
      <c r="A42" s="1">
        <v>1</v>
      </c>
      <c r="B42" s="1" t="s">
        <v>379</v>
      </c>
      <c r="C42" s="1" t="s">
        <v>380</v>
      </c>
      <c r="D42" s="1">
        <v>400</v>
      </c>
      <c r="E42" s="4">
        <v>120</v>
      </c>
      <c r="F42" s="4">
        <f t="shared" ref="F42:F43" si="6">D42*E42</f>
        <v>48000</v>
      </c>
      <c r="G42" s="1" t="s">
        <v>23</v>
      </c>
      <c r="H42" s="1" t="s">
        <v>28</v>
      </c>
      <c r="I42" s="1" t="s">
        <v>22</v>
      </c>
      <c r="J42" s="1"/>
      <c r="K42" s="1"/>
      <c r="L42" s="1"/>
      <c r="M42" s="88" t="s">
        <v>25</v>
      </c>
      <c r="N42" s="1"/>
      <c r="O42" s="72"/>
      <c r="P42" s="1"/>
      <c r="Q42" s="72"/>
      <c r="R42" s="1"/>
      <c r="S42" s="1"/>
      <c r="T42" s="1">
        <v>400</v>
      </c>
      <c r="U42" s="14">
        <f t="shared" si="5"/>
        <v>48000</v>
      </c>
    </row>
    <row r="43" spans="1:21" ht="15.75" x14ac:dyDescent="0.25">
      <c r="A43" s="1">
        <v>2</v>
      </c>
      <c r="B43" s="15" t="s">
        <v>130</v>
      </c>
      <c r="C43" s="1" t="s">
        <v>209</v>
      </c>
      <c r="D43" s="1">
        <v>10</v>
      </c>
      <c r="E43" s="4">
        <v>750</v>
      </c>
      <c r="F43" s="4">
        <f t="shared" si="6"/>
        <v>7500</v>
      </c>
      <c r="G43" s="1" t="s">
        <v>23</v>
      </c>
      <c r="H43" s="1" t="s">
        <v>28</v>
      </c>
      <c r="I43" s="1" t="s">
        <v>22</v>
      </c>
      <c r="J43" s="1"/>
      <c r="K43" s="1"/>
      <c r="L43" s="1"/>
      <c r="M43" s="88" t="s">
        <v>25</v>
      </c>
      <c r="N43" s="1"/>
      <c r="O43" s="1"/>
      <c r="P43" s="1"/>
      <c r="Q43" s="1"/>
      <c r="R43" s="1"/>
      <c r="S43" s="1"/>
      <c r="T43" s="24">
        <v>10</v>
      </c>
      <c r="U43" s="14">
        <v>7500</v>
      </c>
    </row>
    <row r="44" spans="1:21" x14ac:dyDescent="0.25">
      <c r="A44" s="1"/>
      <c r="B44" s="1"/>
      <c r="C44" s="1"/>
      <c r="D44" s="1"/>
      <c r="E44" s="13"/>
      <c r="F44" s="4"/>
      <c r="G44" s="1"/>
      <c r="H44" s="1"/>
      <c r="I44" s="1"/>
      <c r="J44" s="2"/>
      <c r="K44" s="2"/>
      <c r="L44" s="2"/>
      <c r="M44" s="88" t="s">
        <v>25</v>
      </c>
      <c r="N44" s="1"/>
      <c r="O44" s="1"/>
      <c r="P44" s="1"/>
      <c r="Q44" s="1"/>
      <c r="R44" s="1"/>
      <c r="S44" s="1"/>
      <c r="T44" s="24"/>
      <c r="U44" s="14"/>
    </row>
    <row r="45" spans="1:21" x14ac:dyDescent="0.25">
      <c r="A45" s="1"/>
      <c r="B45" s="1"/>
      <c r="C45" s="1"/>
      <c r="D45" s="1"/>
      <c r="E45" s="4"/>
      <c r="F45" s="4"/>
      <c r="G45" s="1"/>
      <c r="H45" s="1"/>
      <c r="I45" s="1"/>
      <c r="J45" s="1"/>
      <c r="K45" s="1"/>
      <c r="L45" s="1"/>
      <c r="M45" s="88"/>
      <c r="N45" s="1"/>
      <c r="O45" s="1"/>
      <c r="P45" s="1"/>
      <c r="Q45" s="1"/>
      <c r="R45" s="1"/>
      <c r="S45" s="1"/>
      <c r="T45" s="5"/>
      <c r="U45" s="14"/>
    </row>
    <row r="46" spans="1:21" x14ac:dyDescent="0.25">
      <c r="A46" s="1"/>
      <c r="B46" s="1"/>
      <c r="C46" s="1"/>
      <c r="D46" s="1"/>
      <c r="E46" s="4"/>
      <c r="F46" s="106">
        <f>SUM(F42:F45)</f>
        <v>55500</v>
      </c>
      <c r="G46" s="1"/>
      <c r="H46" s="1"/>
      <c r="I46" s="1"/>
      <c r="J46" s="1"/>
      <c r="K46" s="1"/>
      <c r="L46" s="1"/>
      <c r="M46" s="88"/>
      <c r="N46" s="1"/>
      <c r="O46" s="1"/>
      <c r="P46" s="1"/>
      <c r="Q46" s="1"/>
      <c r="R46" s="1"/>
      <c r="S46" s="1"/>
      <c r="T46" s="1"/>
      <c r="U46" s="14"/>
    </row>
    <row r="47" spans="1:21" x14ac:dyDescent="0.25">
      <c r="A47" s="3" t="s">
        <v>431</v>
      </c>
      <c r="B47" s="3"/>
      <c r="C47" s="3"/>
      <c r="D47" s="1"/>
      <c r="E47" s="4"/>
      <c r="F47" s="4"/>
      <c r="G47" s="1"/>
      <c r="H47" s="1"/>
      <c r="I47" s="1"/>
      <c r="J47" s="1"/>
      <c r="K47" s="1"/>
      <c r="L47" s="1"/>
      <c r="M47" s="88" t="s">
        <v>25</v>
      </c>
      <c r="N47" s="1"/>
      <c r="O47" s="1"/>
      <c r="P47" s="1"/>
      <c r="Q47" s="1"/>
      <c r="R47" s="1"/>
      <c r="S47" s="1"/>
      <c r="T47" s="1"/>
      <c r="U47" s="14"/>
    </row>
    <row r="48" spans="1:21" ht="15.75" x14ac:dyDescent="0.25">
      <c r="A48" s="1">
        <v>1</v>
      </c>
      <c r="B48" s="15" t="s">
        <v>382</v>
      </c>
      <c r="C48" s="15" t="s">
        <v>81</v>
      </c>
      <c r="D48" s="1">
        <v>6545</v>
      </c>
      <c r="E48" s="4">
        <v>200</v>
      </c>
      <c r="F48" s="4">
        <f t="shared" si="0"/>
        <v>1309000</v>
      </c>
      <c r="G48" s="1" t="s">
        <v>23</v>
      </c>
      <c r="H48" s="1" t="s">
        <v>28</v>
      </c>
      <c r="I48" s="1" t="s">
        <v>22</v>
      </c>
      <c r="J48" s="1"/>
      <c r="K48" s="1"/>
      <c r="L48" s="1"/>
      <c r="M48" s="88" t="s">
        <v>25</v>
      </c>
      <c r="N48" s="1"/>
      <c r="O48" s="1"/>
      <c r="P48" s="1"/>
      <c r="Q48" s="1"/>
      <c r="R48" s="1"/>
      <c r="S48" s="1"/>
      <c r="T48" s="1">
        <v>6545</v>
      </c>
      <c r="U48" s="14">
        <f t="shared" si="1"/>
        <v>1309000</v>
      </c>
    </row>
    <row r="49" spans="1:21" x14ac:dyDescent="0.25">
      <c r="A49" s="1">
        <v>2</v>
      </c>
      <c r="B49" s="1" t="s">
        <v>30</v>
      </c>
      <c r="C49" s="1" t="s">
        <v>381</v>
      </c>
      <c r="D49" s="1">
        <v>1</v>
      </c>
      <c r="E49" s="4">
        <v>500000</v>
      </c>
      <c r="F49" s="4">
        <v>500000</v>
      </c>
      <c r="G49" s="1" t="s">
        <v>23</v>
      </c>
      <c r="H49" s="1" t="s">
        <v>28</v>
      </c>
      <c r="I49" s="1" t="s">
        <v>22</v>
      </c>
      <c r="J49" s="1"/>
      <c r="K49" s="1"/>
      <c r="L49" s="1"/>
      <c r="M49" s="88" t="s">
        <v>25</v>
      </c>
      <c r="N49" s="1"/>
      <c r="O49" s="1"/>
      <c r="P49" s="1"/>
      <c r="Q49" s="1"/>
      <c r="R49" s="1"/>
      <c r="S49" s="1"/>
      <c r="T49" s="1">
        <v>1</v>
      </c>
      <c r="U49" s="14">
        <f t="shared" si="1"/>
        <v>500000</v>
      </c>
    </row>
    <row r="50" spans="1:21" x14ac:dyDescent="0.25">
      <c r="A50" s="31">
        <v>3</v>
      </c>
      <c r="B50" s="31" t="s">
        <v>372</v>
      </c>
      <c r="C50" s="31" t="s">
        <v>81</v>
      </c>
      <c r="D50" s="31">
        <v>59420</v>
      </c>
      <c r="E50" s="40">
        <v>200</v>
      </c>
      <c r="F50" s="40">
        <f t="shared" si="0"/>
        <v>11884000</v>
      </c>
      <c r="G50" s="31" t="s">
        <v>23</v>
      </c>
      <c r="H50" s="31" t="s">
        <v>28</v>
      </c>
      <c r="I50" s="31" t="s">
        <v>22</v>
      </c>
      <c r="J50" s="31"/>
      <c r="K50" s="31"/>
      <c r="L50" s="31"/>
      <c r="M50" s="87" t="s">
        <v>25</v>
      </c>
      <c r="N50" s="31"/>
      <c r="O50" s="31"/>
      <c r="P50" s="31"/>
      <c r="Q50" s="31"/>
      <c r="R50" s="31"/>
      <c r="S50" s="31"/>
      <c r="T50" s="31">
        <v>59420</v>
      </c>
      <c r="U50" s="41">
        <f t="shared" si="1"/>
        <v>11884000</v>
      </c>
    </row>
    <row r="51" spans="1:21" x14ac:dyDescent="0.25">
      <c r="A51" s="31">
        <v>4</v>
      </c>
      <c r="B51" s="31" t="s">
        <v>230</v>
      </c>
      <c r="C51" s="31" t="s">
        <v>231</v>
      </c>
      <c r="D51" s="31">
        <v>1</v>
      </c>
      <c r="E51" s="40">
        <v>3500000</v>
      </c>
      <c r="F51" s="40">
        <f t="shared" si="0"/>
        <v>3500000</v>
      </c>
      <c r="G51" s="31" t="s">
        <v>23</v>
      </c>
      <c r="H51" s="31" t="s">
        <v>28</v>
      </c>
      <c r="I51" s="31" t="s">
        <v>22</v>
      </c>
      <c r="J51" s="31"/>
      <c r="K51" s="31"/>
      <c r="L51" s="31"/>
      <c r="M51" s="87" t="s">
        <v>25</v>
      </c>
      <c r="N51" s="31"/>
      <c r="O51" s="31"/>
      <c r="P51" s="31"/>
      <c r="Q51" s="31"/>
      <c r="R51" s="31"/>
      <c r="S51" s="31"/>
      <c r="T51" s="42">
        <v>1</v>
      </c>
      <c r="U51" s="41">
        <f t="shared" si="1"/>
        <v>3500000</v>
      </c>
    </row>
    <row r="52" spans="1:21" x14ac:dyDescent="0.25">
      <c r="A52" s="1"/>
      <c r="B52" s="1"/>
      <c r="C52" s="1"/>
      <c r="D52" s="1"/>
      <c r="E52" s="4"/>
      <c r="F52" s="4"/>
      <c r="G52" s="1"/>
      <c r="H52" s="1"/>
      <c r="I52" s="1"/>
      <c r="J52" s="1"/>
      <c r="K52" s="1"/>
      <c r="L52" s="1"/>
      <c r="M52" s="88"/>
      <c r="N52" s="1"/>
      <c r="O52" s="1"/>
      <c r="P52" s="1"/>
      <c r="Q52" s="1"/>
      <c r="R52" s="1"/>
      <c r="S52" s="1"/>
      <c r="T52" s="1"/>
      <c r="U52" s="14"/>
    </row>
    <row r="53" spans="1:21" x14ac:dyDescent="0.25">
      <c r="A53" s="1"/>
      <c r="B53" s="1"/>
      <c r="C53" s="1"/>
      <c r="D53" s="1"/>
      <c r="E53" s="4"/>
      <c r="F53" s="4"/>
      <c r="G53" s="1"/>
      <c r="H53" s="1"/>
      <c r="I53" s="1"/>
      <c r="J53" s="1"/>
      <c r="K53" s="1"/>
      <c r="L53" s="1"/>
      <c r="M53" s="88"/>
      <c r="N53" s="1"/>
      <c r="O53" s="1"/>
      <c r="P53" s="1"/>
      <c r="Q53" s="1"/>
      <c r="R53" s="1"/>
      <c r="S53" s="1"/>
      <c r="T53" s="1"/>
      <c r="U53" s="14"/>
    </row>
    <row r="54" spans="1:21" x14ac:dyDescent="0.25">
      <c r="A54" s="1"/>
      <c r="B54" s="1"/>
      <c r="C54" s="1"/>
      <c r="D54" s="1"/>
      <c r="E54" s="4"/>
      <c r="F54" s="4"/>
      <c r="G54" s="1"/>
      <c r="H54" s="1"/>
      <c r="I54" s="1"/>
      <c r="J54" s="1"/>
      <c r="K54" s="1"/>
      <c r="L54" s="1"/>
      <c r="M54" s="88"/>
      <c r="N54" s="1"/>
      <c r="O54" s="1"/>
      <c r="P54" s="1"/>
      <c r="Q54" s="1"/>
      <c r="R54" s="1"/>
      <c r="S54" s="1"/>
      <c r="T54" s="1"/>
      <c r="U54" s="14"/>
    </row>
    <row r="55" spans="1:21" x14ac:dyDescent="0.25">
      <c r="A55" s="1"/>
      <c r="B55" s="1"/>
      <c r="C55" s="1"/>
      <c r="D55" s="1"/>
      <c r="E55" s="4"/>
      <c r="F55" s="106">
        <f>SUM(F48:F54)</f>
        <v>17193000</v>
      </c>
      <c r="G55" s="1"/>
      <c r="H55" s="1"/>
      <c r="I55" s="1"/>
      <c r="J55" s="1"/>
      <c r="K55" s="1"/>
      <c r="L55" s="1"/>
      <c r="M55" s="88"/>
      <c r="N55" s="1"/>
      <c r="O55" s="1"/>
      <c r="P55" s="1"/>
      <c r="Q55" s="1"/>
      <c r="R55" s="1"/>
      <c r="S55" s="1"/>
      <c r="T55" s="1"/>
      <c r="U55" s="14"/>
    </row>
    <row r="56" spans="1:21" x14ac:dyDescent="0.25">
      <c r="A56" s="1"/>
      <c r="B56" s="1"/>
      <c r="C56" s="1"/>
      <c r="D56" s="1"/>
      <c r="E56" s="4"/>
      <c r="F56" s="106"/>
      <c r="G56" s="1"/>
      <c r="H56" s="1"/>
      <c r="I56" s="1"/>
      <c r="J56" s="1"/>
      <c r="K56" s="1"/>
      <c r="L56" s="1"/>
      <c r="M56" s="88"/>
      <c r="N56" s="1"/>
      <c r="O56" s="1"/>
      <c r="P56" s="1"/>
      <c r="Q56" s="1"/>
      <c r="R56" s="1"/>
      <c r="S56" s="1"/>
      <c r="T56" s="1"/>
      <c r="U56" s="14"/>
    </row>
    <row r="57" spans="1:21" x14ac:dyDescent="0.25">
      <c r="A57" s="77" t="s">
        <v>432</v>
      </c>
      <c r="B57" s="78"/>
      <c r="C57" s="76"/>
      <c r="D57" s="1"/>
      <c r="E57" s="4"/>
      <c r="F57" s="4"/>
      <c r="G57" s="1"/>
      <c r="H57" s="1"/>
      <c r="I57" s="1"/>
      <c r="J57" s="1"/>
      <c r="K57" s="1"/>
      <c r="L57" s="1"/>
      <c r="M57" s="88"/>
      <c r="N57" s="1"/>
      <c r="O57" s="1"/>
      <c r="P57" s="1"/>
      <c r="Q57" s="1"/>
      <c r="R57" s="1"/>
      <c r="S57" s="1"/>
      <c r="T57" s="1"/>
      <c r="U57" s="14"/>
    </row>
    <row r="58" spans="1:21" x14ac:dyDescent="0.25">
      <c r="A58" s="1">
        <v>1</v>
      </c>
      <c r="B58" t="s">
        <v>383</v>
      </c>
      <c r="C58" t="s">
        <v>82</v>
      </c>
      <c r="D58" s="1">
        <v>20</v>
      </c>
      <c r="E58" s="4">
        <v>2400</v>
      </c>
      <c r="F58" s="4">
        <f t="shared" si="0"/>
        <v>48000</v>
      </c>
      <c r="G58" s="1" t="s">
        <v>23</v>
      </c>
      <c r="H58" s="1" t="s">
        <v>28</v>
      </c>
      <c r="I58" s="1" t="s">
        <v>22</v>
      </c>
      <c r="J58" s="88" t="s">
        <v>25</v>
      </c>
      <c r="K58" s="88" t="s">
        <v>25</v>
      </c>
      <c r="L58" s="88" t="s">
        <v>25</v>
      </c>
      <c r="M58" s="88"/>
      <c r="N58" s="1"/>
      <c r="O58" s="1"/>
      <c r="P58" s="1"/>
      <c r="Q58" s="1"/>
      <c r="R58" s="1"/>
      <c r="S58" s="1"/>
      <c r="T58" s="1">
        <v>20</v>
      </c>
      <c r="U58" s="14">
        <f>D58*E58</f>
        <v>48000</v>
      </c>
    </row>
    <row r="59" spans="1:21" x14ac:dyDescent="0.25">
      <c r="A59" s="1">
        <v>2</v>
      </c>
      <c r="B59" s="1" t="s">
        <v>384</v>
      </c>
      <c r="C59" s="1" t="s">
        <v>83</v>
      </c>
      <c r="D59" s="1">
        <v>10</v>
      </c>
      <c r="E59" s="4">
        <v>8500</v>
      </c>
      <c r="F59" s="4">
        <f t="shared" si="0"/>
        <v>85000</v>
      </c>
      <c r="G59" s="1" t="s">
        <v>23</v>
      </c>
      <c r="H59" s="1" t="s">
        <v>28</v>
      </c>
      <c r="I59" s="1" t="s">
        <v>22</v>
      </c>
      <c r="J59" s="88" t="s">
        <v>25</v>
      </c>
      <c r="K59" s="88" t="s">
        <v>25</v>
      </c>
      <c r="L59" s="88" t="s">
        <v>25</v>
      </c>
      <c r="M59" s="88"/>
      <c r="N59" s="1"/>
      <c r="O59" s="1"/>
      <c r="P59" s="1"/>
      <c r="Q59" s="1"/>
      <c r="R59" s="1"/>
      <c r="S59" s="1"/>
      <c r="T59" s="1">
        <v>10</v>
      </c>
      <c r="U59" s="14">
        <f t="shared" ref="U59:U60" si="7">D59*E59</f>
        <v>85000</v>
      </c>
    </row>
    <row r="60" spans="1:21" x14ac:dyDescent="0.25">
      <c r="A60" s="1">
        <v>3</v>
      </c>
      <c r="B60" s="1" t="s">
        <v>385</v>
      </c>
      <c r="C60" s="1" t="s">
        <v>83</v>
      </c>
      <c r="D60" s="1">
        <v>10</v>
      </c>
      <c r="E60" s="4">
        <v>5500</v>
      </c>
      <c r="F60" s="4">
        <f t="shared" si="0"/>
        <v>55000</v>
      </c>
      <c r="G60" s="1" t="s">
        <v>23</v>
      </c>
      <c r="H60" s="1" t="s">
        <v>28</v>
      </c>
      <c r="I60" s="1" t="s">
        <v>22</v>
      </c>
      <c r="J60" s="88" t="s">
        <v>25</v>
      </c>
      <c r="K60" s="88" t="s">
        <v>25</v>
      </c>
      <c r="L60" s="88" t="s">
        <v>25</v>
      </c>
      <c r="M60" s="88"/>
      <c r="N60" s="1"/>
      <c r="O60" s="1"/>
      <c r="P60" s="1"/>
      <c r="Q60" s="1"/>
      <c r="R60" s="1"/>
      <c r="S60" s="1"/>
      <c r="T60" s="1">
        <v>10</v>
      </c>
      <c r="U60" s="14">
        <f t="shared" si="7"/>
        <v>55000</v>
      </c>
    </row>
    <row r="61" spans="1:21" x14ac:dyDescent="0.25">
      <c r="A61" s="1">
        <v>4</v>
      </c>
      <c r="B61" s="1" t="s">
        <v>32</v>
      </c>
      <c r="C61" s="1" t="s">
        <v>80</v>
      </c>
      <c r="D61" s="1">
        <v>10</v>
      </c>
      <c r="E61" s="4">
        <v>14600</v>
      </c>
      <c r="F61" s="4">
        <f t="shared" si="0"/>
        <v>146000</v>
      </c>
      <c r="G61" s="1" t="s">
        <v>23</v>
      </c>
      <c r="H61" s="1" t="s">
        <v>28</v>
      </c>
      <c r="I61" s="1" t="s">
        <v>22</v>
      </c>
      <c r="J61" s="88" t="s">
        <v>25</v>
      </c>
      <c r="K61" s="88" t="s">
        <v>25</v>
      </c>
      <c r="L61" s="88" t="s">
        <v>25</v>
      </c>
      <c r="M61" s="88"/>
      <c r="N61" s="1"/>
      <c r="O61" s="1"/>
      <c r="P61" s="1"/>
      <c r="Q61" s="1"/>
      <c r="R61" s="1"/>
      <c r="S61" s="1"/>
      <c r="T61" s="1">
        <v>10</v>
      </c>
      <c r="U61" s="14">
        <f t="shared" si="1"/>
        <v>146000</v>
      </c>
    </row>
    <row r="62" spans="1:21" x14ac:dyDescent="0.25">
      <c r="A62" s="1">
        <v>5</v>
      </c>
      <c r="B62" s="1" t="s">
        <v>33</v>
      </c>
      <c r="C62" s="1" t="s">
        <v>80</v>
      </c>
      <c r="D62" s="1">
        <v>4</v>
      </c>
      <c r="E62" s="4">
        <v>48000</v>
      </c>
      <c r="F62" s="4">
        <f t="shared" si="0"/>
        <v>192000</v>
      </c>
      <c r="G62" s="1" t="s">
        <v>23</v>
      </c>
      <c r="H62" s="1" t="s">
        <v>28</v>
      </c>
      <c r="I62" s="1" t="s">
        <v>22</v>
      </c>
      <c r="J62" s="88" t="s">
        <v>25</v>
      </c>
      <c r="K62" s="88" t="s">
        <v>25</v>
      </c>
      <c r="L62" s="88" t="s">
        <v>25</v>
      </c>
      <c r="M62" s="88"/>
      <c r="N62" s="1"/>
      <c r="O62" s="1"/>
      <c r="P62" s="1"/>
      <c r="Q62" s="1"/>
      <c r="R62" s="1"/>
      <c r="S62" s="1"/>
      <c r="T62" s="1">
        <v>4</v>
      </c>
      <c r="U62" s="14">
        <f t="shared" si="1"/>
        <v>192000</v>
      </c>
    </row>
    <row r="63" spans="1:21" x14ac:dyDescent="0.25">
      <c r="A63" s="1">
        <v>6</v>
      </c>
      <c r="B63" s="1" t="s">
        <v>34</v>
      </c>
      <c r="C63" s="1" t="s">
        <v>80</v>
      </c>
      <c r="D63" s="1">
        <v>4</v>
      </c>
      <c r="E63" s="4">
        <v>48000</v>
      </c>
      <c r="F63" s="4">
        <f t="shared" si="0"/>
        <v>192000</v>
      </c>
      <c r="G63" s="1" t="s">
        <v>23</v>
      </c>
      <c r="H63" s="1" t="s">
        <v>28</v>
      </c>
      <c r="I63" s="1" t="s">
        <v>22</v>
      </c>
      <c r="J63" s="88" t="s">
        <v>25</v>
      </c>
      <c r="K63" s="88" t="s">
        <v>25</v>
      </c>
      <c r="L63" s="88" t="s">
        <v>25</v>
      </c>
      <c r="M63" s="88"/>
      <c r="N63" s="1"/>
      <c r="O63" s="1"/>
      <c r="P63" s="1"/>
      <c r="Q63" s="1"/>
      <c r="R63" s="1"/>
      <c r="S63" s="1"/>
      <c r="T63" s="1">
        <v>4</v>
      </c>
      <c r="U63" s="14">
        <f t="shared" si="1"/>
        <v>192000</v>
      </c>
    </row>
    <row r="64" spans="1:21" x14ac:dyDescent="0.25">
      <c r="A64" s="1">
        <v>7</v>
      </c>
      <c r="B64" s="1" t="s">
        <v>35</v>
      </c>
      <c r="C64" s="1" t="s">
        <v>80</v>
      </c>
      <c r="D64" s="1">
        <v>8</v>
      </c>
      <c r="E64" s="4">
        <v>12000</v>
      </c>
      <c r="F64" s="4">
        <f t="shared" si="0"/>
        <v>96000</v>
      </c>
      <c r="G64" s="1" t="s">
        <v>23</v>
      </c>
      <c r="H64" s="1" t="s">
        <v>28</v>
      </c>
      <c r="I64" s="1" t="s">
        <v>22</v>
      </c>
      <c r="J64" s="88" t="s">
        <v>25</v>
      </c>
      <c r="K64" s="88" t="s">
        <v>25</v>
      </c>
      <c r="L64" s="88" t="s">
        <v>25</v>
      </c>
      <c r="M64" s="88"/>
      <c r="N64" s="1"/>
      <c r="O64" s="1"/>
      <c r="P64" s="1"/>
      <c r="Q64" s="1"/>
      <c r="R64" s="1"/>
      <c r="S64" s="1"/>
      <c r="T64" s="1">
        <v>8</v>
      </c>
      <c r="U64" s="14">
        <f t="shared" si="1"/>
        <v>96000</v>
      </c>
    </row>
    <row r="65" spans="1:21" x14ac:dyDescent="0.25">
      <c r="A65" s="1">
        <v>8</v>
      </c>
      <c r="B65" s="1" t="s">
        <v>36</v>
      </c>
      <c r="C65" s="1" t="s">
        <v>80</v>
      </c>
      <c r="D65" s="1">
        <v>6</v>
      </c>
      <c r="E65" s="4">
        <v>12000</v>
      </c>
      <c r="F65" s="4">
        <f t="shared" si="0"/>
        <v>72000</v>
      </c>
      <c r="G65" s="1" t="s">
        <v>23</v>
      </c>
      <c r="H65" s="1" t="s">
        <v>28</v>
      </c>
      <c r="I65" s="1" t="s">
        <v>22</v>
      </c>
      <c r="J65" s="88" t="s">
        <v>25</v>
      </c>
      <c r="K65" s="88" t="s">
        <v>25</v>
      </c>
      <c r="L65" s="88" t="s">
        <v>25</v>
      </c>
      <c r="M65" s="88"/>
      <c r="N65" s="1"/>
      <c r="O65" s="1"/>
      <c r="P65" s="1"/>
      <c r="Q65" s="1"/>
      <c r="R65" s="1"/>
      <c r="S65" s="1"/>
      <c r="T65" s="1">
        <v>6</v>
      </c>
      <c r="U65" s="14">
        <f t="shared" si="1"/>
        <v>72000</v>
      </c>
    </row>
    <row r="66" spans="1:21" ht="15.75" x14ac:dyDescent="0.25">
      <c r="A66" s="1">
        <v>9</v>
      </c>
      <c r="B66" s="15" t="s">
        <v>386</v>
      </c>
      <c r="C66" s="1" t="s">
        <v>80</v>
      </c>
      <c r="D66" s="1">
        <v>20</v>
      </c>
      <c r="E66" s="4">
        <v>2200</v>
      </c>
      <c r="F66" s="4">
        <f t="shared" si="0"/>
        <v>44000</v>
      </c>
      <c r="G66" s="1" t="s">
        <v>23</v>
      </c>
      <c r="H66" s="1" t="s">
        <v>28</v>
      </c>
      <c r="I66" s="1" t="s">
        <v>22</v>
      </c>
      <c r="J66" s="88" t="s">
        <v>25</v>
      </c>
      <c r="K66" s="88" t="s">
        <v>25</v>
      </c>
      <c r="L66" s="88" t="s">
        <v>25</v>
      </c>
      <c r="M66" s="88"/>
      <c r="N66" s="1"/>
      <c r="O66" s="1"/>
      <c r="P66" s="1"/>
      <c r="Q66" s="1"/>
      <c r="R66" s="1"/>
      <c r="S66" s="1"/>
      <c r="T66" s="1">
        <v>20</v>
      </c>
      <c r="U66" s="14">
        <f t="shared" si="1"/>
        <v>44000</v>
      </c>
    </row>
    <row r="67" spans="1:21" x14ac:dyDescent="0.25">
      <c r="A67" s="1"/>
      <c r="B67" s="1"/>
      <c r="C67" s="1"/>
      <c r="D67" s="1"/>
      <c r="E67" s="4"/>
      <c r="F67" s="106">
        <f>SUM(F58:F66)</f>
        <v>930000</v>
      </c>
      <c r="G67" s="1"/>
      <c r="H67" s="1"/>
      <c r="I67" s="1"/>
      <c r="J67" s="1"/>
      <c r="K67" s="1"/>
      <c r="L67" s="1"/>
      <c r="M67" s="88"/>
      <c r="N67" s="1"/>
      <c r="O67" s="1"/>
      <c r="P67" s="1"/>
      <c r="Q67" s="1"/>
      <c r="R67" s="1"/>
      <c r="S67" s="1"/>
      <c r="T67" s="1"/>
      <c r="U67" s="79"/>
    </row>
    <row r="68" spans="1:21" x14ac:dyDescent="0.25">
      <c r="A68" s="3" t="s">
        <v>433</v>
      </c>
      <c r="B68" s="3"/>
      <c r="C68" s="3"/>
      <c r="D68" s="1"/>
      <c r="E68" s="4"/>
      <c r="F68" s="4"/>
      <c r="G68" s="1"/>
      <c r="H68" s="1"/>
      <c r="I68" s="1"/>
      <c r="J68" s="1"/>
      <c r="K68" s="1"/>
      <c r="L68" s="3"/>
      <c r="M68" s="88"/>
      <c r="N68" s="1"/>
      <c r="O68" s="1"/>
      <c r="P68" s="1"/>
      <c r="Q68" s="1"/>
      <c r="R68" s="1"/>
      <c r="S68" s="1"/>
      <c r="T68" s="1"/>
      <c r="U68" s="14"/>
    </row>
    <row r="69" spans="1:21" s="17" customFormat="1" x14ac:dyDescent="0.25">
      <c r="A69" s="73">
        <v>1</v>
      </c>
      <c r="B69" s="73" t="s">
        <v>373</v>
      </c>
      <c r="C69" s="73" t="s">
        <v>145</v>
      </c>
      <c r="D69" s="73">
        <v>100</v>
      </c>
      <c r="E69" s="81">
        <v>2800</v>
      </c>
      <c r="F69" s="81">
        <f t="shared" si="0"/>
        <v>280000</v>
      </c>
      <c r="G69" s="73" t="s">
        <v>23</v>
      </c>
      <c r="H69" s="73" t="s">
        <v>28</v>
      </c>
      <c r="I69" s="73" t="s">
        <v>22</v>
      </c>
      <c r="J69" s="73"/>
      <c r="K69" s="73"/>
      <c r="L69" s="73"/>
      <c r="M69" s="99" t="s">
        <v>25</v>
      </c>
      <c r="N69" s="73"/>
      <c r="O69" s="73"/>
      <c r="P69" s="73"/>
      <c r="Q69" s="73"/>
      <c r="R69" s="73"/>
      <c r="S69" s="73"/>
      <c r="T69" s="73">
        <v>100</v>
      </c>
      <c r="U69" s="82">
        <f t="shared" si="1"/>
        <v>280000</v>
      </c>
    </row>
    <row r="70" spans="1:21" s="17" customFormat="1" x14ac:dyDescent="0.25">
      <c r="A70" s="73">
        <v>2</v>
      </c>
      <c r="B70" s="73" t="s">
        <v>374</v>
      </c>
      <c r="C70" s="73" t="s">
        <v>145</v>
      </c>
      <c r="D70" s="73">
        <v>100</v>
      </c>
      <c r="E70" s="81">
        <v>3000</v>
      </c>
      <c r="F70" s="81">
        <f t="shared" si="0"/>
        <v>300000</v>
      </c>
      <c r="G70" s="73" t="s">
        <v>23</v>
      </c>
      <c r="H70" s="73" t="s">
        <v>28</v>
      </c>
      <c r="I70" s="73" t="s">
        <v>22</v>
      </c>
      <c r="J70" s="73"/>
      <c r="K70" s="73"/>
      <c r="L70" s="73"/>
      <c r="M70" s="99" t="s">
        <v>25</v>
      </c>
      <c r="N70" s="73"/>
      <c r="O70" s="73"/>
      <c r="P70" s="73"/>
      <c r="Q70" s="73"/>
      <c r="R70" s="73"/>
      <c r="S70" s="73"/>
      <c r="T70" s="73">
        <v>100</v>
      </c>
      <c r="U70" s="82">
        <f t="shared" si="1"/>
        <v>300000</v>
      </c>
    </row>
    <row r="71" spans="1:21" s="17" customFormat="1" x14ac:dyDescent="0.25">
      <c r="A71" s="73">
        <v>3</v>
      </c>
      <c r="B71" s="73" t="s">
        <v>375</v>
      </c>
      <c r="C71" s="73" t="s">
        <v>145</v>
      </c>
      <c r="D71" s="73">
        <v>100</v>
      </c>
      <c r="E71" s="81">
        <v>3200</v>
      </c>
      <c r="F71" s="81">
        <f t="shared" si="0"/>
        <v>320000</v>
      </c>
      <c r="G71" s="73" t="s">
        <v>23</v>
      </c>
      <c r="H71" s="73" t="s">
        <v>28</v>
      </c>
      <c r="I71" s="73" t="s">
        <v>22</v>
      </c>
      <c r="J71" s="73"/>
      <c r="K71" s="73"/>
      <c r="L71" s="73"/>
      <c r="M71" s="99" t="s">
        <v>25</v>
      </c>
      <c r="N71" s="73"/>
      <c r="O71" s="73"/>
      <c r="P71" s="73"/>
      <c r="Q71" s="73"/>
      <c r="R71" s="73"/>
      <c r="S71" s="73"/>
      <c r="T71" s="73">
        <v>100</v>
      </c>
      <c r="U71" s="82">
        <f t="shared" si="1"/>
        <v>320000</v>
      </c>
    </row>
    <row r="72" spans="1:21" s="17" customFormat="1" x14ac:dyDescent="0.25">
      <c r="A72" s="73">
        <v>4</v>
      </c>
      <c r="B72" s="73" t="s">
        <v>376</v>
      </c>
      <c r="C72" s="73" t="s">
        <v>145</v>
      </c>
      <c r="D72" s="73">
        <v>100</v>
      </c>
      <c r="E72" s="81">
        <v>3400</v>
      </c>
      <c r="F72" s="81">
        <f t="shared" si="0"/>
        <v>340000</v>
      </c>
      <c r="G72" s="73" t="s">
        <v>23</v>
      </c>
      <c r="H72" s="73" t="s">
        <v>28</v>
      </c>
      <c r="I72" s="73" t="s">
        <v>22</v>
      </c>
      <c r="J72" s="73"/>
      <c r="K72" s="73"/>
      <c r="L72" s="73"/>
      <c r="M72" s="99" t="s">
        <v>25</v>
      </c>
      <c r="N72" s="73"/>
      <c r="O72" s="73"/>
      <c r="P72" s="73"/>
      <c r="Q72" s="73"/>
      <c r="R72" s="73"/>
      <c r="S72" s="73"/>
      <c r="T72" s="73">
        <v>100</v>
      </c>
      <c r="U72" s="82">
        <f t="shared" si="1"/>
        <v>340000</v>
      </c>
    </row>
    <row r="73" spans="1:21" s="17" customFormat="1" ht="15.75" x14ac:dyDescent="0.25">
      <c r="A73" s="73">
        <v>5</v>
      </c>
      <c r="B73" s="15" t="s">
        <v>171</v>
      </c>
      <c r="C73" s="73" t="s">
        <v>68</v>
      </c>
      <c r="D73" s="73">
        <v>500</v>
      </c>
      <c r="E73" s="81">
        <v>250</v>
      </c>
      <c r="F73" s="81">
        <f t="shared" si="0"/>
        <v>125000</v>
      </c>
      <c r="G73" s="73" t="s">
        <v>23</v>
      </c>
      <c r="H73" s="73" t="s">
        <v>28</v>
      </c>
      <c r="I73" s="73" t="s">
        <v>22</v>
      </c>
      <c r="J73" s="73"/>
      <c r="K73" s="73"/>
      <c r="L73" s="73"/>
      <c r="M73" s="99" t="s">
        <v>25</v>
      </c>
      <c r="N73" s="73"/>
      <c r="O73" s="73"/>
      <c r="P73" s="73"/>
      <c r="Q73" s="73"/>
      <c r="R73" s="73"/>
      <c r="S73" s="73"/>
      <c r="T73" s="73">
        <v>500</v>
      </c>
      <c r="U73" s="82">
        <f t="shared" si="1"/>
        <v>125000</v>
      </c>
    </row>
    <row r="74" spans="1:21" x14ac:dyDescent="0.25">
      <c r="A74" s="1">
        <v>6</v>
      </c>
      <c r="B74" s="1" t="s">
        <v>395</v>
      </c>
      <c r="C74" s="1" t="s">
        <v>145</v>
      </c>
      <c r="D74" s="1">
        <v>2</v>
      </c>
      <c r="E74" s="4">
        <v>12500</v>
      </c>
      <c r="F74" s="4">
        <f t="shared" si="0"/>
        <v>25000</v>
      </c>
      <c r="G74" s="73" t="s">
        <v>23</v>
      </c>
      <c r="H74" s="73" t="s">
        <v>28</v>
      </c>
      <c r="I74" s="73" t="s">
        <v>22</v>
      </c>
      <c r="J74" s="1"/>
      <c r="K74" s="1"/>
      <c r="L74" s="1"/>
      <c r="M74" s="99" t="s">
        <v>25</v>
      </c>
      <c r="N74" s="1"/>
      <c r="O74" s="1"/>
      <c r="P74" s="1"/>
      <c r="Q74" s="1"/>
      <c r="R74" s="1"/>
      <c r="S74" s="1"/>
      <c r="T74" s="71">
        <v>2</v>
      </c>
      <c r="U74" s="14">
        <f t="shared" si="1"/>
        <v>25000</v>
      </c>
    </row>
    <row r="75" spans="1:21" x14ac:dyDescent="0.25">
      <c r="A75" s="1">
        <v>7</v>
      </c>
      <c r="B75" s="1" t="s">
        <v>477</v>
      </c>
      <c r="C75" s="1" t="s">
        <v>80</v>
      </c>
      <c r="D75" s="1">
        <v>2</v>
      </c>
      <c r="E75" s="4">
        <v>22800</v>
      </c>
      <c r="F75" s="4">
        <f t="shared" ref="F75:F79" si="8">D75*E75</f>
        <v>45600</v>
      </c>
      <c r="G75" s="1" t="s">
        <v>23</v>
      </c>
      <c r="H75" s="1" t="s">
        <v>28</v>
      </c>
      <c r="I75" s="1" t="s">
        <v>22</v>
      </c>
      <c r="J75" s="88"/>
      <c r="K75" s="88"/>
      <c r="L75" s="88"/>
      <c r="M75" s="99" t="s">
        <v>25</v>
      </c>
      <c r="N75" s="1"/>
      <c r="O75" s="1"/>
      <c r="P75" s="1"/>
      <c r="Q75" s="1"/>
      <c r="R75" s="1"/>
      <c r="S75" s="1"/>
      <c r="T75" s="1">
        <v>2</v>
      </c>
      <c r="U75" s="14">
        <f t="shared" ref="U75:U79" si="9">D75*E75</f>
        <v>45600</v>
      </c>
    </row>
    <row r="76" spans="1:21" x14ac:dyDescent="0.25">
      <c r="A76" s="1"/>
      <c r="B76" s="1" t="s">
        <v>516</v>
      </c>
      <c r="C76" s="1" t="s">
        <v>517</v>
      </c>
      <c r="D76" s="1">
        <v>3</v>
      </c>
      <c r="E76" s="4">
        <v>8500</v>
      </c>
      <c r="F76" s="4">
        <f t="shared" si="8"/>
        <v>25500</v>
      </c>
      <c r="G76" s="1" t="s">
        <v>23</v>
      </c>
      <c r="H76" s="1" t="s">
        <v>28</v>
      </c>
      <c r="I76" s="1" t="s">
        <v>22</v>
      </c>
      <c r="J76" s="88"/>
      <c r="K76" s="88"/>
      <c r="L76" s="88"/>
      <c r="M76" s="99" t="s">
        <v>25</v>
      </c>
      <c r="N76" s="1"/>
      <c r="O76" s="1"/>
      <c r="P76" s="1"/>
      <c r="Q76" s="1"/>
      <c r="R76" s="1"/>
      <c r="S76" s="1"/>
      <c r="T76" s="1">
        <v>3</v>
      </c>
      <c r="U76" s="14">
        <f t="shared" si="9"/>
        <v>25500</v>
      </c>
    </row>
    <row r="77" spans="1:21" x14ac:dyDescent="0.25">
      <c r="A77" s="1"/>
      <c r="B77" s="1" t="s">
        <v>518</v>
      </c>
      <c r="C77" s="1" t="s">
        <v>517</v>
      </c>
      <c r="D77" s="1">
        <v>2</v>
      </c>
      <c r="E77" s="4">
        <v>1640</v>
      </c>
      <c r="F77" s="4">
        <f t="shared" si="8"/>
        <v>3280</v>
      </c>
      <c r="G77" s="1" t="s">
        <v>23</v>
      </c>
      <c r="H77" s="1" t="s">
        <v>28</v>
      </c>
      <c r="I77" s="1" t="s">
        <v>22</v>
      </c>
      <c r="J77" s="88"/>
      <c r="K77" s="88"/>
      <c r="L77" s="88"/>
      <c r="M77" s="99" t="s">
        <v>25</v>
      </c>
      <c r="N77" s="1"/>
      <c r="O77" s="1"/>
      <c r="P77" s="1"/>
      <c r="Q77" s="1"/>
      <c r="R77" s="1"/>
      <c r="S77" s="1"/>
      <c r="T77" s="1">
        <v>2</v>
      </c>
      <c r="U77" s="14">
        <f t="shared" si="9"/>
        <v>3280</v>
      </c>
    </row>
    <row r="78" spans="1:21" x14ac:dyDescent="0.25">
      <c r="A78" s="1"/>
      <c r="B78" s="1" t="s">
        <v>519</v>
      </c>
      <c r="C78" s="1" t="s">
        <v>198</v>
      </c>
      <c r="D78" s="1">
        <v>1</v>
      </c>
      <c r="E78" s="4">
        <v>5760</v>
      </c>
      <c r="F78" s="4">
        <f t="shared" si="8"/>
        <v>5760</v>
      </c>
      <c r="G78" s="1" t="s">
        <v>23</v>
      </c>
      <c r="H78" s="1" t="s">
        <v>28</v>
      </c>
      <c r="I78" s="1" t="s">
        <v>22</v>
      </c>
      <c r="J78" s="88"/>
      <c r="K78" s="88"/>
      <c r="L78" s="88"/>
      <c r="M78" s="99" t="s">
        <v>25</v>
      </c>
      <c r="N78" s="1"/>
      <c r="O78" s="1"/>
      <c r="P78" s="1"/>
      <c r="Q78" s="1"/>
      <c r="R78" s="1"/>
      <c r="S78" s="1"/>
      <c r="T78" s="1">
        <v>1</v>
      </c>
      <c r="U78" s="14">
        <f t="shared" si="9"/>
        <v>5760</v>
      </c>
    </row>
    <row r="79" spans="1:21" x14ac:dyDescent="0.25">
      <c r="A79" s="1"/>
      <c r="B79" s="1" t="s">
        <v>520</v>
      </c>
      <c r="C79" s="1" t="s">
        <v>145</v>
      </c>
      <c r="D79" s="1">
        <v>2</v>
      </c>
      <c r="E79" s="4">
        <v>8500</v>
      </c>
      <c r="F79" s="4">
        <f t="shared" si="8"/>
        <v>17000</v>
      </c>
      <c r="G79" s="1" t="s">
        <v>23</v>
      </c>
      <c r="H79" s="1" t="s">
        <v>28</v>
      </c>
      <c r="I79" s="1" t="s">
        <v>22</v>
      </c>
      <c r="J79" s="88"/>
      <c r="K79" s="88"/>
      <c r="L79" s="88"/>
      <c r="M79" s="99" t="s">
        <v>25</v>
      </c>
      <c r="N79" s="1"/>
      <c r="O79" s="1"/>
      <c r="P79" s="1"/>
      <c r="Q79" s="1"/>
      <c r="R79" s="1"/>
      <c r="S79" s="1"/>
      <c r="T79" s="1">
        <v>2</v>
      </c>
      <c r="U79" s="14">
        <f t="shared" si="9"/>
        <v>17000</v>
      </c>
    </row>
    <row r="80" spans="1:21" x14ac:dyDescent="0.25">
      <c r="A80" s="1"/>
      <c r="B80" s="1"/>
      <c r="C80" s="1"/>
      <c r="D80" s="1"/>
      <c r="E80" s="4"/>
      <c r="F80" s="106">
        <f>SUM(F69:F79)</f>
        <v>1487140</v>
      </c>
      <c r="G80" s="1"/>
      <c r="H80" s="1"/>
      <c r="I80" s="1"/>
      <c r="J80" s="1"/>
      <c r="K80" s="1"/>
      <c r="L80" s="1"/>
      <c r="M80" s="88"/>
      <c r="N80" s="1"/>
      <c r="O80" s="1"/>
      <c r="P80" s="1"/>
      <c r="Q80" s="1"/>
      <c r="R80" s="1"/>
      <c r="S80" s="1"/>
      <c r="T80" s="5"/>
      <c r="U80" s="14"/>
    </row>
    <row r="81" spans="1:21" x14ac:dyDescent="0.25">
      <c r="A81" s="141" t="s">
        <v>207</v>
      </c>
      <c r="B81" s="142"/>
      <c r="C81" s="11"/>
      <c r="D81" s="1"/>
      <c r="E81" s="4"/>
      <c r="F81" s="4"/>
      <c r="G81" s="1"/>
      <c r="H81" s="1"/>
      <c r="I81" s="1"/>
      <c r="J81" s="1"/>
      <c r="K81" s="1"/>
      <c r="L81" s="1"/>
      <c r="M81" s="88"/>
      <c r="N81" s="1"/>
      <c r="O81" s="1"/>
      <c r="P81" s="16"/>
      <c r="Q81" s="1"/>
      <c r="R81" s="1"/>
      <c r="S81" s="1"/>
      <c r="T81" s="5"/>
      <c r="U81" s="14"/>
    </row>
    <row r="82" spans="1:21" ht="15.75" x14ac:dyDescent="0.25">
      <c r="A82" s="1">
        <v>1</v>
      </c>
      <c r="B82" s="15" t="s">
        <v>203</v>
      </c>
      <c r="C82" s="1" t="s">
        <v>53</v>
      </c>
      <c r="D82" s="1">
        <v>300</v>
      </c>
      <c r="E82" s="4">
        <v>50</v>
      </c>
      <c r="F82" s="4">
        <f t="shared" ref="F82:F139" si="10">D82*E82</f>
        <v>15000</v>
      </c>
      <c r="G82" s="1" t="s">
        <v>23</v>
      </c>
      <c r="H82" s="1" t="s">
        <v>28</v>
      </c>
      <c r="I82" s="1" t="s">
        <v>22</v>
      </c>
      <c r="J82" s="1"/>
      <c r="K82" s="1"/>
      <c r="L82" s="1"/>
      <c r="M82" s="88" t="s">
        <v>25</v>
      </c>
      <c r="N82" s="1"/>
      <c r="O82" s="1"/>
      <c r="P82" s="1"/>
      <c r="Q82" s="1"/>
      <c r="R82" s="1"/>
      <c r="S82" s="1"/>
      <c r="T82" s="1">
        <v>300</v>
      </c>
      <c r="U82" s="14">
        <f t="shared" ref="U82:U83" si="11">D82*E82</f>
        <v>15000</v>
      </c>
    </row>
    <row r="83" spans="1:21" x14ac:dyDescent="0.25">
      <c r="A83" s="1">
        <v>2</v>
      </c>
      <c r="B83" s="1" t="s">
        <v>204</v>
      </c>
      <c r="C83" s="1" t="s">
        <v>53</v>
      </c>
      <c r="D83" s="1">
        <v>300</v>
      </c>
      <c r="E83" s="4">
        <v>55</v>
      </c>
      <c r="F83" s="4">
        <f t="shared" si="10"/>
        <v>16500</v>
      </c>
      <c r="G83" s="1" t="s">
        <v>23</v>
      </c>
      <c r="H83" s="1" t="s">
        <v>28</v>
      </c>
      <c r="I83" s="1" t="s">
        <v>22</v>
      </c>
      <c r="J83" s="1"/>
      <c r="K83" s="1"/>
      <c r="L83" s="1"/>
      <c r="M83" s="88" t="s">
        <v>25</v>
      </c>
      <c r="N83" s="1"/>
      <c r="O83" s="1"/>
      <c r="P83" s="1"/>
      <c r="Q83" s="1"/>
      <c r="R83" s="1"/>
      <c r="S83" s="1"/>
      <c r="T83" s="1">
        <v>300</v>
      </c>
      <c r="U83" s="14">
        <f t="shared" si="11"/>
        <v>16500</v>
      </c>
    </row>
    <row r="84" spans="1:21" x14ac:dyDescent="0.25">
      <c r="A84" s="1">
        <v>3</v>
      </c>
      <c r="B84" s="1" t="s">
        <v>205</v>
      </c>
      <c r="C84" s="1" t="s">
        <v>53</v>
      </c>
      <c r="D84" s="1">
        <v>300</v>
      </c>
      <c r="E84" s="4">
        <v>60</v>
      </c>
      <c r="F84" s="4">
        <f t="shared" si="10"/>
        <v>18000</v>
      </c>
      <c r="G84" s="1" t="s">
        <v>23</v>
      </c>
      <c r="H84" s="1" t="s">
        <v>28</v>
      </c>
      <c r="I84" s="1" t="s">
        <v>22</v>
      </c>
      <c r="J84" s="1"/>
      <c r="K84" s="1"/>
      <c r="L84" s="1"/>
      <c r="M84" s="88" t="s">
        <v>25</v>
      </c>
      <c r="N84" s="1"/>
      <c r="O84" s="1"/>
      <c r="P84" s="1"/>
      <c r="Q84" s="1"/>
      <c r="R84" s="1"/>
      <c r="S84" s="1"/>
      <c r="T84" s="1">
        <v>300</v>
      </c>
      <c r="U84" s="14">
        <f t="shared" ref="U84:U92" si="12">D84*E84</f>
        <v>18000</v>
      </c>
    </row>
    <row r="85" spans="1:21" x14ac:dyDescent="0.25">
      <c r="A85" s="1">
        <v>4</v>
      </c>
      <c r="B85" s="1" t="s">
        <v>206</v>
      </c>
      <c r="C85" s="1" t="s">
        <v>53</v>
      </c>
      <c r="D85" s="1">
        <v>100</v>
      </c>
      <c r="E85" s="4">
        <v>70</v>
      </c>
      <c r="F85" s="4">
        <f t="shared" si="10"/>
        <v>7000</v>
      </c>
      <c r="G85" s="1" t="s">
        <v>23</v>
      </c>
      <c r="H85" s="1" t="s">
        <v>28</v>
      </c>
      <c r="I85" s="1" t="s">
        <v>22</v>
      </c>
      <c r="J85" s="1"/>
      <c r="K85" s="1"/>
      <c r="L85" s="1"/>
      <c r="M85" s="88" t="s">
        <v>25</v>
      </c>
      <c r="N85" s="1"/>
      <c r="O85" s="1"/>
      <c r="P85" s="1"/>
      <c r="Q85" s="1"/>
      <c r="R85" s="1"/>
      <c r="S85" s="1"/>
      <c r="T85" s="1">
        <v>100</v>
      </c>
      <c r="U85" s="14">
        <f t="shared" si="12"/>
        <v>7000</v>
      </c>
    </row>
    <row r="86" spans="1:21" ht="15.75" x14ac:dyDescent="0.25">
      <c r="A86" s="1">
        <v>5</v>
      </c>
      <c r="B86" s="15" t="s">
        <v>58</v>
      </c>
      <c r="C86" s="1" t="s">
        <v>60</v>
      </c>
      <c r="D86" s="1">
        <v>2</v>
      </c>
      <c r="E86" s="4">
        <v>6500</v>
      </c>
      <c r="F86" s="4">
        <f t="shared" si="10"/>
        <v>13000</v>
      </c>
      <c r="G86" s="1" t="s">
        <v>23</v>
      </c>
      <c r="H86" s="1" t="s">
        <v>28</v>
      </c>
      <c r="I86" s="1" t="s">
        <v>22</v>
      </c>
      <c r="J86" s="1"/>
      <c r="K86" s="1"/>
      <c r="L86" s="1"/>
      <c r="M86" s="88" t="s">
        <v>25</v>
      </c>
      <c r="N86" s="1"/>
      <c r="O86" s="1"/>
      <c r="P86" s="1"/>
      <c r="Q86" s="1"/>
      <c r="R86" s="1"/>
      <c r="S86" s="1"/>
      <c r="T86" s="1">
        <v>2</v>
      </c>
      <c r="U86" s="14">
        <f t="shared" si="12"/>
        <v>13000</v>
      </c>
    </row>
    <row r="87" spans="1:21" ht="15.75" x14ac:dyDescent="0.25">
      <c r="A87" s="1">
        <v>6</v>
      </c>
      <c r="B87" s="15" t="s">
        <v>202</v>
      </c>
      <c r="C87" s="1" t="s">
        <v>61</v>
      </c>
      <c r="D87" s="1">
        <v>1</v>
      </c>
      <c r="E87" s="4">
        <v>35000</v>
      </c>
      <c r="F87" s="4">
        <f t="shared" si="10"/>
        <v>35000</v>
      </c>
      <c r="G87" s="1" t="s">
        <v>23</v>
      </c>
      <c r="H87" s="1" t="s">
        <v>28</v>
      </c>
      <c r="I87" s="1" t="s">
        <v>22</v>
      </c>
      <c r="J87" s="1"/>
      <c r="K87" s="1"/>
      <c r="L87" s="1"/>
      <c r="M87" s="88" t="s">
        <v>25</v>
      </c>
      <c r="N87" s="1"/>
      <c r="O87" s="1"/>
      <c r="P87" s="1"/>
      <c r="Q87" s="1"/>
      <c r="R87" s="1"/>
      <c r="S87" s="1"/>
      <c r="T87" s="1">
        <v>1</v>
      </c>
      <c r="U87" s="14">
        <f t="shared" si="12"/>
        <v>35000</v>
      </c>
    </row>
    <row r="88" spans="1:21" ht="15.75" x14ac:dyDescent="0.25">
      <c r="A88" s="1">
        <v>7</v>
      </c>
      <c r="B88" s="15" t="s">
        <v>62</v>
      </c>
      <c r="C88" s="1" t="s">
        <v>60</v>
      </c>
      <c r="D88" s="1">
        <v>5</v>
      </c>
      <c r="E88" s="4">
        <v>2400</v>
      </c>
      <c r="F88" s="4">
        <f t="shared" si="10"/>
        <v>12000</v>
      </c>
      <c r="G88" s="1" t="s">
        <v>23</v>
      </c>
      <c r="H88" s="1" t="s">
        <v>28</v>
      </c>
      <c r="I88" s="1" t="s">
        <v>22</v>
      </c>
      <c r="J88" s="1"/>
      <c r="K88" s="1"/>
      <c r="L88" s="1"/>
      <c r="M88" s="88" t="s">
        <v>25</v>
      </c>
      <c r="N88" s="1"/>
      <c r="O88" s="1"/>
      <c r="P88" s="1"/>
      <c r="Q88" s="1"/>
      <c r="R88" s="1"/>
      <c r="S88" s="1"/>
      <c r="T88" s="1">
        <v>5</v>
      </c>
      <c r="U88" s="14">
        <f t="shared" si="12"/>
        <v>12000</v>
      </c>
    </row>
    <row r="89" spans="1:21" ht="15.75" x14ac:dyDescent="0.25">
      <c r="A89" s="1">
        <v>8</v>
      </c>
      <c r="B89" s="15" t="s">
        <v>78</v>
      </c>
      <c r="C89" s="1" t="s">
        <v>60</v>
      </c>
      <c r="D89" s="1">
        <v>5</v>
      </c>
      <c r="E89" s="4">
        <v>2800</v>
      </c>
      <c r="F89" s="4">
        <f t="shared" si="10"/>
        <v>14000</v>
      </c>
      <c r="G89" s="1" t="s">
        <v>23</v>
      </c>
      <c r="H89" s="1" t="s">
        <v>28</v>
      </c>
      <c r="I89" s="1" t="s">
        <v>22</v>
      </c>
      <c r="J89" s="1"/>
      <c r="K89" s="1"/>
      <c r="L89" s="1"/>
      <c r="M89" s="88" t="s">
        <v>25</v>
      </c>
      <c r="N89" s="1"/>
      <c r="O89" s="1"/>
      <c r="P89" s="1"/>
      <c r="Q89" s="1"/>
      <c r="R89" s="1"/>
      <c r="S89" s="1"/>
      <c r="T89" s="1">
        <v>5</v>
      </c>
      <c r="U89" s="14">
        <f t="shared" si="12"/>
        <v>14000</v>
      </c>
    </row>
    <row r="90" spans="1:21" ht="15.75" x14ac:dyDescent="0.25">
      <c r="A90" s="1">
        <v>9</v>
      </c>
      <c r="B90" s="15" t="s">
        <v>199</v>
      </c>
      <c r="C90" s="1" t="s">
        <v>61</v>
      </c>
      <c r="D90" s="1">
        <v>1</v>
      </c>
      <c r="E90" s="4">
        <v>15800</v>
      </c>
      <c r="F90" s="4">
        <f t="shared" si="10"/>
        <v>15800</v>
      </c>
      <c r="G90" s="1" t="s">
        <v>23</v>
      </c>
      <c r="H90" s="1" t="s">
        <v>28</v>
      </c>
      <c r="I90" s="1" t="s">
        <v>22</v>
      </c>
      <c r="J90" s="1"/>
      <c r="K90" s="1"/>
      <c r="L90" s="1"/>
      <c r="M90" s="88" t="s">
        <v>25</v>
      </c>
      <c r="N90" s="1"/>
      <c r="O90" s="1"/>
      <c r="P90" s="1"/>
      <c r="Q90" s="1"/>
      <c r="R90" s="1"/>
      <c r="S90" s="1"/>
      <c r="T90" s="1">
        <v>1</v>
      </c>
      <c r="U90" s="14">
        <f t="shared" si="12"/>
        <v>15800</v>
      </c>
    </row>
    <row r="91" spans="1:21" ht="15.75" x14ac:dyDescent="0.25">
      <c r="A91" s="1">
        <v>10</v>
      </c>
      <c r="B91" s="15" t="s">
        <v>200</v>
      </c>
      <c r="C91" s="1" t="s">
        <v>61</v>
      </c>
      <c r="D91" s="1">
        <v>1</v>
      </c>
      <c r="E91" s="4">
        <v>14800</v>
      </c>
      <c r="F91" s="4">
        <f t="shared" si="10"/>
        <v>14800</v>
      </c>
      <c r="G91" s="1" t="s">
        <v>23</v>
      </c>
      <c r="H91" s="1" t="s">
        <v>28</v>
      </c>
      <c r="I91" s="1" t="s">
        <v>22</v>
      </c>
      <c r="J91" s="1"/>
      <c r="K91" s="1"/>
      <c r="L91" s="1"/>
      <c r="M91" s="88" t="s">
        <v>25</v>
      </c>
      <c r="N91" s="1"/>
      <c r="O91" s="1"/>
      <c r="P91" s="1"/>
      <c r="Q91" s="1"/>
      <c r="R91" s="1"/>
      <c r="S91" s="1"/>
      <c r="T91" s="1">
        <v>1</v>
      </c>
      <c r="U91" s="14">
        <f t="shared" si="12"/>
        <v>14800</v>
      </c>
    </row>
    <row r="92" spans="1:21" x14ac:dyDescent="0.25">
      <c r="A92" s="1">
        <v>11</v>
      </c>
      <c r="B92" s="16" t="s">
        <v>201</v>
      </c>
      <c r="C92" s="1" t="s">
        <v>61</v>
      </c>
      <c r="D92" s="1">
        <v>1</v>
      </c>
      <c r="E92" s="4">
        <v>15800</v>
      </c>
      <c r="F92" s="4">
        <f t="shared" si="10"/>
        <v>15800</v>
      </c>
      <c r="G92" s="1" t="s">
        <v>23</v>
      </c>
      <c r="H92" s="1" t="s">
        <v>28</v>
      </c>
      <c r="I92" s="1" t="s">
        <v>22</v>
      </c>
      <c r="J92" s="1"/>
      <c r="K92" s="1"/>
      <c r="L92" s="1"/>
      <c r="M92" s="88" t="s">
        <v>25</v>
      </c>
      <c r="N92" s="1"/>
      <c r="O92" s="1"/>
      <c r="P92" s="1"/>
      <c r="Q92" s="1"/>
      <c r="R92" s="1"/>
      <c r="S92" s="1"/>
      <c r="T92" s="1">
        <v>1</v>
      </c>
      <c r="U92" s="14">
        <f t="shared" si="12"/>
        <v>15800</v>
      </c>
    </row>
    <row r="93" spans="1:21" ht="60.75" customHeight="1" x14ac:dyDescent="0.25">
      <c r="A93" s="1">
        <v>12</v>
      </c>
      <c r="B93" s="15" t="s">
        <v>67</v>
      </c>
      <c r="C93" s="19" t="s">
        <v>55</v>
      </c>
      <c r="D93" s="22">
        <v>2</v>
      </c>
      <c r="E93" s="4">
        <v>78000</v>
      </c>
      <c r="F93" s="4">
        <f>D93*E93</f>
        <v>156000</v>
      </c>
      <c r="G93" s="1" t="s">
        <v>23</v>
      </c>
      <c r="H93" s="1" t="s">
        <v>28</v>
      </c>
      <c r="I93" s="1" t="s">
        <v>22</v>
      </c>
      <c r="J93" s="1"/>
      <c r="K93" s="1"/>
      <c r="L93" s="1"/>
      <c r="M93" s="88" t="s">
        <v>25</v>
      </c>
      <c r="N93" s="1"/>
      <c r="O93" s="1"/>
      <c r="P93" s="1"/>
      <c r="Q93" s="1"/>
      <c r="R93" s="1"/>
      <c r="S93" s="1"/>
      <c r="T93" s="22">
        <v>2</v>
      </c>
      <c r="U93" s="14">
        <f>D93*E93</f>
        <v>156000</v>
      </c>
    </row>
    <row r="94" spans="1:21" ht="15.75" x14ac:dyDescent="0.25">
      <c r="A94" s="1">
        <v>13</v>
      </c>
      <c r="B94" s="20" t="s">
        <v>92</v>
      </c>
      <c r="C94" s="1" t="s">
        <v>97</v>
      </c>
      <c r="D94" s="1">
        <v>2</v>
      </c>
      <c r="E94" s="4">
        <v>17500</v>
      </c>
      <c r="F94" s="4">
        <f>D94*E94</f>
        <v>35000</v>
      </c>
      <c r="G94" s="1" t="s">
        <v>23</v>
      </c>
      <c r="H94" s="1" t="s">
        <v>28</v>
      </c>
      <c r="I94" s="1" t="s">
        <v>22</v>
      </c>
      <c r="J94" s="1"/>
      <c r="K94" s="1"/>
      <c r="L94" s="1"/>
      <c r="M94" s="88" t="s">
        <v>25</v>
      </c>
      <c r="N94" s="1"/>
      <c r="O94" s="1"/>
      <c r="P94" s="1"/>
      <c r="Q94" s="1"/>
      <c r="R94" s="1"/>
      <c r="S94" s="1"/>
      <c r="T94" s="1">
        <v>2</v>
      </c>
      <c r="U94" s="14">
        <f t="shared" ref="U94" si="13">D94*E94</f>
        <v>35000</v>
      </c>
    </row>
    <row r="95" spans="1:21" ht="15.75" x14ac:dyDescent="0.25">
      <c r="A95" s="1">
        <v>14</v>
      </c>
      <c r="B95" s="20" t="s">
        <v>99</v>
      </c>
      <c r="C95" s="1" t="s">
        <v>100</v>
      </c>
      <c r="D95" s="1">
        <v>2</v>
      </c>
      <c r="E95" s="4">
        <v>6200</v>
      </c>
      <c r="F95" s="4">
        <f>D95*E95</f>
        <v>12400</v>
      </c>
      <c r="G95" s="1" t="s">
        <v>23</v>
      </c>
      <c r="H95" s="1" t="s">
        <v>28</v>
      </c>
      <c r="I95" s="1" t="s">
        <v>22</v>
      </c>
      <c r="J95" s="1"/>
      <c r="K95" s="1"/>
      <c r="L95" s="1"/>
      <c r="M95" s="88" t="s">
        <v>25</v>
      </c>
      <c r="N95" s="1"/>
      <c r="O95" s="1"/>
      <c r="P95" s="1"/>
      <c r="Q95" s="1"/>
      <c r="R95" s="1"/>
      <c r="S95" s="1"/>
      <c r="T95" s="1">
        <v>2</v>
      </c>
      <c r="U95" s="14">
        <f>D95*E95</f>
        <v>12400</v>
      </c>
    </row>
    <row r="96" spans="1:21" ht="15.75" x14ac:dyDescent="0.25">
      <c r="A96" s="1">
        <v>15</v>
      </c>
      <c r="B96" s="15" t="s">
        <v>306</v>
      </c>
      <c r="C96" s="23" t="s">
        <v>100</v>
      </c>
      <c r="D96" s="23">
        <v>2</v>
      </c>
      <c r="E96" s="4">
        <v>12000</v>
      </c>
      <c r="F96" s="4">
        <f>D96*E96</f>
        <v>24000</v>
      </c>
      <c r="G96" s="1" t="s">
        <v>23</v>
      </c>
      <c r="H96" s="1" t="s">
        <v>28</v>
      </c>
      <c r="I96" s="1" t="s">
        <v>22</v>
      </c>
      <c r="J96" s="1"/>
      <c r="K96" s="1"/>
      <c r="L96" s="1"/>
      <c r="M96" s="88" t="s">
        <v>25</v>
      </c>
      <c r="N96" s="1"/>
      <c r="O96" s="1"/>
      <c r="P96" s="1"/>
      <c r="Q96" s="1"/>
      <c r="R96" s="1"/>
      <c r="S96" s="1"/>
      <c r="T96" s="71">
        <v>2</v>
      </c>
      <c r="U96" s="14">
        <f>D96*E96</f>
        <v>24000</v>
      </c>
    </row>
    <row r="97" spans="1:21" ht="15.75" x14ac:dyDescent="0.25">
      <c r="A97" s="1"/>
      <c r="B97" s="15"/>
      <c r="C97" s="23"/>
      <c r="D97" s="23"/>
      <c r="E97" s="4"/>
      <c r="F97" s="4"/>
      <c r="G97" s="1"/>
      <c r="H97" s="1"/>
      <c r="I97" s="1"/>
      <c r="J97" s="1"/>
      <c r="K97" s="1"/>
      <c r="L97" s="1"/>
      <c r="M97" s="88"/>
      <c r="N97" s="1"/>
      <c r="O97" s="1"/>
      <c r="P97" s="1"/>
      <c r="Q97" s="1"/>
      <c r="R97" s="1"/>
      <c r="S97" s="1"/>
      <c r="T97" s="5"/>
      <c r="U97" s="14"/>
    </row>
    <row r="98" spans="1:21" x14ac:dyDescent="0.25">
      <c r="A98" s="1"/>
      <c r="B98" s="1"/>
      <c r="C98" s="1"/>
      <c r="D98" s="1"/>
      <c r="E98" s="4"/>
      <c r="F98" s="106">
        <f>SUM(F82:F97)</f>
        <v>404300</v>
      </c>
      <c r="G98" s="1"/>
      <c r="H98" s="1"/>
      <c r="I98" s="1"/>
      <c r="J98" s="1"/>
      <c r="K98" s="1"/>
      <c r="L98" s="1"/>
      <c r="M98" s="88"/>
      <c r="N98" s="1"/>
      <c r="O98" s="1"/>
      <c r="P98" s="1"/>
      <c r="Q98" s="1"/>
      <c r="R98" s="1"/>
      <c r="S98" s="1"/>
      <c r="T98" s="5"/>
      <c r="U98" s="14"/>
    </row>
    <row r="99" spans="1:21" ht="15.75" x14ac:dyDescent="0.25">
      <c r="A99" s="157" t="s">
        <v>208</v>
      </c>
      <c r="B99" s="154"/>
      <c r="C99" s="1"/>
      <c r="D99" s="1"/>
      <c r="E99" s="4"/>
      <c r="F99" s="4"/>
      <c r="G99" s="1"/>
      <c r="H99" s="1"/>
      <c r="I99" s="1"/>
      <c r="J99" s="1"/>
      <c r="K99" s="1"/>
      <c r="L99" s="1"/>
      <c r="M99" s="88"/>
      <c r="N99" s="1"/>
      <c r="O99" s="1"/>
      <c r="P99" s="1"/>
      <c r="Q99" s="1"/>
      <c r="R99" s="1"/>
      <c r="S99" s="1"/>
      <c r="T99" s="5"/>
      <c r="U99" s="14"/>
    </row>
    <row r="100" spans="1:21" ht="15.75" x14ac:dyDescent="0.25">
      <c r="A100" s="1">
        <v>1</v>
      </c>
      <c r="B100" s="15" t="s">
        <v>172</v>
      </c>
      <c r="C100" s="1" t="s">
        <v>66</v>
      </c>
      <c r="D100" s="1">
        <v>2</v>
      </c>
      <c r="E100" s="4">
        <v>18900</v>
      </c>
      <c r="F100" s="4">
        <f>D100*E100</f>
        <v>37800</v>
      </c>
      <c r="G100" s="1" t="s">
        <v>23</v>
      </c>
      <c r="H100" s="1" t="s">
        <v>28</v>
      </c>
      <c r="I100" s="1" t="s">
        <v>22</v>
      </c>
      <c r="J100" s="1"/>
      <c r="K100" s="1"/>
      <c r="L100" s="1"/>
      <c r="M100" s="88" t="s">
        <v>25</v>
      </c>
      <c r="N100" s="1"/>
      <c r="O100" s="1"/>
      <c r="P100" s="1"/>
      <c r="Q100" s="1"/>
      <c r="R100" s="1"/>
      <c r="S100" s="1"/>
      <c r="T100" s="1">
        <v>2</v>
      </c>
      <c r="U100" s="14">
        <f t="shared" ref="U100:U143" si="14">D100*E100</f>
        <v>37800</v>
      </c>
    </row>
    <row r="101" spans="1:21" x14ac:dyDescent="0.25">
      <c r="A101" s="1">
        <v>2</v>
      </c>
      <c r="B101" s="1" t="s">
        <v>304</v>
      </c>
      <c r="C101" s="1" t="s">
        <v>388</v>
      </c>
      <c r="D101" s="1">
        <v>1</v>
      </c>
      <c r="E101" s="4">
        <v>6500</v>
      </c>
      <c r="F101" s="4">
        <f t="shared" ref="F101:F121" si="15">D101*E101</f>
        <v>6500</v>
      </c>
      <c r="G101" s="1" t="s">
        <v>23</v>
      </c>
      <c r="H101" s="1" t="s">
        <v>28</v>
      </c>
      <c r="I101" s="1" t="s">
        <v>22</v>
      </c>
      <c r="J101" s="1"/>
      <c r="K101" s="1"/>
      <c r="L101" s="1"/>
      <c r="M101" s="88" t="s">
        <v>25</v>
      </c>
      <c r="N101" s="1"/>
      <c r="O101" s="1"/>
      <c r="P101" s="1"/>
      <c r="Q101" s="1"/>
      <c r="R101" s="1"/>
      <c r="S101" s="1"/>
      <c r="T101" s="1">
        <v>1</v>
      </c>
      <c r="U101" s="14">
        <f t="shared" si="14"/>
        <v>6500</v>
      </c>
    </row>
    <row r="102" spans="1:21" x14ac:dyDescent="0.25">
      <c r="A102" s="1">
        <v>3</v>
      </c>
      <c r="B102" s="1" t="s">
        <v>50</v>
      </c>
      <c r="C102" s="1" t="s">
        <v>387</v>
      </c>
      <c r="D102" s="1">
        <v>1</v>
      </c>
      <c r="E102" s="4">
        <v>54600</v>
      </c>
      <c r="F102" s="4">
        <f t="shared" si="15"/>
        <v>54600</v>
      </c>
      <c r="G102" s="1" t="s">
        <v>23</v>
      </c>
      <c r="H102" s="1" t="s">
        <v>28</v>
      </c>
      <c r="I102" s="1" t="s">
        <v>22</v>
      </c>
      <c r="J102" s="1"/>
      <c r="K102" s="1"/>
      <c r="L102" s="1"/>
      <c r="M102" s="88" t="s">
        <v>25</v>
      </c>
      <c r="N102" s="1"/>
      <c r="O102" s="1"/>
      <c r="P102" s="1"/>
      <c r="Q102" s="1"/>
      <c r="R102" s="1"/>
      <c r="S102" s="1"/>
      <c r="T102" s="1">
        <v>1</v>
      </c>
      <c r="U102" s="14">
        <f t="shared" si="14"/>
        <v>54600</v>
      </c>
    </row>
    <row r="103" spans="1:21" x14ac:dyDescent="0.25">
      <c r="A103" s="1">
        <v>4</v>
      </c>
      <c r="B103" s="1" t="s">
        <v>51</v>
      </c>
      <c r="C103" s="1" t="s">
        <v>388</v>
      </c>
      <c r="D103" s="1">
        <v>1</v>
      </c>
      <c r="E103" s="4">
        <v>6500</v>
      </c>
      <c r="F103" s="4">
        <f t="shared" si="15"/>
        <v>6500</v>
      </c>
      <c r="G103" s="1" t="s">
        <v>23</v>
      </c>
      <c r="H103" s="1" t="s">
        <v>28</v>
      </c>
      <c r="I103" s="1" t="s">
        <v>22</v>
      </c>
      <c r="J103" s="1"/>
      <c r="K103" s="1"/>
      <c r="L103" s="1"/>
      <c r="M103" s="88" t="s">
        <v>25</v>
      </c>
      <c r="N103" s="1"/>
      <c r="O103" s="1"/>
      <c r="P103" s="1"/>
      <c r="Q103" s="1"/>
      <c r="R103" s="1"/>
      <c r="S103" s="1"/>
      <c r="T103" s="1">
        <v>1</v>
      </c>
      <c r="U103" s="14">
        <f t="shared" si="14"/>
        <v>6500</v>
      </c>
    </row>
    <row r="104" spans="1:21" x14ac:dyDescent="0.25">
      <c r="A104" s="1">
        <v>5</v>
      </c>
      <c r="B104" s="1" t="s">
        <v>241</v>
      </c>
      <c r="C104" s="1" t="s">
        <v>387</v>
      </c>
      <c r="D104" s="1">
        <v>1</v>
      </c>
      <c r="E104" s="4">
        <v>38800</v>
      </c>
      <c r="F104" s="4">
        <f t="shared" si="15"/>
        <v>38800</v>
      </c>
      <c r="G104" s="1" t="s">
        <v>23</v>
      </c>
      <c r="H104" s="1" t="s">
        <v>28</v>
      </c>
      <c r="I104" s="1" t="s">
        <v>22</v>
      </c>
      <c r="J104" s="1"/>
      <c r="K104" s="1"/>
      <c r="L104" s="1"/>
      <c r="M104" s="88" t="s">
        <v>25</v>
      </c>
      <c r="N104" s="1"/>
      <c r="O104" s="1"/>
      <c r="P104" s="1"/>
      <c r="Q104" s="1"/>
      <c r="R104" s="1"/>
      <c r="S104" s="1"/>
      <c r="T104" s="1">
        <v>1</v>
      </c>
      <c r="U104" s="14">
        <f t="shared" si="14"/>
        <v>38800</v>
      </c>
    </row>
    <row r="105" spans="1:21" x14ac:dyDescent="0.25">
      <c r="A105" s="1">
        <v>6</v>
      </c>
      <c r="B105" s="1" t="s">
        <v>242</v>
      </c>
      <c r="C105" s="1" t="s">
        <v>387</v>
      </c>
      <c r="D105" s="1">
        <v>1</v>
      </c>
      <c r="E105" s="4">
        <v>28600</v>
      </c>
      <c r="F105" s="4">
        <f t="shared" si="15"/>
        <v>28600</v>
      </c>
      <c r="G105" s="1" t="s">
        <v>23</v>
      </c>
      <c r="H105" s="1" t="s">
        <v>28</v>
      </c>
      <c r="I105" s="1" t="s">
        <v>22</v>
      </c>
      <c r="J105" s="1"/>
      <c r="K105" s="1"/>
      <c r="L105" s="1"/>
      <c r="M105" s="88" t="s">
        <v>25</v>
      </c>
      <c r="N105" s="1"/>
      <c r="O105" s="1"/>
      <c r="P105" s="1"/>
      <c r="Q105" s="1"/>
      <c r="R105" s="1"/>
      <c r="S105" s="1"/>
      <c r="T105" s="1">
        <v>1</v>
      </c>
      <c r="U105" s="14">
        <f t="shared" si="14"/>
        <v>28600</v>
      </c>
    </row>
    <row r="106" spans="1:21" ht="19.5" customHeight="1" x14ac:dyDescent="0.25">
      <c r="A106" s="1">
        <v>7</v>
      </c>
      <c r="B106" s="1" t="s">
        <v>52</v>
      </c>
      <c r="C106" s="1" t="s">
        <v>388</v>
      </c>
      <c r="D106" s="1">
        <v>1</v>
      </c>
      <c r="E106" s="4">
        <v>5800</v>
      </c>
      <c r="F106" s="4">
        <f t="shared" si="15"/>
        <v>5800</v>
      </c>
      <c r="G106" s="1" t="s">
        <v>23</v>
      </c>
      <c r="H106" s="1" t="s">
        <v>28</v>
      </c>
      <c r="I106" s="1" t="s">
        <v>22</v>
      </c>
      <c r="J106" s="1"/>
      <c r="K106" s="1"/>
      <c r="L106" s="1"/>
      <c r="M106" s="88" t="s">
        <v>25</v>
      </c>
      <c r="N106" s="1"/>
      <c r="O106" s="1"/>
      <c r="P106" s="1"/>
      <c r="Q106" s="1"/>
      <c r="R106" s="1"/>
      <c r="S106" s="1"/>
      <c r="T106" s="1">
        <v>1</v>
      </c>
      <c r="U106" s="14">
        <f t="shared" si="14"/>
        <v>5800</v>
      </c>
    </row>
    <row r="107" spans="1:21" ht="15.75" x14ac:dyDescent="0.25">
      <c r="A107" s="1">
        <v>8</v>
      </c>
      <c r="B107" s="20" t="s">
        <v>243</v>
      </c>
      <c r="C107" s="1" t="s">
        <v>59</v>
      </c>
      <c r="D107" s="1">
        <v>1</v>
      </c>
      <c r="E107" s="4">
        <v>65500</v>
      </c>
      <c r="F107" s="4">
        <f t="shared" si="15"/>
        <v>65500</v>
      </c>
      <c r="G107" s="1" t="s">
        <v>23</v>
      </c>
      <c r="H107" s="1" t="s">
        <v>28</v>
      </c>
      <c r="I107" s="1" t="s">
        <v>22</v>
      </c>
      <c r="J107" s="1"/>
      <c r="K107" s="1"/>
      <c r="L107" s="1"/>
      <c r="M107" s="88" t="s">
        <v>25</v>
      </c>
      <c r="N107" s="1"/>
      <c r="O107" s="1"/>
      <c r="P107" s="1"/>
      <c r="Q107" s="1"/>
      <c r="R107" s="1"/>
      <c r="S107" s="1"/>
      <c r="T107" s="1">
        <v>1</v>
      </c>
      <c r="U107" s="14">
        <f t="shared" si="14"/>
        <v>65500</v>
      </c>
    </row>
    <row r="108" spans="1:21" ht="15.75" x14ac:dyDescent="0.25">
      <c r="A108" s="1">
        <v>9</v>
      </c>
      <c r="B108" s="20" t="s">
        <v>491</v>
      </c>
      <c r="C108" s="1" t="s">
        <v>59</v>
      </c>
      <c r="D108" s="1">
        <v>2</v>
      </c>
      <c r="E108" s="4">
        <v>6500</v>
      </c>
      <c r="F108" s="4">
        <f t="shared" si="15"/>
        <v>13000</v>
      </c>
      <c r="G108" s="1" t="s">
        <v>23</v>
      </c>
      <c r="H108" s="1" t="s">
        <v>28</v>
      </c>
      <c r="I108" s="1" t="s">
        <v>22</v>
      </c>
      <c r="J108" s="1"/>
      <c r="K108" s="1"/>
      <c r="L108" s="1"/>
      <c r="M108" s="88" t="s">
        <v>25</v>
      </c>
      <c r="N108" s="1"/>
      <c r="O108" s="1"/>
      <c r="P108" s="1"/>
      <c r="Q108" s="1"/>
      <c r="R108" s="1"/>
      <c r="S108" s="1"/>
      <c r="T108" s="1">
        <v>2</v>
      </c>
      <c r="U108" s="14">
        <f t="shared" si="14"/>
        <v>13000</v>
      </c>
    </row>
    <row r="109" spans="1:21" ht="15.75" x14ac:dyDescent="0.25">
      <c r="A109" s="1">
        <v>10</v>
      </c>
      <c r="B109" s="20" t="s">
        <v>492</v>
      </c>
      <c r="C109" s="1" t="s">
        <v>59</v>
      </c>
      <c r="D109" s="1">
        <v>2</v>
      </c>
      <c r="E109" s="4">
        <v>4800</v>
      </c>
      <c r="F109" s="4">
        <f t="shared" si="15"/>
        <v>9600</v>
      </c>
      <c r="G109" s="1" t="s">
        <v>23</v>
      </c>
      <c r="H109" s="1" t="s">
        <v>28</v>
      </c>
      <c r="I109" s="1" t="s">
        <v>22</v>
      </c>
      <c r="J109" s="1"/>
      <c r="K109" s="1"/>
      <c r="L109" s="1"/>
      <c r="M109" s="88" t="s">
        <v>25</v>
      </c>
      <c r="N109" s="1"/>
      <c r="O109" s="1"/>
      <c r="P109" s="1"/>
      <c r="Q109" s="1"/>
      <c r="R109" s="1"/>
      <c r="S109" s="1"/>
      <c r="T109" s="1">
        <v>2</v>
      </c>
      <c r="U109" s="14">
        <f t="shared" si="14"/>
        <v>9600</v>
      </c>
    </row>
    <row r="110" spans="1:21" ht="15.75" x14ac:dyDescent="0.25">
      <c r="A110" s="1">
        <v>11</v>
      </c>
      <c r="B110" s="15" t="s">
        <v>493</v>
      </c>
      <c r="C110" s="1" t="s">
        <v>66</v>
      </c>
      <c r="D110" s="1">
        <v>1</v>
      </c>
      <c r="E110" s="4">
        <v>24800</v>
      </c>
      <c r="F110" s="4">
        <f t="shared" si="15"/>
        <v>24800</v>
      </c>
      <c r="G110" s="1" t="s">
        <v>23</v>
      </c>
      <c r="H110" s="1" t="s">
        <v>28</v>
      </c>
      <c r="I110" s="1" t="s">
        <v>22</v>
      </c>
      <c r="J110" s="1"/>
      <c r="K110" s="1"/>
      <c r="L110" s="1"/>
      <c r="M110" s="88" t="s">
        <v>25</v>
      </c>
      <c r="N110" s="1"/>
      <c r="O110" s="1"/>
      <c r="P110" s="1"/>
      <c r="Q110" s="1"/>
      <c r="R110" s="1"/>
      <c r="S110" s="1"/>
      <c r="T110" s="1">
        <v>1</v>
      </c>
      <c r="U110" s="14">
        <f t="shared" si="14"/>
        <v>24800</v>
      </c>
    </row>
    <row r="111" spans="1:21" ht="15.75" x14ac:dyDescent="0.25">
      <c r="A111" s="1">
        <v>12</v>
      </c>
      <c r="B111" s="15" t="s">
        <v>494</v>
      </c>
      <c r="C111" s="1" t="s">
        <v>66</v>
      </c>
      <c r="D111" s="1">
        <v>1</v>
      </c>
      <c r="E111" s="47">
        <v>26800</v>
      </c>
      <c r="F111" s="4">
        <f t="shared" si="15"/>
        <v>26800</v>
      </c>
      <c r="G111" s="1" t="s">
        <v>23</v>
      </c>
      <c r="H111" s="1" t="s">
        <v>28</v>
      </c>
      <c r="I111" s="1" t="s">
        <v>22</v>
      </c>
      <c r="J111" s="1"/>
      <c r="K111" s="1"/>
      <c r="L111" s="1"/>
      <c r="M111" s="88" t="s">
        <v>25</v>
      </c>
      <c r="N111" s="1"/>
      <c r="O111" s="1"/>
      <c r="P111" s="1"/>
      <c r="Q111" s="1"/>
      <c r="R111" s="1"/>
      <c r="S111" s="1"/>
      <c r="T111" s="1">
        <v>1</v>
      </c>
      <c r="U111" s="14">
        <f t="shared" si="14"/>
        <v>26800</v>
      </c>
    </row>
    <row r="112" spans="1:21" ht="15.75" x14ac:dyDescent="0.25">
      <c r="A112" s="1">
        <v>13</v>
      </c>
      <c r="B112" s="15" t="s">
        <v>495</v>
      </c>
      <c r="C112" s="1" t="s">
        <v>66</v>
      </c>
      <c r="D112" s="1">
        <v>1</v>
      </c>
      <c r="E112" s="4">
        <v>26800</v>
      </c>
      <c r="F112" s="4">
        <f t="shared" si="15"/>
        <v>26800</v>
      </c>
      <c r="G112" s="1" t="s">
        <v>23</v>
      </c>
      <c r="H112" s="1" t="s">
        <v>28</v>
      </c>
      <c r="I112" s="1" t="s">
        <v>22</v>
      </c>
      <c r="J112" s="1"/>
      <c r="K112" s="1"/>
      <c r="L112" s="1"/>
      <c r="M112" s="88" t="s">
        <v>25</v>
      </c>
      <c r="N112" s="1"/>
      <c r="O112" s="1"/>
      <c r="P112" s="1"/>
      <c r="Q112" s="1"/>
      <c r="R112" s="1"/>
      <c r="S112" s="1"/>
      <c r="T112" s="1">
        <v>1</v>
      </c>
      <c r="U112" s="14">
        <f t="shared" si="14"/>
        <v>26800</v>
      </c>
    </row>
    <row r="113" spans="1:21" ht="15.75" x14ac:dyDescent="0.25">
      <c r="A113" s="1">
        <v>14</v>
      </c>
      <c r="B113" s="20" t="s">
        <v>307</v>
      </c>
      <c r="C113" s="1" t="s">
        <v>59</v>
      </c>
      <c r="D113" s="1">
        <v>1</v>
      </c>
      <c r="E113" s="4">
        <v>3500</v>
      </c>
      <c r="F113" s="4">
        <f t="shared" si="15"/>
        <v>3500</v>
      </c>
      <c r="G113" s="1" t="s">
        <v>23</v>
      </c>
      <c r="H113" s="1" t="s">
        <v>28</v>
      </c>
      <c r="I113" s="1" t="s">
        <v>22</v>
      </c>
      <c r="J113" s="1"/>
      <c r="K113" s="1"/>
      <c r="L113" s="1"/>
      <c r="M113" s="88" t="s">
        <v>25</v>
      </c>
      <c r="N113" s="1"/>
      <c r="O113" s="1"/>
      <c r="P113" s="1"/>
      <c r="Q113" s="1"/>
      <c r="R113" s="1"/>
      <c r="S113" s="1"/>
      <c r="T113" s="1">
        <v>1</v>
      </c>
      <c r="U113" s="14">
        <f t="shared" si="14"/>
        <v>3500</v>
      </c>
    </row>
    <row r="114" spans="1:21" ht="15.75" x14ac:dyDescent="0.25">
      <c r="A114" s="1">
        <v>15</v>
      </c>
      <c r="B114" s="20" t="s">
        <v>308</v>
      </c>
      <c r="C114" s="1" t="s">
        <v>59</v>
      </c>
      <c r="D114" s="1">
        <v>1</v>
      </c>
      <c r="E114" s="4">
        <v>4500</v>
      </c>
      <c r="F114" s="4">
        <f t="shared" si="15"/>
        <v>4500</v>
      </c>
      <c r="G114" s="1" t="s">
        <v>23</v>
      </c>
      <c r="H114" s="1" t="s">
        <v>28</v>
      </c>
      <c r="I114" s="1" t="s">
        <v>22</v>
      </c>
      <c r="J114" s="1"/>
      <c r="K114" s="1"/>
      <c r="L114" s="1"/>
      <c r="M114" s="88" t="s">
        <v>25</v>
      </c>
      <c r="N114" s="1"/>
      <c r="O114" s="1"/>
      <c r="P114" s="1"/>
      <c r="Q114" s="1"/>
      <c r="R114" s="1"/>
      <c r="S114" s="1"/>
      <c r="T114" s="1">
        <v>1</v>
      </c>
      <c r="U114" s="14">
        <f t="shared" si="14"/>
        <v>4500</v>
      </c>
    </row>
    <row r="115" spans="1:21" ht="31.5" x14ac:dyDescent="0.25">
      <c r="A115" s="1">
        <v>16</v>
      </c>
      <c r="B115" s="20" t="s">
        <v>309</v>
      </c>
      <c r="C115" s="1" t="s">
        <v>59</v>
      </c>
      <c r="D115" s="1">
        <v>1</v>
      </c>
      <c r="E115" s="4">
        <v>4500</v>
      </c>
      <c r="F115" s="4">
        <f t="shared" si="15"/>
        <v>4500</v>
      </c>
      <c r="G115" s="1" t="s">
        <v>23</v>
      </c>
      <c r="H115" s="1" t="s">
        <v>28</v>
      </c>
      <c r="I115" s="1" t="s">
        <v>22</v>
      </c>
      <c r="J115" s="1"/>
      <c r="K115" s="1"/>
      <c r="L115" s="1"/>
      <c r="M115" s="88" t="s">
        <v>25</v>
      </c>
      <c r="N115" s="1"/>
      <c r="O115" s="1"/>
      <c r="P115" s="1"/>
      <c r="Q115" s="1"/>
      <c r="R115" s="1"/>
      <c r="S115" s="1"/>
      <c r="T115" s="1">
        <v>1</v>
      </c>
      <c r="U115" s="14">
        <f t="shared" si="14"/>
        <v>4500</v>
      </c>
    </row>
    <row r="116" spans="1:21" ht="15.75" x14ac:dyDescent="0.25">
      <c r="A116" s="1">
        <v>17</v>
      </c>
      <c r="B116" s="20" t="s">
        <v>247</v>
      </c>
      <c r="C116" s="1" t="s">
        <v>59</v>
      </c>
      <c r="D116" s="1">
        <v>3</v>
      </c>
      <c r="E116" s="4">
        <v>18200</v>
      </c>
      <c r="F116" s="4">
        <f t="shared" si="15"/>
        <v>54600</v>
      </c>
      <c r="G116" s="1" t="s">
        <v>23</v>
      </c>
      <c r="H116" s="1" t="s">
        <v>28</v>
      </c>
      <c r="I116" s="1" t="s">
        <v>22</v>
      </c>
      <c r="J116" s="1"/>
      <c r="K116" s="1"/>
      <c r="L116" s="1"/>
      <c r="M116" s="88" t="s">
        <v>25</v>
      </c>
      <c r="N116" s="1"/>
      <c r="O116" s="1"/>
      <c r="P116" s="1"/>
      <c r="Q116" s="1"/>
      <c r="R116" s="1"/>
      <c r="S116" s="1"/>
      <c r="T116" s="1">
        <v>3</v>
      </c>
      <c r="U116" s="14">
        <f t="shared" si="14"/>
        <v>54600</v>
      </c>
    </row>
    <row r="117" spans="1:21" ht="15.75" x14ac:dyDescent="0.25">
      <c r="A117" s="1">
        <v>18</v>
      </c>
      <c r="B117" s="20" t="s">
        <v>72</v>
      </c>
      <c r="C117" s="1" t="s">
        <v>310</v>
      </c>
      <c r="D117" s="1">
        <v>2</v>
      </c>
      <c r="E117" s="4">
        <v>150</v>
      </c>
      <c r="F117" s="4">
        <f t="shared" si="15"/>
        <v>300</v>
      </c>
      <c r="G117" s="1" t="s">
        <v>23</v>
      </c>
      <c r="H117" s="1" t="s">
        <v>28</v>
      </c>
      <c r="I117" s="1" t="s">
        <v>22</v>
      </c>
      <c r="J117" s="1"/>
      <c r="K117" s="1"/>
      <c r="L117" s="1"/>
      <c r="M117" s="88" t="s">
        <v>25</v>
      </c>
      <c r="N117" s="1"/>
      <c r="O117" s="1"/>
      <c r="P117" s="1"/>
      <c r="Q117" s="1"/>
      <c r="R117" s="1"/>
      <c r="S117" s="1"/>
      <c r="T117" s="1">
        <v>2</v>
      </c>
      <c r="U117" s="14">
        <f t="shared" si="14"/>
        <v>300</v>
      </c>
    </row>
    <row r="118" spans="1:21" ht="47.25" x14ac:dyDescent="0.25">
      <c r="A118" s="1">
        <v>19</v>
      </c>
      <c r="B118" s="20" t="s">
        <v>73</v>
      </c>
      <c r="C118" s="1" t="s">
        <v>311</v>
      </c>
      <c r="D118" s="1">
        <v>1</v>
      </c>
      <c r="E118" s="4">
        <v>48000</v>
      </c>
      <c r="F118" s="4">
        <f t="shared" si="15"/>
        <v>48000</v>
      </c>
      <c r="G118" s="1" t="s">
        <v>23</v>
      </c>
      <c r="H118" s="1" t="s">
        <v>28</v>
      </c>
      <c r="I118" s="1" t="s">
        <v>22</v>
      </c>
      <c r="J118" s="1"/>
      <c r="K118" s="1"/>
      <c r="L118" s="1"/>
      <c r="M118" s="88" t="s">
        <v>25</v>
      </c>
      <c r="N118" s="1"/>
      <c r="O118" s="1"/>
      <c r="P118" s="1"/>
      <c r="Q118" s="1"/>
      <c r="R118" s="1"/>
      <c r="S118" s="1"/>
      <c r="T118" s="1">
        <v>1</v>
      </c>
      <c r="U118" s="14">
        <f t="shared" si="14"/>
        <v>48000</v>
      </c>
    </row>
    <row r="119" spans="1:21" ht="15.75" x14ac:dyDescent="0.25">
      <c r="A119" s="1">
        <v>20</v>
      </c>
      <c r="B119" s="20" t="s">
        <v>312</v>
      </c>
      <c r="C119" s="1" t="s">
        <v>59</v>
      </c>
      <c r="D119" s="1">
        <v>1</v>
      </c>
      <c r="E119" s="4">
        <v>50580</v>
      </c>
      <c r="F119" s="4">
        <f t="shared" si="15"/>
        <v>50580</v>
      </c>
      <c r="G119" s="1" t="s">
        <v>23</v>
      </c>
      <c r="H119" s="1" t="s">
        <v>28</v>
      </c>
      <c r="I119" s="1" t="s">
        <v>22</v>
      </c>
      <c r="J119" s="1"/>
      <c r="K119" s="1"/>
      <c r="L119" s="1"/>
      <c r="M119" s="88" t="s">
        <v>25</v>
      </c>
      <c r="N119" s="1"/>
      <c r="O119" s="1"/>
      <c r="P119" s="1"/>
      <c r="Q119" s="1"/>
      <c r="R119" s="1"/>
      <c r="S119" s="1"/>
      <c r="T119" s="1">
        <v>1</v>
      </c>
      <c r="U119" s="14">
        <f t="shared" si="14"/>
        <v>50580</v>
      </c>
    </row>
    <row r="120" spans="1:21" ht="15.75" x14ac:dyDescent="0.25">
      <c r="A120" s="1">
        <v>21</v>
      </c>
      <c r="B120" s="20" t="s">
        <v>313</v>
      </c>
      <c r="C120" s="1" t="s">
        <v>59</v>
      </c>
      <c r="D120" s="1">
        <v>1</v>
      </c>
      <c r="E120" s="4">
        <v>22200</v>
      </c>
      <c r="F120" s="4">
        <f t="shared" si="15"/>
        <v>22200</v>
      </c>
      <c r="G120" s="1" t="s">
        <v>23</v>
      </c>
      <c r="H120" s="1" t="s">
        <v>28</v>
      </c>
      <c r="I120" s="1" t="s">
        <v>22</v>
      </c>
      <c r="J120" s="1"/>
      <c r="K120" s="1"/>
      <c r="L120" s="1"/>
      <c r="M120" s="88" t="s">
        <v>25</v>
      </c>
      <c r="N120" s="1"/>
      <c r="O120" s="1"/>
      <c r="P120" s="1"/>
      <c r="Q120" s="1"/>
      <c r="R120" s="1"/>
      <c r="S120" s="1"/>
      <c r="T120" s="1">
        <v>1</v>
      </c>
      <c r="U120" s="14">
        <f t="shared" si="14"/>
        <v>22200</v>
      </c>
    </row>
    <row r="121" spans="1:21" ht="15.75" x14ac:dyDescent="0.25">
      <c r="A121" s="1">
        <v>22</v>
      </c>
      <c r="B121" s="20" t="s">
        <v>76</v>
      </c>
      <c r="C121" s="1" t="s">
        <v>61</v>
      </c>
      <c r="D121" s="1">
        <v>1</v>
      </c>
      <c r="E121" s="4">
        <v>9000</v>
      </c>
      <c r="F121" s="4">
        <f t="shared" si="15"/>
        <v>9000</v>
      </c>
      <c r="G121" s="1" t="s">
        <v>23</v>
      </c>
      <c r="H121" s="1" t="s">
        <v>28</v>
      </c>
      <c r="I121" s="1" t="s">
        <v>22</v>
      </c>
      <c r="J121" s="1"/>
      <c r="K121" s="1"/>
      <c r="L121" s="1"/>
      <c r="M121" s="88" t="s">
        <v>25</v>
      </c>
      <c r="N121" s="1"/>
      <c r="O121" s="1"/>
      <c r="P121" s="1"/>
      <c r="Q121" s="1"/>
      <c r="R121" s="1"/>
      <c r="S121" s="1"/>
      <c r="T121" s="1">
        <v>1</v>
      </c>
      <c r="U121" s="14">
        <f t="shared" si="14"/>
        <v>9000</v>
      </c>
    </row>
    <row r="122" spans="1:21" ht="15.75" x14ac:dyDescent="0.25">
      <c r="A122" s="1">
        <v>23</v>
      </c>
      <c r="B122" s="15" t="s">
        <v>101</v>
      </c>
      <c r="C122" s="1" t="s">
        <v>59</v>
      </c>
      <c r="D122" s="1">
        <v>1</v>
      </c>
      <c r="E122" s="4">
        <v>71500</v>
      </c>
      <c r="F122" s="4">
        <f t="shared" si="10"/>
        <v>71500</v>
      </c>
      <c r="G122" s="1" t="s">
        <v>23</v>
      </c>
      <c r="H122" s="1" t="s">
        <v>28</v>
      </c>
      <c r="I122" s="1" t="s">
        <v>22</v>
      </c>
      <c r="J122" s="1"/>
      <c r="K122" s="1"/>
      <c r="L122" s="1"/>
      <c r="M122" s="88" t="s">
        <v>25</v>
      </c>
      <c r="N122" s="1"/>
      <c r="O122" s="1"/>
      <c r="P122" s="1"/>
      <c r="Q122" s="1"/>
      <c r="R122" s="1"/>
      <c r="S122" s="1"/>
      <c r="T122" s="1">
        <v>1</v>
      </c>
      <c r="U122" s="14">
        <f t="shared" si="14"/>
        <v>71500</v>
      </c>
    </row>
    <row r="123" spans="1:21" ht="15.75" x14ac:dyDescent="0.25">
      <c r="A123" s="1">
        <v>24</v>
      </c>
      <c r="B123" s="20" t="s">
        <v>102</v>
      </c>
      <c r="C123" s="1" t="s">
        <v>81</v>
      </c>
      <c r="D123" s="1">
        <v>1</v>
      </c>
      <c r="E123" s="4">
        <v>26000</v>
      </c>
      <c r="F123" s="4">
        <f t="shared" si="10"/>
        <v>26000</v>
      </c>
      <c r="G123" s="1" t="s">
        <v>23</v>
      </c>
      <c r="H123" s="1" t="s">
        <v>28</v>
      </c>
      <c r="I123" s="1" t="s">
        <v>22</v>
      </c>
      <c r="J123" s="1"/>
      <c r="K123" s="1"/>
      <c r="L123" s="1"/>
      <c r="M123" s="88" t="s">
        <v>25</v>
      </c>
      <c r="N123" s="1"/>
      <c r="O123" s="1"/>
      <c r="P123" s="1"/>
      <c r="Q123" s="1"/>
      <c r="R123" s="1"/>
      <c r="S123" s="1"/>
      <c r="T123" s="1">
        <v>1</v>
      </c>
      <c r="U123" s="14">
        <f t="shared" si="14"/>
        <v>26000</v>
      </c>
    </row>
    <row r="124" spans="1:21" ht="15.75" x14ac:dyDescent="0.25">
      <c r="A124" s="1">
        <v>25</v>
      </c>
      <c r="B124" s="20" t="s">
        <v>103</v>
      </c>
      <c r="C124" s="1" t="s">
        <v>59</v>
      </c>
      <c r="D124" s="1">
        <v>1</v>
      </c>
      <c r="E124" s="4">
        <v>62200</v>
      </c>
      <c r="F124" s="4">
        <f t="shared" si="10"/>
        <v>62200</v>
      </c>
      <c r="G124" s="1" t="s">
        <v>23</v>
      </c>
      <c r="H124" s="1" t="s">
        <v>28</v>
      </c>
      <c r="I124" s="1" t="s">
        <v>22</v>
      </c>
      <c r="J124" s="1"/>
      <c r="K124" s="1"/>
      <c r="L124" s="1"/>
      <c r="M124" s="88" t="s">
        <v>25</v>
      </c>
      <c r="N124" s="1"/>
      <c r="O124" s="1"/>
      <c r="P124" s="1"/>
      <c r="Q124" s="1"/>
      <c r="R124" s="1"/>
      <c r="S124" s="1"/>
      <c r="T124" s="1">
        <v>1</v>
      </c>
      <c r="U124" s="14">
        <f t="shared" si="14"/>
        <v>62200</v>
      </c>
    </row>
    <row r="125" spans="1:21" ht="15.75" x14ac:dyDescent="0.25">
      <c r="A125" s="1">
        <v>26</v>
      </c>
      <c r="B125" s="20" t="s">
        <v>98</v>
      </c>
      <c r="C125" s="1" t="s">
        <v>59</v>
      </c>
      <c r="D125" s="1">
        <v>1</v>
      </c>
      <c r="E125" s="4">
        <v>16500</v>
      </c>
      <c r="F125" s="4">
        <f t="shared" si="10"/>
        <v>16500</v>
      </c>
      <c r="G125" s="1" t="s">
        <v>23</v>
      </c>
      <c r="H125" s="1" t="s">
        <v>28</v>
      </c>
      <c r="I125" s="1" t="s">
        <v>22</v>
      </c>
      <c r="J125" s="1"/>
      <c r="K125" s="1"/>
      <c r="L125" s="1"/>
      <c r="M125" s="88" t="s">
        <v>25</v>
      </c>
      <c r="N125" s="1"/>
      <c r="O125" s="1"/>
      <c r="P125" s="1"/>
      <c r="Q125" s="1"/>
      <c r="R125" s="1"/>
      <c r="S125" s="1"/>
      <c r="T125" s="1">
        <v>1</v>
      </c>
      <c r="U125" s="14">
        <f t="shared" si="14"/>
        <v>16500</v>
      </c>
    </row>
    <row r="126" spans="1:21" ht="15.75" x14ac:dyDescent="0.25">
      <c r="A126" s="1">
        <v>27</v>
      </c>
      <c r="B126" s="20" t="s">
        <v>96</v>
      </c>
      <c r="C126" s="1" t="s">
        <v>59</v>
      </c>
      <c r="D126" s="1">
        <v>3</v>
      </c>
      <c r="E126" s="4">
        <v>65000</v>
      </c>
      <c r="F126" s="4">
        <f t="shared" si="10"/>
        <v>195000</v>
      </c>
      <c r="G126" s="1" t="s">
        <v>23</v>
      </c>
      <c r="H126" s="1" t="s">
        <v>28</v>
      </c>
      <c r="I126" s="1" t="s">
        <v>22</v>
      </c>
      <c r="J126" s="1"/>
      <c r="K126" s="1"/>
      <c r="L126" s="1"/>
      <c r="M126" s="88" t="s">
        <v>25</v>
      </c>
      <c r="N126" s="1"/>
      <c r="O126" s="1"/>
      <c r="P126" s="1"/>
      <c r="Q126" s="1"/>
      <c r="R126" s="1"/>
      <c r="S126" s="1"/>
      <c r="T126" s="1">
        <v>3</v>
      </c>
      <c r="U126" s="14">
        <f t="shared" si="14"/>
        <v>195000</v>
      </c>
    </row>
    <row r="127" spans="1:21" ht="15.75" x14ac:dyDescent="0.25">
      <c r="A127" s="1">
        <v>28</v>
      </c>
      <c r="B127" s="20" t="s">
        <v>104</v>
      </c>
      <c r="C127" s="1" t="s">
        <v>105</v>
      </c>
      <c r="D127" s="1">
        <v>1</v>
      </c>
      <c r="E127" s="4">
        <v>43800</v>
      </c>
      <c r="F127" s="4">
        <f t="shared" si="10"/>
        <v>43800</v>
      </c>
      <c r="G127" s="1" t="s">
        <v>23</v>
      </c>
      <c r="H127" s="1" t="s">
        <v>28</v>
      </c>
      <c r="I127" s="1" t="s">
        <v>22</v>
      </c>
      <c r="J127" s="1"/>
      <c r="K127" s="1"/>
      <c r="L127" s="1"/>
      <c r="M127" s="88" t="s">
        <v>25</v>
      </c>
      <c r="N127" s="1"/>
      <c r="O127" s="1"/>
      <c r="P127" s="1"/>
      <c r="Q127" s="1"/>
      <c r="R127" s="1"/>
      <c r="S127" s="1"/>
      <c r="T127" s="1">
        <v>1</v>
      </c>
      <c r="U127" s="14">
        <f t="shared" si="14"/>
        <v>43800</v>
      </c>
    </row>
    <row r="128" spans="1:21" ht="31.5" x14ac:dyDescent="0.25">
      <c r="A128" s="1">
        <v>29</v>
      </c>
      <c r="B128" s="20" t="s">
        <v>314</v>
      </c>
      <c r="C128" s="1"/>
      <c r="D128" s="1">
        <v>2</v>
      </c>
      <c r="E128" s="4">
        <v>2000000</v>
      </c>
      <c r="F128" s="4">
        <f t="shared" ref="F128" si="16">D128*E128</f>
        <v>4000000</v>
      </c>
      <c r="G128" s="1" t="s">
        <v>23</v>
      </c>
      <c r="H128" s="1" t="s">
        <v>28</v>
      </c>
      <c r="I128" s="1" t="s">
        <v>22</v>
      </c>
      <c r="J128" s="1"/>
      <c r="K128" s="1"/>
      <c r="L128" s="1"/>
      <c r="M128" s="88" t="s">
        <v>25</v>
      </c>
      <c r="N128" s="1"/>
      <c r="O128" s="1"/>
      <c r="P128" s="1"/>
      <c r="Q128" s="1"/>
      <c r="R128" s="1"/>
      <c r="S128" s="1"/>
      <c r="T128" s="1">
        <v>2</v>
      </c>
      <c r="U128" s="14">
        <f t="shared" si="14"/>
        <v>4000000</v>
      </c>
    </row>
    <row r="129" spans="1:21" ht="15.75" x14ac:dyDescent="0.25">
      <c r="A129" s="1">
        <v>30</v>
      </c>
      <c r="B129" s="20" t="s">
        <v>347</v>
      </c>
      <c r="C129" s="1" t="s">
        <v>59</v>
      </c>
      <c r="D129" s="1">
        <v>2</v>
      </c>
      <c r="E129" s="4">
        <v>2500</v>
      </c>
      <c r="F129" s="4">
        <f t="shared" si="10"/>
        <v>5000</v>
      </c>
      <c r="G129" s="1" t="s">
        <v>23</v>
      </c>
      <c r="H129" s="1" t="s">
        <v>28</v>
      </c>
      <c r="I129" s="1" t="s">
        <v>22</v>
      </c>
      <c r="J129" s="1"/>
      <c r="K129" s="1"/>
      <c r="L129" s="1"/>
      <c r="M129" s="88" t="s">
        <v>25</v>
      </c>
      <c r="N129" s="1"/>
      <c r="O129" s="1"/>
      <c r="P129" s="1"/>
      <c r="Q129" s="1"/>
      <c r="R129" s="1"/>
      <c r="S129" s="1"/>
      <c r="T129" s="1">
        <v>2</v>
      </c>
      <c r="U129" s="14">
        <f t="shared" si="14"/>
        <v>5000</v>
      </c>
    </row>
    <row r="130" spans="1:21" ht="15.75" x14ac:dyDescent="0.25">
      <c r="A130" s="1">
        <v>31</v>
      </c>
      <c r="B130" s="20" t="s">
        <v>348</v>
      </c>
      <c r="C130" s="1" t="s">
        <v>59</v>
      </c>
      <c r="D130" s="1">
        <v>2</v>
      </c>
      <c r="E130" s="4">
        <v>1500</v>
      </c>
      <c r="F130" s="4">
        <f t="shared" si="10"/>
        <v>3000</v>
      </c>
      <c r="G130" s="1" t="s">
        <v>23</v>
      </c>
      <c r="H130" s="1" t="s">
        <v>28</v>
      </c>
      <c r="I130" s="1" t="s">
        <v>22</v>
      </c>
      <c r="J130" s="1"/>
      <c r="K130" s="1"/>
      <c r="L130" s="1"/>
      <c r="M130" s="88" t="s">
        <v>25</v>
      </c>
      <c r="N130" s="1"/>
      <c r="O130" s="1"/>
      <c r="P130" s="1"/>
      <c r="Q130" s="1"/>
      <c r="R130" s="1"/>
      <c r="S130" s="1"/>
      <c r="T130" s="1">
        <v>2</v>
      </c>
      <c r="U130" s="14">
        <f t="shared" si="14"/>
        <v>3000</v>
      </c>
    </row>
    <row r="131" spans="1:21" ht="15.75" x14ac:dyDescent="0.25">
      <c r="A131" s="1">
        <v>32</v>
      </c>
      <c r="B131" s="20" t="s">
        <v>349</v>
      </c>
      <c r="C131" s="1" t="s">
        <v>59</v>
      </c>
      <c r="D131" s="1">
        <v>2</v>
      </c>
      <c r="E131" s="4">
        <v>1100</v>
      </c>
      <c r="F131" s="4">
        <f t="shared" si="10"/>
        <v>2200</v>
      </c>
      <c r="G131" s="1" t="s">
        <v>23</v>
      </c>
      <c r="H131" s="1" t="s">
        <v>28</v>
      </c>
      <c r="I131" s="1" t="s">
        <v>22</v>
      </c>
      <c r="J131" s="1"/>
      <c r="K131" s="1"/>
      <c r="L131" s="1"/>
      <c r="M131" s="88" t="s">
        <v>25</v>
      </c>
      <c r="N131" s="1"/>
      <c r="O131" s="1"/>
      <c r="P131" s="1"/>
      <c r="Q131" s="1"/>
      <c r="R131" s="1"/>
      <c r="S131" s="1"/>
      <c r="T131" s="1">
        <v>2</v>
      </c>
      <c r="U131" s="14">
        <f t="shared" si="14"/>
        <v>2200</v>
      </c>
    </row>
    <row r="132" spans="1:21" ht="15.75" x14ac:dyDescent="0.25">
      <c r="A132" s="1">
        <v>33</v>
      </c>
      <c r="B132" s="20" t="s">
        <v>316</v>
      </c>
      <c r="C132" s="1" t="s">
        <v>311</v>
      </c>
      <c r="D132" s="1">
        <v>1</v>
      </c>
      <c r="E132" s="4">
        <v>18000</v>
      </c>
      <c r="F132" s="4">
        <f t="shared" si="10"/>
        <v>18000</v>
      </c>
      <c r="G132" s="1" t="s">
        <v>23</v>
      </c>
      <c r="H132" s="1" t="s">
        <v>28</v>
      </c>
      <c r="I132" s="1" t="s">
        <v>22</v>
      </c>
      <c r="J132" s="1"/>
      <c r="K132" s="1"/>
      <c r="L132" s="1"/>
      <c r="M132" s="88" t="s">
        <v>25</v>
      </c>
      <c r="N132" s="1"/>
      <c r="O132" s="1"/>
      <c r="P132" s="1"/>
      <c r="Q132" s="1"/>
      <c r="R132" s="1"/>
      <c r="S132" s="1"/>
      <c r="T132" s="1">
        <v>1</v>
      </c>
      <c r="U132" s="14">
        <f t="shared" si="14"/>
        <v>18000</v>
      </c>
    </row>
    <row r="133" spans="1:21" ht="31.5" x14ac:dyDescent="0.25">
      <c r="A133" s="1">
        <v>34</v>
      </c>
      <c r="B133" s="20" t="s">
        <v>317</v>
      </c>
      <c r="C133" s="1" t="s">
        <v>311</v>
      </c>
      <c r="D133" s="1">
        <v>1</v>
      </c>
      <c r="E133" s="4">
        <v>78600</v>
      </c>
      <c r="F133" s="4">
        <f t="shared" si="10"/>
        <v>78600</v>
      </c>
      <c r="G133" s="1" t="s">
        <v>23</v>
      </c>
      <c r="H133" s="1" t="s">
        <v>28</v>
      </c>
      <c r="I133" s="1" t="s">
        <v>22</v>
      </c>
      <c r="J133" s="1"/>
      <c r="K133" s="1"/>
      <c r="L133" s="1"/>
      <c r="M133" s="88" t="s">
        <v>25</v>
      </c>
      <c r="N133" s="1"/>
      <c r="O133" s="1"/>
      <c r="P133" s="1"/>
      <c r="Q133" s="1"/>
      <c r="R133" s="1"/>
      <c r="S133" s="1"/>
      <c r="T133" s="1">
        <v>1</v>
      </c>
      <c r="U133" s="14">
        <f t="shared" si="14"/>
        <v>78600</v>
      </c>
    </row>
    <row r="134" spans="1:21" ht="15.75" x14ac:dyDescent="0.25">
      <c r="A134" s="1">
        <v>35</v>
      </c>
      <c r="B134" s="20" t="s">
        <v>315</v>
      </c>
      <c r="C134" s="1" t="s">
        <v>59</v>
      </c>
      <c r="D134" s="1">
        <v>1</v>
      </c>
      <c r="E134" s="4">
        <v>12000</v>
      </c>
      <c r="F134" s="4">
        <f t="shared" si="10"/>
        <v>12000</v>
      </c>
      <c r="G134" s="1" t="s">
        <v>23</v>
      </c>
      <c r="H134" s="1" t="s">
        <v>28</v>
      </c>
      <c r="I134" s="1" t="s">
        <v>22</v>
      </c>
      <c r="J134" s="1"/>
      <c r="K134" s="1"/>
      <c r="L134" s="1"/>
      <c r="M134" s="88" t="s">
        <v>25</v>
      </c>
      <c r="N134" s="1"/>
      <c r="O134" s="1"/>
      <c r="P134" s="1"/>
      <c r="Q134" s="1"/>
      <c r="R134" s="1"/>
      <c r="S134" s="1"/>
      <c r="T134" s="1">
        <v>1</v>
      </c>
      <c r="U134" s="14">
        <f t="shared" si="14"/>
        <v>12000</v>
      </c>
    </row>
    <row r="135" spans="1:21" ht="15.75" x14ac:dyDescent="0.25">
      <c r="A135" s="1">
        <v>36</v>
      </c>
      <c r="B135" s="20" t="s">
        <v>111</v>
      </c>
      <c r="C135" s="1" t="s">
        <v>106</v>
      </c>
      <c r="D135" s="1">
        <v>1</v>
      </c>
      <c r="E135" s="4">
        <v>85000</v>
      </c>
      <c r="F135" s="4">
        <f t="shared" si="10"/>
        <v>85000</v>
      </c>
      <c r="G135" s="1" t="s">
        <v>23</v>
      </c>
      <c r="H135" s="1" t="s">
        <v>28</v>
      </c>
      <c r="I135" s="1" t="s">
        <v>22</v>
      </c>
      <c r="J135" s="1"/>
      <c r="K135" s="1"/>
      <c r="L135" s="1"/>
      <c r="M135" s="88" t="s">
        <v>25</v>
      </c>
      <c r="N135" s="1"/>
      <c r="O135" s="1"/>
      <c r="P135" s="1"/>
      <c r="Q135" s="1"/>
      <c r="R135" s="1"/>
      <c r="S135" s="1"/>
      <c r="T135" s="1">
        <v>1</v>
      </c>
      <c r="U135" s="14">
        <f t="shared" si="14"/>
        <v>85000</v>
      </c>
    </row>
    <row r="136" spans="1:21" ht="15.75" x14ac:dyDescent="0.25">
      <c r="A136" s="1">
        <v>37</v>
      </c>
      <c r="B136" s="15" t="s">
        <v>305</v>
      </c>
      <c r="C136" s="1" t="s">
        <v>318</v>
      </c>
      <c r="D136" s="1">
        <v>1</v>
      </c>
      <c r="E136" s="4">
        <v>600</v>
      </c>
      <c r="F136" s="4">
        <f t="shared" si="10"/>
        <v>600</v>
      </c>
      <c r="G136" s="1" t="s">
        <v>23</v>
      </c>
      <c r="H136" s="1" t="s">
        <v>28</v>
      </c>
      <c r="I136" s="1" t="s">
        <v>22</v>
      </c>
      <c r="J136" s="1"/>
      <c r="K136" s="1"/>
      <c r="L136" s="1"/>
      <c r="M136" s="88" t="s">
        <v>25</v>
      </c>
      <c r="N136" s="1"/>
      <c r="O136" s="1"/>
      <c r="P136" s="1"/>
      <c r="Q136" s="1"/>
      <c r="R136" s="1"/>
      <c r="S136" s="1"/>
      <c r="T136" s="1">
        <v>1</v>
      </c>
      <c r="U136" s="14">
        <f t="shared" si="14"/>
        <v>600</v>
      </c>
    </row>
    <row r="137" spans="1:21" ht="15.75" x14ac:dyDescent="0.25">
      <c r="A137" s="1">
        <v>38</v>
      </c>
      <c r="B137" s="15" t="s">
        <v>351</v>
      </c>
      <c r="C137" s="1" t="s">
        <v>61</v>
      </c>
      <c r="D137" s="1">
        <v>1</v>
      </c>
      <c r="E137" s="4">
        <v>47600</v>
      </c>
      <c r="F137" s="4">
        <f t="shared" si="10"/>
        <v>47600</v>
      </c>
      <c r="G137" s="1" t="s">
        <v>23</v>
      </c>
      <c r="H137" s="1" t="s">
        <v>28</v>
      </c>
      <c r="I137" s="1" t="s">
        <v>22</v>
      </c>
      <c r="J137" s="1"/>
      <c r="K137" s="1"/>
      <c r="L137" s="1"/>
      <c r="M137" s="88" t="s">
        <v>25</v>
      </c>
      <c r="N137" s="1"/>
      <c r="O137" s="1"/>
      <c r="P137" s="1"/>
      <c r="Q137" s="1"/>
      <c r="R137" s="1"/>
      <c r="S137" s="1"/>
      <c r="T137" s="1">
        <v>1</v>
      </c>
      <c r="U137" s="14">
        <f t="shared" si="14"/>
        <v>47600</v>
      </c>
    </row>
    <row r="138" spans="1:21" ht="31.5" x14ac:dyDescent="0.25">
      <c r="A138" s="1">
        <v>39</v>
      </c>
      <c r="B138" s="15" t="s">
        <v>115</v>
      </c>
      <c r="C138" s="1" t="s">
        <v>59</v>
      </c>
      <c r="D138" s="1">
        <v>1</v>
      </c>
      <c r="E138" s="4">
        <v>59500</v>
      </c>
      <c r="F138" s="4">
        <f t="shared" si="10"/>
        <v>59500</v>
      </c>
      <c r="G138" s="1" t="s">
        <v>23</v>
      </c>
      <c r="H138" s="1" t="s">
        <v>28</v>
      </c>
      <c r="I138" s="1" t="s">
        <v>22</v>
      </c>
      <c r="J138" s="1"/>
      <c r="K138" s="1"/>
      <c r="L138" s="1"/>
      <c r="M138" s="88" t="s">
        <v>25</v>
      </c>
      <c r="N138" s="1"/>
      <c r="O138" s="1"/>
      <c r="P138" s="1"/>
      <c r="Q138" s="1"/>
      <c r="R138" s="1"/>
      <c r="S138" s="1"/>
      <c r="T138" s="1">
        <v>1</v>
      </c>
      <c r="U138" s="14">
        <f t="shared" si="14"/>
        <v>59500</v>
      </c>
    </row>
    <row r="139" spans="1:21" ht="31.5" x14ac:dyDescent="0.25">
      <c r="A139" s="1">
        <v>40</v>
      </c>
      <c r="B139" s="20" t="s">
        <v>332</v>
      </c>
      <c r="C139" s="1" t="s">
        <v>310</v>
      </c>
      <c r="D139" s="1">
        <v>1</v>
      </c>
      <c r="E139" s="4">
        <v>48000</v>
      </c>
      <c r="F139" s="4">
        <f t="shared" si="10"/>
        <v>48000</v>
      </c>
      <c r="G139" s="1" t="s">
        <v>23</v>
      </c>
      <c r="H139" s="1" t="s">
        <v>28</v>
      </c>
      <c r="I139" s="1" t="s">
        <v>22</v>
      </c>
      <c r="J139" s="1"/>
      <c r="K139" s="1"/>
      <c r="L139" s="1"/>
      <c r="M139" s="88" t="s">
        <v>25</v>
      </c>
      <c r="N139" s="1"/>
      <c r="O139" s="1"/>
      <c r="P139" s="1"/>
      <c r="Q139" s="1"/>
      <c r="R139" s="1"/>
      <c r="S139" s="1"/>
      <c r="T139" s="1">
        <v>1</v>
      </c>
      <c r="U139" s="14">
        <f t="shared" si="14"/>
        <v>48000</v>
      </c>
    </row>
    <row r="140" spans="1:21" ht="31.5" x14ac:dyDescent="0.25">
      <c r="A140" s="1">
        <v>41</v>
      </c>
      <c r="B140" s="20" t="s">
        <v>331</v>
      </c>
      <c r="C140" s="1" t="s">
        <v>310</v>
      </c>
      <c r="D140" s="1">
        <v>1</v>
      </c>
      <c r="E140" s="4">
        <v>40000</v>
      </c>
      <c r="F140" s="4">
        <f t="shared" ref="F140:F143" si="17">D140*E140</f>
        <v>40000</v>
      </c>
      <c r="G140" s="1" t="s">
        <v>23</v>
      </c>
      <c r="H140" s="1" t="s">
        <v>28</v>
      </c>
      <c r="I140" s="1" t="s">
        <v>22</v>
      </c>
      <c r="J140" s="1"/>
      <c r="K140" s="1"/>
      <c r="L140" s="1"/>
      <c r="M140" s="88" t="s">
        <v>25</v>
      </c>
      <c r="N140" s="1"/>
      <c r="O140" s="1"/>
      <c r="P140" s="1"/>
      <c r="Q140" s="1"/>
      <c r="R140" s="1"/>
      <c r="S140" s="1"/>
      <c r="T140" s="1">
        <v>1</v>
      </c>
      <c r="U140" s="14">
        <f t="shared" si="14"/>
        <v>40000</v>
      </c>
    </row>
    <row r="141" spans="1:21" ht="15.75" x14ac:dyDescent="0.25">
      <c r="A141" s="1">
        <v>42</v>
      </c>
      <c r="B141" s="20" t="s">
        <v>320</v>
      </c>
      <c r="C141" s="1" t="s">
        <v>311</v>
      </c>
      <c r="D141" s="1">
        <v>1</v>
      </c>
      <c r="E141" s="4">
        <v>24000</v>
      </c>
      <c r="F141" s="4">
        <f t="shared" si="17"/>
        <v>24000</v>
      </c>
      <c r="G141" s="1" t="s">
        <v>23</v>
      </c>
      <c r="H141" s="1" t="s">
        <v>28</v>
      </c>
      <c r="I141" s="1" t="s">
        <v>22</v>
      </c>
      <c r="J141" s="1"/>
      <c r="K141" s="1"/>
      <c r="L141" s="1"/>
      <c r="M141" s="88" t="s">
        <v>25</v>
      </c>
      <c r="N141" s="1"/>
      <c r="O141" s="1"/>
      <c r="P141" s="1"/>
      <c r="Q141" s="1"/>
      <c r="R141" s="1"/>
      <c r="S141" s="1"/>
      <c r="T141" s="1">
        <v>1</v>
      </c>
      <c r="U141" s="14">
        <f t="shared" si="14"/>
        <v>24000</v>
      </c>
    </row>
    <row r="142" spans="1:21" ht="15.75" x14ac:dyDescent="0.25">
      <c r="A142" s="1">
        <v>43</v>
      </c>
      <c r="B142" s="20" t="s">
        <v>322</v>
      </c>
      <c r="C142" s="1" t="s">
        <v>311</v>
      </c>
      <c r="D142" s="1">
        <v>1</v>
      </c>
      <c r="E142" s="4">
        <v>37000</v>
      </c>
      <c r="F142" s="4">
        <f t="shared" si="17"/>
        <v>37000</v>
      </c>
      <c r="G142" s="1" t="s">
        <v>23</v>
      </c>
      <c r="H142" s="1" t="s">
        <v>28</v>
      </c>
      <c r="I142" s="1" t="s">
        <v>22</v>
      </c>
      <c r="J142" s="1"/>
      <c r="K142" s="1"/>
      <c r="L142" s="1"/>
      <c r="M142" s="88" t="s">
        <v>25</v>
      </c>
      <c r="N142" s="1"/>
      <c r="O142" s="1"/>
      <c r="P142" s="1"/>
      <c r="Q142" s="1"/>
      <c r="R142" s="1"/>
      <c r="S142" s="1"/>
      <c r="T142" s="1">
        <v>1</v>
      </c>
      <c r="U142" s="14">
        <f t="shared" si="14"/>
        <v>37000</v>
      </c>
    </row>
    <row r="143" spans="1:21" ht="15.75" x14ac:dyDescent="0.25">
      <c r="A143" s="1">
        <v>44</v>
      </c>
      <c r="B143" s="20" t="s">
        <v>323</v>
      </c>
      <c r="C143" s="1" t="s">
        <v>311</v>
      </c>
      <c r="D143" s="1">
        <v>1</v>
      </c>
      <c r="E143" s="4">
        <v>15000</v>
      </c>
      <c r="F143" s="4">
        <f t="shared" si="17"/>
        <v>15000</v>
      </c>
      <c r="G143" s="1" t="s">
        <v>23</v>
      </c>
      <c r="H143" s="1" t="s">
        <v>28</v>
      </c>
      <c r="I143" s="1" t="s">
        <v>22</v>
      </c>
      <c r="J143" s="1"/>
      <c r="K143" s="1"/>
      <c r="L143" s="1"/>
      <c r="M143" s="88" t="s">
        <v>25</v>
      </c>
      <c r="N143" s="1"/>
      <c r="O143" s="1"/>
      <c r="P143" s="1"/>
      <c r="Q143" s="1"/>
      <c r="R143" s="1"/>
      <c r="S143" s="1"/>
      <c r="T143" s="1">
        <v>1</v>
      </c>
      <c r="U143" s="14">
        <f t="shared" si="14"/>
        <v>15000</v>
      </c>
    </row>
    <row r="144" spans="1:21" ht="15.75" x14ac:dyDescent="0.25">
      <c r="A144" s="1"/>
      <c r="B144" s="20"/>
      <c r="C144" s="1"/>
      <c r="D144" s="1"/>
      <c r="E144" s="4"/>
      <c r="F144" s="4"/>
      <c r="G144" s="1"/>
      <c r="H144" s="1"/>
      <c r="I144" s="1"/>
      <c r="J144" s="1"/>
      <c r="K144" s="1"/>
      <c r="L144" s="1"/>
      <c r="M144" s="88"/>
      <c r="N144" s="1"/>
      <c r="O144" s="1"/>
      <c r="P144" s="1"/>
      <c r="Q144" s="1"/>
      <c r="R144" s="1"/>
      <c r="S144" s="1"/>
      <c r="T144" s="1"/>
      <c r="U144" s="14"/>
    </row>
    <row r="145" spans="1:21" ht="15.75" x14ac:dyDescent="0.25">
      <c r="A145" s="1"/>
      <c r="B145" s="20"/>
      <c r="C145" s="1"/>
      <c r="D145" s="1"/>
      <c r="E145" s="4"/>
      <c r="F145" s="106"/>
      <c r="G145" s="1"/>
      <c r="H145" s="1"/>
      <c r="I145" s="1"/>
      <c r="J145" s="1"/>
      <c r="K145" s="1"/>
      <c r="L145" s="1"/>
      <c r="M145" s="88"/>
      <c r="N145" s="1"/>
      <c r="O145" s="1"/>
      <c r="P145" s="1"/>
      <c r="Q145" s="1"/>
      <c r="R145" s="1"/>
      <c r="S145" s="1"/>
      <c r="T145" s="1"/>
      <c r="U145" s="14"/>
    </row>
    <row r="146" spans="1:21" ht="15.75" x14ac:dyDescent="0.25">
      <c r="A146" s="1"/>
      <c r="B146" s="15"/>
      <c r="C146" s="1"/>
      <c r="D146" s="15"/>
      <c r="E146" s="16"/>
      <c r="F146" s="106">
        <f>SUM(F100:F145)</f>
        <v>5432780</v>
      </c>
      <c r="G146" s="1"/>
      <c r="H146" s="1"/>
      <c r="I146" s="1"/>
      <c r="J146" s="1"/>
      <c r="K146" s="1"/>
      <c r="L146" s="1"/>
      <c r="M146" s="88"/>
      <c r="N146" s="1"/>
      <c r="O146" s="1"/>
      <c r="P146" s="1"/>
      <c r="Q146" s="1"/>
      <c r="R146" s="1"/>
      <c r="S146" s="1"/>
      <c r="T146" s="1"/>
      <c r="U146" s="14"/>
    </row>
    <row r="147" spans="1:21" ht="15.75" x14ac:dyDescent="0.25">
      <c r="A147" s="153" t="s">
        <v>434</v>
      </c>
      <c r="B147" s="154"/>
      <c r="C147" s="16"/>
      <c r="D147" s="15"/>
      <c r="E147" s="16"/>
      <c r="F147" s="4"/>
      <c r="G147" s="1"/>
      <c r="H147" s="1"/>
      <c r="I147" s="1"/>
      <c r="J147" s="1"/>
      <c r="K147" s="1"/>
      <c r="L147" s="1"/>
      <c r="M147" s="88"/>
      <c r="N147" s="1"/>
      <c r="O147" s="1"/>
      <c r="P147" s="1"/>
      <c r="Q147" s="1"/>
      <c r="R147" s="1"/>
      <c r="S147" s="1"/>
      <c r="T147" s="1"/>
      <c r="U147" s="14"/>
    </row>
    <row r="148" spans="1:21" ht="15.75" x14ac:dyDescent="0.25">
      <c r="A148" s="1">
        <v>1</v>
      </c>
      <c r="B148" s="15" t="s">
        <v>47</v>
      </c>
      <c r="C148" s="1" t="s">
        <v>68</v>
      </c>
      <c r="D148" s="15">
        <v>40</v>
      </c>
      <c r="E148" s="16">
        <v>32000</v>
      </c>
      <c r="F148" s="18">
        <f>D148*E148</f>
        <v>1280000</v>
      </c>
      <c r="G148" s="1" t="s">
        <v>23</v>
      </c>
      <c r="H148" s="1" t="s">
        <v>28</v>
      </c>
      <c r="I148" s="1" t="s">
        <v>22</v>
      </c>
      <c r="J148" s="1"/>
      <c r="K148" s="1"/>
      <c r="L148" s="1"/>
      <c r="M148" s="88" t="s">
        <v>25</v>
      </c>
      <c r="N148" s="1"/>
      <c r="O148" s="1"/>
      <c r="P148" s="1"/>
      <c r="Q148" s="1"/>
      <c r="R148" s="1"/>
      <c r="S148" s="1"/>
      <c r="T148" s="15">
        <v>40</v>
      </c>
      <c r="U148" s="14">
        <f>D148*E148</f>
        <v>1280000</v>
      </c>
    </row>
    <row r="149" spans="1:21" ht="15.75" x14ac:dyDescent="0.25">
      <c r="A149" s="1">
        <v>2</v>
      </c>
      <c r="B149" s="15" t="s">
        <v>48</v>
      </c>
      <c r="C149" s="16" t="s">
        <v>68</v>
      </c>
      <c r="D149" s="15">
        <v>14</v>
      </c>
      <c r="E149" s="16">
        <v>12000</v>
      </c>
      <c r="F149" s="18">
        <f>D149*E149</f>
        <v>168000</v>
      </c>
      <c r="G149" s="1" t="s">
        <v>23</v>
      </c>
      <c r="H149" s="1" t="s">
        <v>28</v>
      </c>
      <c r="I149" s="1" t="s">
        <v>22</v>
      </c>
      <c r="J149" s="1"/>
      <c r="K149" s="1"/>
      <c r="L149" s="1"/>
      <c r="M149" s="88" t="s">
        <v>25</v>
      </c>
      <c r="N149" s="1"/>
      <c r="O149" s="1"/>
      <c r="P149" s="1"/>
      <c r="Q149" s="1"/>
      <c r="R149" s="1"/>
      <c r="S149" s="1"/>
      <c r="T149" s="15">
        <v>14</v>
      </c>
      <c r="U149" s="14">
        <f>D149*E149</f>
        <v>168000</v>
      </c>
    </row>
    <row r="150" spans="1:21" ht="15.75" x14ac:dyDescent="0.25">
      <c r="A150" s="1">
        <v>3</v>
      </c>
      <c r="B150" s="15" t="s">
        <v>125</v>
      </c>
      <c r="C150" s="16" t="s">
        <v>68</v>
      </c>
      <c r="D150" s="15">
        <v>70</v>
      </c>
      <c r="E150" s="4">
        <v>24000</v>
      </c>
      <c r="F150" s="4">
        <f>D150*E150</f>
        <v>1680000</v>
      </c>
      <c r="G150" s="1" t="s">
        <v>23</v>
      </c>
      <c r="H150" s="1" t="s">
        <v>28</v>
      </c>
      <c r="I150" s="1" t="s">
        <v>22</v>
      </c>
      <c r="J150" s="1"/>
      <c r="K150" s="1"/>
      <c r="L150" s="1"/>
      <c r="M150" s="88" t="s">
        <v>25</v>
      </c>
      <c r="N150" s="1"/>
      <c r="O150" s="1"/>
      <c r="P150" s="1"/>
      <c r="Q150" s="1"/>
      <c r="R150" s="1"/>
      <c r="S150" s="1"/>
      <c r="T150" s="15">
        <v>70</v>
      </c>
      <c r="U150" s="14">
        <f>D150*E150</f>
        <v>1680000</v>
      </c>
    </row>
    <row r="151" spans="1:21" ht="15.75" x14ac:dyDescent="0.25">
      <c r="A151" s="1">
        <v>4</v>
      </c>
      <c r="B151" s="15" t="s">
        <v>123</v>
      </c>
      <c r="C151" s="16" t="s">
        <v>68</v>
      </c>
      <c r="D151" s="15">
        <v>100</v>
      </c>
      <c r="E151" s="4">
        <v>1800</v>
      </c>
      <c r="F151" s="4">
        <f>D151*E151</f>
        <v>180000</v>
      </c>
      <c r="G151" s="1" t="s">
        <v>23</v>
      </c>
      <c r="H151" s="1" t="s">
        <v>28</v>
      </c>
      <c r="I151" s="1" t="s">
        <v>22</v>
      </c>
      <c r="J151" s="1"/>
      <c r="K151" s="1"/>
      <c r="L151" s="1"/>
      <c r="M151" s="88" t="s">
        <v>25</v>
      </c>
      <c r="N151" s="1"/>
      <c r="O151" s="1"/>
      <c r="P151" s="1"/>
      <c r="Q151" s="1"/>
      <c r="R151" s="1"/>
      <c r="S151" s="1"/>
      <c r="T151" s="15">
        <v>100</v>
      </c>
      <c r="U151" s="14">
        <f>D151*E151</f>
        <v>180000</v>
      </c>
    </row>
    <row r="152" spans="1:21" ht="15.75" x14ac:dyDescent="0.25">
      <c r="A152" s="1">
        <v>5</v>
      </c>
      <c r="B152" s="15" t="s">
        <v>124</v>
      </c>
      <c r="C152" s="16" t="s">
        <v>68</v>
      </c>
      <c r="D152" s="15">
        <v>5</v>
      </c>
      <c r="E152" s="4">
        <v>20000</v>
      </c>
      <c r="F152" s="4">
        <f>D152*E152</f>
        <v>100000</v>
      </c>
      <c r="G152" s="1" t="s">
        <v>23</v>
      </c>
      <c r="H152" s="1" t="s">
        <v>28</v>
      </c>
      <c r="I152" s="1" t="s">
        <v>22</v>
      </c>
      <c r="J152" s="1"/>
      <c r="K152" s="1"/>
      <c r="L152" s="1"/>
      <c r="M152" s="88" t="s">
        <v>25</v>
      </c>
      <c r="N152" s="1"/>
      <c r="O152" s="1"/>
      <c r="P152" s="1"/>
      <c r="Q152" s="1"/>
      <c r="R152" s="1"/>
      <c r="S152" s="1"/>
      <c r="T152" s="15">
        <v>5</v>
      </c>
      <c r="U152" s="14">
        <f>D152*E152</f>
        <v>100000</v>
      </c>
    </row>
    <row r="153" spans="1:21" x14ac:dyDescent="0.25">
      <c r="A153" s="1"/>
      <c r="B153" s="17"/>
      <c r="C153" s="16"/>
      <c r="D153" s="16"/>
      <c r="E153" s="4"/>
      <c r="F153" s="4"/>
      <c r="G153" s="1"/>
      <c r="H153" s="1"/>
      <c r="I153" s="1"/>
      <c r="J153" s="1"/>
      <c r="K153" s="1"/>
      <c r="L153" s="1"/>
      <c r="M153" s="91"/>
      <c r="N153" s="1"/>
      <c r="O153" s="1"/>
      <c r="P153" s="1"/>
      <c r="Q153" s="1"/>
      <c r="R153" s="1"/>
      <c r="S153" s="1"/>
      <c r="T153" s="1"/>
      <c r="U153" s="14"/>
    </row>
    <row r="154" spans="1:21" x14ac:dyDescent="0.25">
      <c r="A154" s="1"/>
      <c r="B154" s="16"/>
      <c r="C154" s="16"/>
      <c r="D154" s="16"/>
      <c r="E154" s="4"/>
      <c r="F154" s="4"/>
      <c r="G154" s="1"/>
      <c r="H154" s="1"/>
      <c r="I154" s="1"/>
      <c r="J154" s="1"/>
      <c r="K154" s="1"/>
      <c r="L154" s="1"/>
      <c r="M154" s="91"/>
      <c r="N154" s="1"/>
      <c r="O154" s="1"/>
      <c r="P154" s="1"/>
      <c r="Q154" s="1"/>
      <c r="R154" s="1"/>
      <c r="S154" s="1"/>
      <c r="T154" s="1"/>
      <c r="U154" s="14"/>
    </row>
    <row r="155" spans="1:21" x14ac:dyDescent="0.25">
      <c r="A155" s="1"/>
      <c r="B155" s="16"/>
      <c r="C155" s="16"/>
      <c r="D155" s="16"/>
      <c r="E155" s="4"/>
      <c r="F155" s="106">
        <f>SUM(F147:F154)</f>
        <v>3408000</v>
      </c>
      <c r="G155" s="1"/>
      <c r="H155" s="1"/>
      <c r="I155" s="1"/>
      <c r="J155" s="1"/>
      <c r="K155" s="1"/>
      <c r="L155" s="1"/>
      <c r="M155" s="91"/>
      <c r="N155" s="1"/>
      <c r="O155" s="1"/>
      <c r="P155" s="1"/>
      <c r="Q155" s="1"/>
      <c r="R155" s="1"/>
      <c r="S155" s="1"/>
      <c r="T155" s="1"/>
      <c r="U155" s="14"/>
    </row>
    <row r="156" spans="1:21" x14ac:dyDescent="0.25">
      <c r="A156" s="145" t="s">
        <v>435</v>
      </c>
      <c r="B156" s="146"/>
      <c r="C156" s="1"/>
      <c r="D156" s="1"/>
      <c r="E156" s="4"/>
      <c r="F156" s="4"/>
      <c r="G156" s="1"/>
      <c r="H156" s="1"/>
      <c r="I156" s="1"/>
      <c r="J156" s="1"/>
      <c r="K156" s="1"/>
      <c r="L156" s="1"/>
      <c r="M156" s="91"/>
      <c r="N156" s="1"/>
      <c r="O156" s="1"/>
      <c r="P156" s="1"/>
      <c r="Q156" s="1"/>
      <c r="R156" s="1"/>
      <c r="S156" s="1"/>
      <c r="T156" s="1"/>
      <c r="U156" s="14"/>
    </row>
    <row r="157" spans="1:21" x14ac:dyDescent="0.25">
      <c r="A157" s="74">
        <v>1</v>
      </c>
      <c r="B157" s="75" t="s">
        <v>389</v>
      </c>
      <c r="C157" s="1" t="s">
        <v>390</v>
      </c>
      <c r="D157" s="1">
        <v>15</v>
      </c>
      <c r="E157" s="4">
        <v>4000</v>
      </c>
      <c r="F157" s="4">
        <f>D157*E157</f>
        <v>60000</v>
      </c>
      <c r="G157" s="1" t="s">
        <v>23</v>
      </c>
      <c r="H157" s="1" t="s">
        <v>28</v>
      </c>
      <c r="I157" s="1" t="s">
        <v>22</v>
      </c>
      <c r="J157" s="1"/>
      <c r="K157" s="1"/>
      <c r="L157" s="1"/>
      <c r="M157" s="88" t="s">
        <v>25</v>
      </c>
      <c r="N157" s="1"/>
      <c r="O157" s="72"/>
      <c r="P157" s="1"/>
      <c r="Q157" s="1"/>
      <c r="R157" s="1"/>
      <c r="S157" s="1"/>
      <c r="T157" s="1">
        <v>15</v>
      </c>
      <c r="U157" s="14">
        <f t="shared" ref="U157:U217" si="18">D157*E157</f>
        <v>60000</v>
      </c>
    </row>
    <row r="158" spans="1:21" x14ac:dyDescent="0.25">
      <c r="A158" s="74">
        <v>2</v>
      </c>
      <c r="B158" s="75" t="s">
        <v>391</v>
      </c>
      <c r="C158" s="1" t="s">
        <v>390</v>
      </c>
      <c r="D158" s="1">
        <v>3</v>
      </c>
      <c r="E158" s="4">
        <v>8000</v>
      </c>
      <c r="F158" s="4">
        <f t="shared" ref="F158:F159" si="19">D158*E158</f>
        <v>24000</v>
      </c>
      <c r="G158" s="1" t="s">
        <v>23</v>
      </c>
      <c r="H158" s="1" t="s">
        <v>28</v>
      </c>
      <c r="I158" s="1" t="s">
        <v>22</v>
      </c>
      <c r="J158" s="1"/>
      <c r="K158" s="1"/>
      <c r="L158" s="1"/>
      <c r="M158" s="88" t="s">
        <v>25</v>
      </c>
      <c r="N158" s="1"/>
      <c r="O158" s="72"/>
      <c r="P158" s="1"/>
      <c r="Q158" s="1"/>
      <c r="R158" s="1"/>
      <c r="S158" s="1"/>
      <c r="T158" s="1">
        <v>3</v>
      </c>
      <c r="U158" s="14">
        <f t="shared" si="18"/>
        <v>24000</v>
      </c>
    </row>
    <row r="159" spans="1:21" x14ac:dyDescent="0.25">
      <c r="A159" s="74">
        <v>3</v>
      </c>
      <c r="B159" s="75" t="s">
        <v>392</v>
      </c>
      <c r="C159" s="1" t="s">
        <v>145</v>
      </c>
      <c r="D159" s="1">
        <v>900</v>
      </c>
      <c r="E159" s="4">
        <v>50</v>
      </c>
      <c r="F159" s="4">
        <f t="shared" si="19"/>
        <v>45000</v>
      </c>
      <c r="G159" s="1" t="s">
        <v>23</v>
      </c>
      <c r="H159" s="1" t="s">
        <v>28</v>
      </c>
      <c r="I159" s="1" t="s">
        <v>22</v>
      </c>
      <c r="J159" s="1"/>
      <c r="K159" s="1"/>
      <c r="L159" s="1"/>
      <c r="M159" s="88" t="s">
        <v>25</v>
      </c>
      <c r="N159" s="1"/>
      <c r="O159" s="72"/>
      <c r="P159" s="1"/>
      <c r="Q159" s="1"/>
      <c r="R159" s="1"/>
      <c r="S159" s="1"/>
      <c r="T159" s="1">
        <v>900</v>
      </c>
      <c r="U159" s="14">
        <f t="shared" si="18"/>
        <v>45000</v>
      </c>
    </row>
    <row r="160" spans="1:21" x14ac:dyDescent="0.25">
      <c r="A160" s="1"/>
      <c r="B160" s="1"/>
      <c r="C160" s="1"/>
      <c r="D160" s="1"/>
      <c r="E160" s="4"/>
      <c r="F160" s="4"/>
      <c r="G160" s="1"/>
      <c r="H160" s="1"/>
      <c r="I160" s="1"/>
      <c r="J160" s="1"/>
      <c r="K160" s="1"/>
      <c r="L160" s="1"/>
      <c r="M160" s="91"/>
      <c r="N160" s="1"/>
      <c r="O160" s="1"/>
      <c r="P160" s="1"/>
      <c r="Q160" s="1"/>
      <c r="R160" s="1"/>
      <c r="S160" s="1"/>
      <c r="T160" s="5"/>
      <c r="U160" s="14"/>
    </row>
    <row r="161" spans="1:184" x14ac:dyDescent="0.25">
      <c r="A161" s="1"/>
      <c r="B161" s="1"/>
      <c r="C161" s="1"/>
      <c r="D161" s="1"/>
      <c r="E161" s="4"/>
      <c r="F161" s="4"/>
      <c r="G161" s="1"/>
      <c r="H161" s="1"/>
      <c r="I161" s="1"/>
      <c r="J161" s="1"/>
      <c r="K161" s="1"/>
      <c r="L161" s="1"/>
      <c r="M161" s="91"/>
      <c r="N161" s="1"/>
      <c r="O161" s="1"/>
      <c r="P161" s="1"/>
      <c r="Q161" s="1"/>
      <c r="R161" s="1"/>
      <c r="S161" s="1"/>
      <c r="T161" s="1"/>
      <c r="U161" s="14"/>
    </row>
    <row r="162" spans="1:184" x14ac:dyDescent="0.25">
      <c r="A162" s="1"/>
      <c r="B162" s="1"/>
      <c r="C162" s="1"/>
      <c r="D162" s="1"/>
      <c r="E162" s="4"/>
      <c r="F162" s="106">
        <f>SUM(F157:F161)</f>
        <v>129000</v>
      </c>
      <c r="G162" s="1"/>
      <c r="H162" s="1"/>
      <c r="I162" s="1"/>
      <c r="J162" s="1"/>
      <c r="K162" s="1"/>
      <c r="L162" s="1"/>
      <c r="M162" s="91"/>
      <c r="N162" s="1"/>
      <c r="O162" s="1"/>
      <c r="P162" s="1"/>
      <c r="Q162" s="1"/>
      <c r="R162" s="1"/>
      <c r="S162" s="1"/>
      <c r="T162" s="1"/>
      <c r="U162" s="14"/>
    </row>
    <row r="163" spans="1:184" x14ac:dyDescent="0.25">
      <c r="A163" s="141" t="s">
        <v>436</v>
      </c>
      <c r="B163" s="142"/>
      <c r="C163" s="1"/>
      <c r="D163" s="1"/>
      <c r="E163" s="4"/>
      <c r="F163" s="4"/>
      <c r="G163" s="1"/>
      <c r="H163" s="1"/>
      <c r="I163" s="1"/>
      <c r="J163" s="1"/>
      <c r="K163" s="1"/>
      <c r="L163" s="1"/>
      <c r="M163" s="91"/>
      <c r="N163" s="1"/>
      <c r="O163" s="1"/>
      <c r="P163" s="1"/>
      <c r="Q163" s="1"/>
      <c r="R163" s="1"/>
      <c r="S163" s="1"/>
      <c r="T163" s="1"/>
      <c r="U163" s="14"/>
    </row>
    <row r="164" spans="1:184" x14ac:dyDescent="0.25">
      <c r="A164" s="1">
        <v>1</v>
      </c>
      <c r="B164" s="1" t="s">
        <v>437</v>
      </c>
      <c r="C164" s="1" t="s">
        <v>145</v>
      </c>
      <c r="D164" s="1">
        <v>1</v>
      </c>
      <c r="E164" s="4">
        <v>2500000</v>
      </c>
      <c r="F164" s="4">
        <f t="shared" ref="F164:F188" si="20">D164*E164</f>
        <v>2500000</v>
      </c>
      <c r="G164" s="1" t="s">
        <v>23</v>
      </c>
      <c r="H164" s="1" t="s">
        <v>28</v>
      </c>
      <c r="I164" s="1" t="s">
        <v>22</v>
      </c>
      <c r="J164" s="1"/>
      <c r="K164" s="1"/>
      <c r="L164" s="1"/>
      <c r="M164" s="88" t="s">
        <v>25</v>
      </c>
      <c r="N164" s="1"/>
      <c r="O164" s="1"/>
      <c r="P164" s="1"/>
      <c r="Q164" s="1"/>
      <c r="R164" s="1"/>
      <c r="S164" s="1"/>
      <c r="T164" s="1">
        <v>1</v>
      </c>
      <c r="U164" s="14">
        <f t="shared" si="18"/>
        <v>2500000</v>
      </c>
    </row>
    <row r="165" spans="1:184" ht="30" x14ac:dyDescent="0.25">
      <c r="A165" s="31">
        <v>2</v>
      </c>
      <c r="B165" s="32" t="s">
        <v>482</v>
      </c>
      <c r="C165" s="31" t="s">
        <v>481</v>
      </c>
      <c r="D165" s="31">
        <v>15</v>
      </c>
      <c r="E165" s="40">
        <v>20000</v>
      </c>
      <c r="F165" s="40">
        <f t="shared" si="20"/>
        <v>300000</v>
      </c>
      <c r="G165" s="31" t="s">
        <v>23</v>
      </c>
      <c r="H165" s="31" t="s">
        <v>28</v>
      </c>
      <c r="I165" s="31" t="s">
        <v>22</v>
      </c>
      <c r="J165" s="31"/>
      <c r="K165" s="31"/>
      <c r="L165" s="31"/>
      <c r="M165" s="87" t="s">
        <v>25</v>
      </c>
      <c r="N165" s="31"/>
      <c r="O165" s="31"/>
      <c r="P165" s="31"/>
      <c r="Q165" s="31"/>
      <c r="R165" s="31"/>
      <c r="S165" s="31"/>
      <c r="T165" s="31">
        <v>15</v>
      </c>
      <c r="U165" s="41">
        <f t="shared" si="18"/>
        <v>300000</v>
      </c>
    </row>
    <row r="166" spans="1:184" ht="30" x14ac:dyDescent="0.25">
      <c r="A166" s="31">
        <v>3</v>
      </c>
      <c r="B166" s="32" t="s">
        <v>483</v>
      </c>
      <c r="C166" s="31" t="s">
        <v>481</v>
      </c>
      <c r="D166" s="31">
        <v>15</v>
      </c>
      <c r="E166" s="40">
        <v>75000</v>
      </c>
      <c r="F166" s="40">
        <f t="shared" si="20"/>
        <v>1125000</v>
      </c>
      <c r="G166" s="31" t="s">
        <v>23</v>
      </c>
      <c r="H166" s="31" t="s">
        <v>28</v>
      </c>
      <c r="I166" s="31" t="s">
        <v>22</v>
      </c>
      <c r="J166" s="31"/>
      <c r="K166" s="31"/>
      <c r="L166" s="31"/>
      <c r="M166" s="87" t="s">
        <v>25</v>
      </c>
      <c r="N166" s="31"/>
      <c r="O166" s="31"/>
      <c r="P166" s="31"/>
      <c r="Q166" s="31"/>
      <c r="R166" s="31"/>
      <c r="S166" s="31"/>
      <c r="T166" s="31">
        <v>15</v>
      </c>
      <c r="U166" s="41">
        <f t="shared" si="18"/>
        <v>1125000</v>
      </c>
    </row>
    <row r="167" spans="1:184" ht="30" x14ac:dyDescent="0.25">
      <c r="A167" s="31">
        <v>4</v>
      </c>
      <c r="B167" s="32" t="s">
        <v>484</v>
      </c>
      <c r="C167" s="31" t="s">
        <v>481</v>
      </c>
      <c r="D167" s="31">
        <v>18</v>
      </c>
      <c r="E167" s="40">
        <v>25000</v>
      </c>
      <c r="F167" s="40">
        <f t="shared" si="20"/>
        <v>450000</v>
      </c>
      <c r="G167" s="31" t="s">
        <v>23</v>
      </c>
      <c r="H167" s="31" t="s">
        <v>28</v>
      </c>
      <c r="I167" s="31" t="s">
        <v>22</v>
      </c>
      <c r="J167" s="31"/>
      <c r="K167" s="31"/>
      <c r="L167" s="31"/>
      <c r="M167" s="87" t="s">
        <v>25</v>
      </c>
      <c r="N167" s="31"/>
      <c r="O167" s="31"/>
      <c r="P167" s="31"/>
      <c r="Q167" s="31"/>
      <c r="R167" s="31"/>
      <c r="S167" s="31"/>
      <c r="T167" s="31">
        <v>18</v>
      </c>
      <c r="U167" s="41">
        <f t="shared" si="18"/>
        <v>450000</v>
      </c>
    </row>
    <row r="168" spans="1:184" ht="30" x14ac:dyDescent="0.25">
      <c r="A168" s="31">
        <v>5</v>
      </c>
      <c r="B168" s="32" t="s">
        <v>486</v>
      </c>
      <c r="C168" s="31" t="s">
        <v>481</v>
      </c>
      <c r="D168" s="31">
        <v>18</v>
      </c>
      <c r="E168" s="40">
        <v>25000</v>
      </c>
      <c r="F168" s="40">
        <f t="shared" si="20"/>
        <v>450000</v>
      </c>
      <c r="G168" s="31" t="s">
        <v>23</v>
      </c>
      <c r="H168" s="31" t="s">
        <v>28</v>
      </c>
      <c r="I168" s="31" t="s">
        <v>22</v>
      </c>
      <c r="J168" s="31"/>
      <c r="K168" s="31"/>
      <c r="L168" s="31"/>
      <c r="M168" s="87" t="s">
        <v>25</v>
      </c>
      <c r="N168" s="31"/>
      <c r="O168" s="31"/>
      <c r="P168" s="31"/>
      <c r="Q168" s="31"/>
      <c r="R168" s="31"/>
      <c r="S168" s="31"/>
      <c r="T168" s="31">
        <v>18</v>
      </c>
      <c r="U168" s="41">
        <f t="shared" si="18"/>
        <v>450000</v>
      </c>
    </row>
    <row r="169" spans="1:184" ht="30" x14ac:dyDescent="0.25">
      <c r="A169" s="31">
        <v>6</v>
      </c>
      <c r="B169" s="32" t="s">
        <v>485</v>
      </c>
      <c r="C169" s="31" t="s">
        <v>481</v>
      </c>
      <c r="D169" s="31">
        <v>10</v>
      </c>
      <c r="E169" s="40">
        <v>25000</v>
      </c>
      <c r="F169" s="40">
        <f t="shared" si="20"/>
        <v>250000</v>
      </c>
      <c r="G169" s="31" t="s">
        <v>23</v>
      </c>
      <c r="H169" s="31" t="s">
        <v>28</v>
      </c>
      <c r="I169" s="31" t="s">
        <v>22</v>
      </c>
      <c r="J169" s="31"/>
      <c r="K169" s="31"/>
      <c r="L169" s="31"/>
      <c r="M169" s="87" t="s">
        <v>25</v>
      </c>
      <c r="N169" s="31"/>
      <c r="O169" s="31"/>
      <c r="P169" s="31"/>
      <c r="Q169" s="31"/>
      <c r="R169" s="31"/>
      <c r="S169" s="31"/>
      <c r="T169" s="31">
        <v>10</v>
      </c>
      <c r="U169" s="41">
        <f t="shared" si="18"/>
        <v>250000</v>
      </c>
    </row>
    <row r="170" spans="1:184" ht="30" x14ac:dyDescent="0.25">
      <c r="A170" s="31">
        <v>7</v>
      </c>
      <c r="B170" s="32" t="s">
        <v>487</v>
      </c>
      <c r="C170" s="31" t="s">
        <v>481</v>
      </c>
      <c r="D170" s="31">
        <v>15</v>
      </c>
      <c r="E170" s="40">
        <v>25000</v>
      </c>
      <c r="F170" s="40">
        <f t="shared" si="20"/>
        <v>375000</v>
      </c>
      <c r="G170" s="31" t="s">
        <v>23</v>
      </c>
      <c r="H170" s="31" t="s">
        <v>28</v>
      </c>
      <c r="I170" s="31" t="s">
        <v>22</v>
      </c>
      <c r="J170" s="31"/>
      <c r="K170" s="31"/>
      <c r="L170" s="31"/>
      <c r="M170" s="87" t="s">
        <v>25</v>
      </c>
      <c r="N170" s="31"/>
      <c r="O170" s="31"/>
      <c r="P170" s="31"/>
      <c r="Q170" s="31"/>
      <c r="R170" s="31"/>
      <c r="S170" s="31"/>
      <c r="T170" s="31">
        <v>15</v>
      </c>
      <c r="U170" s="41">
        <f t="shared" si="18"/>
        <v>375000</v>
      </c>
    </row>
    <row r="171" spans="1:184" ht="30" x14ac:dyDescent="0.25">
      <c r="A171" s="31">
        <v>8</v>
      </c>
      <c r="B171" s="32" t="s">
        <v>488</v>
      </c>
      <c r="C171" s="31" t="s">
        <v>481</v>
      </c>
      <c r="D171" s="31">
        <v>35</v>
      </c>
      <c r="E171" s="40">
        <v>150000</v>
      </c>
      <c r="F171" s="40">
        <f t="shared" si="20"/>
        <v>5250000</v>
      </c>
      <c r="G171" s="31" t="s">
        <v>23</v>
      </c>
      <c r="H171" s="31" t="s">
        <v>28</v>
      </c>
      <c r="I171" s="31" t="s">
        <v>22</v>
      </c>
      <c r="J171" s="31"/>
      <c r="K171" s="31"/>
      <c r="L171" s="31"/>
      <c r="M171" s="87" t="s">
        <v>25</v>
      </c>
      <c r="N171" s="31"/>
      <c r="O171" s="31"/>
      <c r="P171" s="31"/>
      <c r="Q171" s="31"/>
      <c r="R171" s="31"/>
      <c r="S171" s="31"/>
      <c r="T171" s="31">
        <v>35</v>
      </c>
      <c r="U171" s="41">
        <f t="shared" si="18"/>
        <v>5250000</v>
      </c>
    </row>
    <row r="172" spans="1:184" ht="30" x14ac:dyDescent="0.25">
      <c r="A172" s="31">
        <v>9</v>
      </c>
      <c r="B172" s="32" t="s">
        <v>489</v>
      </c>
      <c r="C172" s="31" t="s">
        <v>481</v>
      </c>
      <c r="D172" s="31">
        <v>15</v>
      </c>
      <c r="E172" s="40">
        <v>25000</v>
      </c>
      <c r="F172" s="40">
        <f t="shared" si="20"/>
        <v>375000</v>
      </c>
      <c r="G172" s="31" t="s">
        <v>23</v>
      </c>
      <c r="H172" s="31" t="s">
        <v>28</v>
      </c>
      <c r="I172" s="31" t="s">
        <v>22</v>
      </c>
      <c r="J172" s="31"/>
      <c r="K172" s="31"/>
      <c r="L172" s="31"/>
      <c r="M172" s="87" t="s">
        <v>25</v>
      </c>
      <c r="N172" s="31"/>
      <c r="O172" s="31"/>
      <c r="P172" s="31"/>
      <c r="Q172" s="31"/>
      <c r="R172" s="31"/>
      <c r="S172" s="31"/>
      <c r="T172" s="31">
        <v>15</v>
      </c>
      <c r="U172" s="41">
        <f t="shared" si="18"/>
        <v>375000</v>
      </c>
    </row>
    <row r="173" spans="1:184" ht="30" x14ac:dyDescent="0.25">
      <c r="A173" s="31">
        <v>10</v>
      </c>
      <c r="B173" s="32" t="s">
        <v>490</v>
      </c>
      <c r="C173" s="31" t="s">
        <v>481</v>
      </c>
      <c r="D173" s="31">
        <v>35</v>
      </c>
      <c r="E173" s="40">
        <v>150000</v>
      </c>
      <c r="F173" s="40">
        <f t="shared" si="20"/>
        <v>5250000</v>
      </c>
      <c r="G173" s="31" t="s">
        <v>23</v>
      </c>
      <c r="H173" s="31" t="s">
        <v>28</v>
      </c>
      <c r="I173" s="31" t="s">
        <v>22</v>
      </c>
      <c r="J173" s="31"/>
      <c r="K173" s="31"/>
      <c r="L173" s="31"/>
      <c r="M173" s="87" t="s">
        <v>25</v>
      </c>
      <c r="N173" s="31"/>
      <c r="O173" s="31"/>
      <c r="P173" s="31"/>
      <c r="Q173" s="31"/>
      <c r="R173" s="31"/>
      <c r="S173" s="31"/>
      <c r="T173" s="31">
        <v>35</v>
      </c>
      <c r="U173" s="41">
        <f t="shared" si="18"/>
        <v>5250000</v>
      </c>
    </row>
    <row r="174" spans="1:184" x14ac:dyDescent="0.25">
      <c r="A174" s="31"/>
      <c r="B174" s="32"/>
      <c r="C174" s="31"/>
      <c r="D174" s="31"/>
      <c r="E174" s="40"/>
      <c r="F174" s="40"/>
      <c r="G174" s="31"/>
      <c r="H174" s="31"/>
      <c r="I174" s="31"/>
      <c r="J174" s="31"/>
      <c r="K174" s="31"/>
      <c r="L174" s="31"/>
      <c r="M174" s="87" t="s">
        <v>25</v>
      </c>
      <c r="N174" s="31"/>
      <c r="O174" s="31"/>
      <c r="P174" s="31"/>
      <c r="Q174" s="31"/>
      <c r="R174" s="31"/>
      <c r="S174" s="31"/>
      <c r="T174" s="31"/>
      <c r="U174" s="41"/>
    </row>
    <row r="175" spans="1:184" x14ac:dyDescent="0.25">
      <c r="A175" s="1">
        <v>3</v>
      </c>
      <c r="B175" s="1" t="s">
        <v>232</v>
      </c>
      <c r="C175" s="1" t="s">
        <v>233</v>
      </c>
      <c r="D175" s="1">
        <v>1</v>
      </c>
      <c r="E175" s="4">
        <v>4925000</v>
      </c>
      <c r="F175" s="4">
        <f>D175*E175</f>
        <v>4925000</v>
      </c>
      <c r="G175" s="1" t="s">
        <v>23</v>
      </c>
      <c r="H175" s="1" t="s">
        <v>28</v>
      </c>
      <c r="I175" s="1" t="s">
        <v>22</v>
      </c>
      <c r="J175" s="1"/>
      <c r="K175" s="1"/>
      <c r="L175" s="1"/>
      <c r="M175" s="88" t="s">
        <v>25</v>
      </c>
      <c r="N175" s="1"/>
      <c r="O175" s="1"/>
      <c r="P175" s="1"/>
      <c r="Q175" s="1"/>
      <c r="R175" s="1"/>
      <c r="S175" s="1"/>
      <c r="T175" s="1">
        <v>1</v>
      </c>
      <c r="U175" s="14">
        <f t="shared" si="18"/>
        <v>4925000</v>
      </c>
    </row>
    <row r="176" spans="1:184" s="53" customFormat="1" ht="51" x14ac:dyDescent="0.25">
      <c r="A176" s="36"/>
      <c r="B176" s="92" t="s">
        <v>397</v>
      </c>
      <c r="C176" s="36" t="s">
        <v>398</v>
      </c>
      <c r="D176" s="36">
        <v>30</v>
      </c>
      <c r="E176" s="37">
        <v>25000</v>
      </c>
      <c r="F176" s="37">
        <f t="shared" si="20"/>
        <v>750000</v>
      </c>
      <c r="G176" s="36"/>
      <c r="H176" s="36"/>
      <c r="I176" s="36"/>
      <c r="J176" s="36"/>
      <c r="K176" s="36"/>
      <c r="L176" s="36"/>
      <c r="M176" s="89" t="s">
        <v>25</v>
      </c>
      <c r="N176" s="36"/>
      <c r="O176" s="36"/>
      <c r="P176" s="36"/>
      <c r="Q176" s="36"/>
      <c r="R176" s="36"/>
      <c r="S176" s="36"/>
      <c r="T176" s="36">
        <v>30</v>
      </c>
      <c r="U176" s="52">
        <f t="shared" si="18"/>
        <v>750000</v>
      </c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  <c r="EW176" s="17"/>
      <c r="EX176" s="17"/>
      <c r="EY176" s="17"/>
      <c r="EZ176" s="17"/>
      <c r="FA176" s="17"/>
      <c r="FB176" s="17"/>
      <c r="FC176" s="17"/>
      <c r="FD176" s="17"/>
      <c r="FE176" s="17"/>
      <c r="FF176" s="17"/>
      <c r="FG176" s="17"/>
      <c r="FH176" s="17"/>
      <c r="FI176" s="17"/>
      <c r="FJ176" s="17"/>
      <c r="FK176" s="17"/>
      <c r="FL176" s="17"/>
      <c r="FM176" s="17"/>
      <c r="FN176" s="17"/>
      <c r="FO176" s="17"/>
      <c r="FP176" s="17"/>
      <c r="FQ176" s="17"/>
      <c r="FR176" s="17"/>
      <c r="FS176" s="17"/>
      <c r="FT176" s="17"/>
      <c r="FU176" s="17"/>
      <c r="FV176" s="17"/>
      <c r="FW176" s="17"/>
      <c r="FX176" s="17"/>
      <c r="FY176" s="17"/>
      <c r="FZ176" s="17"/>
      <c r="GA176" s="17"/>
      <c r="GB176" s="17"/>
    </row>
    <row r="177" spans="1:184" s="53" customFormat="1" ht="51" x14ac:dyDescent="0.25">
      <c r="A177" s="36"/>
      <c r="B177" s="92" t="s">
        <v>399</v>
      </c>
      <c r="C177" s="36" t="s">
        <v>398</v>
      </c>
      <c r="D177" s="36">
        <v>30</v>
      </c>
      <c r="E177" s="37">
        <v>50000</v>
      </c>
      <c r="F177" s="37">
        <f t="shared" si="20"/>
        <v>1500000</v>
      </c>
      <c r="G177" s="36"/>
      <c r="H177" s="36"/>
      <c r="I177" s="36"/>
      <c r="J177" s="36"/>
      <c r="K177" s="36"/>
      <c r="L177" s="36"/>
      <c r="M177" s="89" t="s">
        <v>25</v>
      </c>
      <c r="N177" s="36"/>
      <c r="O177" s="36"/>
      <c r="P177" s="36"/>
      <c r="Q177" s="36"/>
      <c r="R177" s="36"/>
      <c r="S177" s="36"/>
      <c r="T177" s="36">
        <v>30</v>
      </c>
      <c r="U177" s="52">
        <f t="shared" si="18"/>
        <v>1500000</v>
      </c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  <c r="EW177" s="17"/>
      <c r="EX177" s="17"/>
      <c r="EY177" s="17"/>
      <c r="EZ177" s="17"/>
      <c r="FA177" s="17"/>
      <c r="FB177" s="17"/>
      <c r="FC177" s="17"/>
      <c r="FD177" s="17"/>
      <c r="FE177" s="17"/>
      <c r="FF177" s="17"/>
      <c r="FG177" s="17"/>
      <c r="FH177" s="17"/>
      <c r="FI177" s="17"/>
      <c r="FJ177" s="17"/>
      <c r="FK177" s="17"/>
      <c r="FL177" s="17"/>
      <c r="FM177" s="17"/>
      <c r="FN177" s="17"/>
      <c r="FO177" s="17"/>
      <c r="FP177" s="17"/>
      <c r="FQ177" s="17"/>
      <c r="FR177" s="17"/>
      <c r="FS177" s="17"/>
      <c r="FT177" s="17"/>
      <c r="FU177" s="17"/>
      <c r="FV177" s="17"/>
      <c r="FW177" s="17"/>
      <c r="FX177" s="17"/>
      <c r="FY177" s="17"/>
      <c r="FZ177" s="17"/>
      <c r="GA177" s="17"/>
      <c r="GB177" s="17"/>
    </row>
    <row r="178" spans="1:184" x14ac:dyDescent="0.25">
      <c r="A178" s="93"/>
      <c r="B178" s="90"/>
      <c r="C178" s="93"/>
      <c r="D178" s="93"/>
      <c r="E178" s="94"/>
      <c r="F178" s="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4"/>
    </row>
    <row r="179" spans="1:184" x14ac:dyDescent="0.25">
      <c r="A179" s="1"/>
      <c r="B179" s="1"/>
      <c r="C179" s="1"/>
      <c r="D179" s="1"/>
      <c r="E179" s="4"/>
      <c r="F179" s="106">
        <f>SUM(F164:F178)</f>
        <v>23500000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4"/>
    </row>
    <row r="180" spans="1:184" x14ac:dyDescent="0.25">
      <c r="A180" s="141" t="s">
        <v>438</v>
      </c>
      <c r="B180" s="142"/>
      <c r="C180" s="1"/>
      <c r="D180" s="1"/>
      <c r="E180" s="4"/>
      <c r="F180" s="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4"/>
    </row>
    <row r="181" spans="1:184" x14ac:dyDescent="0.25">
      <c r="A181" s="56">
        <v>1</v>
      </c>
      <c r="B181" s="56" t="s">
        <v>234</v>
      </c>
      <c r="C181" s="56" t="s">
        <v>170</v>
      </c>
      <c r="D181" s="56">
        <v>1</v>
      </c>
      <c r="E181" s="57">
        <v>3500000</v>
      </c>
      <c r="F181" s="57">
        <f t="shared" si="20"/>
        <v>3500000</v>
      </c>
      <c r="G181" s="56" t="s">
        <v>23</v>
      </c>
      <c r="H181" s="56" t="s">
        <v>28</v>
      </c>
      <c r="I181" s="56" t="s">
        <v>22</v>
      </c>
      <c r="J181" s="86" t="s">
        <v>25</v>
      </c>
      <c r="K181" s="86" t="s">
        <v>25</v>
      </c>
      <c r="L181" s="86" t="s">
        <v>25</v>
      </c>
      <c r="M181" s="56"/>
      <c r="N181" s="56"/>
      <c r="O181" s="56"/>
      <c r="P181" s="56"/>
      <c r="Q181" s="56"/>
      <c r="R181" s="56"/>
      <c r="S181" s="56"/>
      <c r="T181" s="56">
        <v>1</v>
      </c>
      <c r="U181" s="80">
        <f t="shared" si="18"/>
        <v>3500000</v>
      </c>
    </row>
    <row r="182" spans="1:184" s="17" customFormat="1" x14ac:dyDescent="0.25">
      <c r="A182" s="31">
        <v>2</v>
      </c>
      <c r="B182" s="31" t="s">
        <v>234</v>
      </c>
      <c r="C182" s="31" t="s">
        <v>235</v>
      </c>
      <c r="D182" s="31">
        <v>1</v>
      </c>
      <c r="E182" s="40">
        <v>308000</v>
      </c>
      <c r="F182" s="40">
        <f t="shared" si="20"/>
        <v>308000</v>
      </c>
      <c r="G182" s="31" t="s">
        <v>23</v>
      </c>
      <c r="H182" s="31" t="s">
        <v>28</v>
      </c>
      <c r="I182" s="31" t="s">
        <v>22</v>
      </c>
      <c r="J182" s="87" t="s">
        <v>25</v>
      </c>
      <c r="K182" s="87" t="s">
        <v>25</v>
      </c>
      <c r="L182" s="87" t="s">
        <v>25</v>
      </c>
      <c r="M182" s="31"/>
      <c r="N182" s="31"/>
      <c r="O182" s="31"/>
      <c r="P182" s="31"/>
      <c r="Q182" s="31"/>
      <c r="R182" s="31"/>
      <c r="S182" s="31"/>
      <c r="T182" s="31">
        <v>1</v>
      </c>
      <c r="U182" s="41">
        <f t="shared" si="18"/>
        <v>308000</v>
      </c>
    </row>
    <row r="183" spans="1:184" x14ac:dyDescent="0.25">
      <c r="A183" s="1">
        <v>3</v>
      </c>
      <c r="B183" s="1" t="s">
        <v>234</v>
      </c>
      <c r="C183" s="1" t="s">
        <v>170</v>
      </c>
      <c r="D183" s="1">
        <v>1</v>
      </c>
      <c r="E183" s="4">
        <v>1280000</v>
      </c>
      <c r="F183" s="4">
        <f t="shared" si="20"/>
        <v>1280000</v>
      </c>
      <c r="G183" s="1" t="s">
        <v>23</v>
      </c>
      <c r="H183" s="1" t="s">
        <v>28</v>
      </c>
      <c r="I183" s="1" t="s">
        <v>22</v>
      </c>
      <c r="J183" s="88" t="s">
        <v>25</v>
      </c>
      <c r="K183" s="88" t="s">
        <v>25</v>
      </c>
      <c r="L183" s="88" t="s">
        <v>25</v>
      </c>
      <c r="M183" s="1"/>
      <c r="N183" s="1"/>
      <c r="O183" s="1"/>
      <c r="P183" s="1"/>
      <c r="Q183" s="1"/>
      <c r="R183" s="1"/>
      <c r="S183" s="1"/>
      <c r="T183" s="1">
        <v>1</v>
      </c>
      <c r="U183" s="14">
        <f t="shared" si="18"/>
        <v>1280000</v>
      </c>
    </row>
    <row r="184" spans="1:184" x14ac:dyDescent="0.25">
      <c r="A184" s="1"/>
      <c r="B184" s="1"/>
      <c r="C184" s="1"/>
      <c r="D184" s="1"/>
      <c r="E184" s="4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4"/>
    </row>
    <row r="185" spans="1:184" x14ac:dyDescent="0.25">
      <c r="A185" s="1"/>
      <c r="B185" s="1"/>
      <c r="C185" s="1"/>
      <c r="D185" s="1"/>
      <c r="E185" s="4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4"/>
    </row>
    <row r="186" spans="1:184" x14ac:dyDescent="0.25">
      <c r="A186" s="1"/>
      <c r="B186" s="1"/>
      <c r="C186" s="1"/>
      <c r="D186" s="1"/>
      <c r="E186" s="4"/>
      <c r="F186" s="106">
        <f>SUM(F181:F185)</f>
        <v>5088000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4"/>
    </row>
    <row r="187" spans="1:184" x14ac:dyDescent="0.25">
      <c r="A187" s="141" t="s">
        <v>439</v>
      </c>
      <c r="B187" s="142"/>
      <c r="C187" s="1"/>
      <c r="D187" s="1"/>
      <c r="E187" s="4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4"/>
    </row>
    <row r="188" spans="1:184" x14ac:dyDescent="0.25">
      <c r="A188" s="1"/>
      <c r="B188" s="1" t="s">
        <v>284</v>
      </c>
      <c r="C188" s="1" t="s">
        <v>80</v>
      </c>
      <c r="D188" s="1">
        <v>1</v>
      </c>
      <c r="E188" s="4">
        <v>80000</v>
      </c>
      <c r="F188" s="4">
        <f t="shared" si="20"/>
        <v>80000</v>
      </c>
      <c r="G188" s="1" t="s">
        <v>23</v>
      </c>
      <c r="H188" s="1" t="s">
        <v>28</v>
      </c>
      <c r="I188" s="1" t="s">
        <v>22</v>
      </c>
      <c r="J188" s="1"/>
      <c r="K188" s="1"/>
      <c r="L188" s="88"/>
      <c r="M188" s="88" t="s">
        <v>25</v>
      </c>
      <c r="N188" s="1"/>
      <c r="O188" s="1"/>
      <c r="P188" s="1"/>
      <c r="Q188" s="1"/>
      <c r="R188" s="1"/>
      <c r="S188" s="1"/>
      <c r="T188" s="1">
        <v>1</v>
      </c>
      <c r="U188" s="14">
        <f t="shared" si="18"/>
        <v>80000</v>
      </c>
    </row>
    <row r="189" spans="1:184" x14ac:dyDescent="0.25">
      <c r="A189" s="1"/>
      <c r="B189" s="1"/>
      <c r="C189" s="1"/>
      <c r="D189" s="1"/>
      <c r="E189" s="4"/>
      <c r="F189" s="106">
        <f>SUM(F188)</f>
        <v>80000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4"/>
    </row>
    <row r="190" spans="1:184" ht="15.75" x14ac:dyDescent="0.25">
      <c r="A190" s="3" t="s">
        <v>440</v>
      </c>
      <c r="B190" s="30"/>
      <c r="C190" s="1"/>
      <c r="D190" s="1"/>
      <c r="E190" s="1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4"/>
    </row>
    <row r="191" spans="1:184" x14ac:dyDescent="0.25">
      <c r="A191" s="43"/>
      <c r="B191" s="32" t="s">
        <v>220</v>
      </c>
      <c r="C191" s="31" t="s">
        <v>145</v>
      </c>
      <c r="D191" s="31">
        <v>10</v>
      </c>
      <c r="E191" s="31">
        <v>20000</v>
      </c>
      <c r="F191" s="40">
        <f t="shared" ref="F191:F193" si="21">D191*E191</f>
        <v>200000</v>
      </c>
      <c r="G191" s="31" t="s">
        <v>23</v>
      </c>
      <c r="H191" s="31" t="s">
        <v>28</v>
      </c>
      <c r="I191" s="31" t="s">
        <v>22</v>
      </c>
      <c r="J191" s="87" t="s">
        <v>25</v>
      </c>
      <c r="K191" s="87" t="s">
        <v>25</v>
      </c>
      <c r="L191" s="87" t="s">
        <v>25</v>
      </c>
      <c r="M191" s="31"/>
      <c r="N191" s="31"/>
      <c r="O191" s="31"/>
      <c r="P191" s="31"/>
      <c r="Q191" s="31"/>
      <c r="R191" s="31"/>
      <c r="S191" s="31"/>
      <c r="T191" s="31">
        <v>10</v>
      </c>
      <c r="U191" s="41">
        <f t="shared" si="18"/>
        <v>200000</v>
      </c>
    </row>
    <row r="192" spans="1:184" x14ac:dyDescent="0.25">
      <c r="A192" s="44"/>
      <c r="B192" s="32" t="s">
        <v>221</v>
      </c>
      <c r="C192" s="31" t="s">
        <v>145</v>
      </c>
      <c r="D192" s="31">
        <v>5</v>
      </c>
      <c r="E192" s="31">
        <v>26000</v>
      </c>
      <c r="F192" s="40">
        <f t="shared" si="21"/>
        <v>130000</v>
      </c>
      <c r="G192" s="31" t="s">
        <v>23</v>
      </c>
      <c r="H192" s="31" t="s">
        <v>28</v>
      </c>
      <c r="I192" s="31" t="s">
        <v>22</v>
      </c>
      <c r="J192" s="87" t="s">
        <v>25</v>
      </c>
      <c r="K192" s="87" t="s">
        <v>25</v>
      </c>
      <c r="L192" s="87" t="s">
        <v>25</v>
      </c>
      <c r="M192" s="31"/>
      <c r="N192" s="31"/>
      <c r="O192" s="31"/>
      <c r="P192" s="31"/>
      <c r="Q192" s="31"/>
      <c r="R192" s="31"/>
      <c r="S192" s="31"/>
      <c r="T192" s="31">
        <v>5</v>
      </c>
      <c r="U192" s="41">
        <f t="shared" si="18"/>
        <v>130000</v>
      </c>
    </row>
    <row r="193" spans="1:21" x14ac:dyDescent="0.25">
      <c r="A193" s="44"/>
      <c r="B193" s="32" t="s">
        <v>223</v>
      </c>
      <c r="C193" s="31" t="s">
        <v>145</v>
      </c>
      <c r="D193" s="31">
        <v>1</v>
      </c>
      <c r="E193" s="31">
        <v>490000</v>
      </c>
      <c r="F193" s="40">
        <f t="shared" si="21"/>
        <v>490000</v>
      </c>
      <c r="G193" s="31" t="s">
        <v>23</v>
      </c>
      <c r="H193" s="31" t="s">
        <v>28</v>
      </c>
      <c r="I193" s="31" t="s">
        <v>22</v>
      </c>
      <c r="J193" s="87" t="s">
        <v>25</v>
      </c>
      <c r="K193" s="87" t="s">
        <v>25</v>
      </c>
      <c r="L193" s="87" t="s">
        <v>25</v>
      </c>
      <c r="M193" s="31"/>
      <c r="N193" s="31"/>
      <c r="O193" s="31"/>
      <c r="P193" s="31"/>
      <c r="Q193" s="31"/>
      <c r="R193" s="31"/>
      <c r="S193" s="31"/>
      <c r="T193" s="31">
        <v>1</v>
      </c>
      <c r="U193" s="41">
        <f t="shared" si="18"/>
        <v>490000</v>
      </c>
    </row>
    <row r="194" spans="1:21" x14ac:dyDescent="0.25">
      <c r="A194" s="43"/>
      <c r="B194" s="32" t="s">
        <v>175</v>
      </c>
      <c r="C194" s="31" t="s">
        <v>80</v>
      </c>
      <c r="D194" s="31">
        <v>2</v>
      </c>
      <c r="E194" s="33">
        <v>280000</v>
      </c>
      <c r="F194" s="31">
        <f>D194*E194</f>
        <v>560000</v>
      </c>
      <c r="G194" s="31" t="s">
        <v>23</v>
      </c>
      <c r="H194" s="31" t="s">
        <v>28</v>
      </c>
      <c r="I194" s="31" t="s">
        <v>22</v>
      </c>
      <c r="J194" s="87" t="s">
        <v>25</v>
      </c>
      <c r="K194" s="87" t="s">
        <v>25</v>
      </c>
      <c r="L194" s="87" t="s">
        <v>25</v>
      </c>
      <c r="M194" s="31"/>
      <c r="N194" s="31"/>
      <c r="O194" s="31"/>
      <c r="P194" s="31"/>
      <c r="Q194" s="31"/>
      <c r="R194" s="31"/>
      <c r="S194" s="31"/>
      <c r="T194" s="31">
        <v>2</v>
      </c>
      <c r="U194" s="41">
        <f t="shared" si="18"/>
        <v>560000</v>
      </c>
    </row>
    <row r="195" spans="1:21" s="17" customFormat="1" x14ac:dyDescent="0.25">
      <c r="A195" s="31"/>
      <c r="B195" s="32" t="s">
        <v>178</v>
      </c>
      <c r="C195" s="31" t="s">
        <v>80</v>
      </c>
      <c r="D195" s="31">
        <v>20</v>
      </c>
      <c r="E195" s="31">
        <v>90000</v>
      </c>
      <c r="F195" s="31">
        <f t="shared" ref="F195:F200" si="22">D195*E195</f>
        <v>1800000</v>
      </c>
      <c r="G195" s="31" t="s">
        <v>23</v>
      </c>
      <c r="H195" s="31" t="s">
        <v>28</v>
      </c>
      <c r="I195" s="31" t="s">
        <v>22</v>
      </c>
      <c r="J195" s="87" t="s">
        <v>25</v>
      </c>
      <c r="K195" s="87" t="s">
        <v>25</v>
      </c>
      <c r="L195" s="87" t="s">
        <v>25</v>
      </c>
      <c r="M195" s="31"/>
      <c r="N195" s="31"/>
      <c r="O195" s="31"/>
      <c r="P195" s="31"/>
      <c r="Q195" s="31"/>
      <c r="R195" s="31"/>
      <c r="S195" s="31"/>
      <c r="T195" s="31">
        <v>20</v>
      </c>
      <c r="U195" s="41">
        <f t="shared" si="18"/>
        <v>1800000</v>
      </c>
    </row>
    <row r="196" spans="1:21" s="17" customFormat="1" x14ac:dyDescent="0.25">
      <c r="A196" s="31"/>
      <c r="B196" s="32" t="s">
        <v>179</v>
      </c>
      <c r="C196" s="31" t="s">
        <v>80</v>
      </c>
      <c r="D196" s="31">
        <v>20</v>
      </c>
      <c r="E196" s="31">
        <v>10000</v>
      </c>
      <c r="F196" s="31">
        <f t="shared" si="22"/>
        <v>200000</v>
      </c>
      <c r="G196" s="31" t="s">
        <v>23</v>
      </c>
      <c r="H196" s="31" t="s">
        <v>28</v>
      </c>
      <c r="I196" s="31" t="s">
        <v>22</v>
      </c>
      <c r="J196" s="87" t="s">
        <v>25</v>
      </c>
      <c r="K196" s="87" t="s">
        <v>25</v>
      </c>
      <c r="L196" s="87" t="s">
        <v>25</v>
      </c>
      <c r="M196" s="31"/>
      <c r="N196" s="31"/>
      <c r="O196" s="31"/>
      <c r="P196" s="31"/>
      <c r="Q196" s="31"/>
      <c r="R196" s="31"/>
      <c r="S196" s="31"/>
      <c r="T196" s="31">
        <v>20</v>
      </c>
      <c r="U196" s="41">
        <f t="shared" si="18"/>
        <v>200000</v>
      </c>
    </row>
    <row r="197" spans="1:21" s="17" customFormat="1" x14ac:dyDescent="0.25">
      <c r="A197" s="31"/>
      <c r="B197" s="32" t="s">
        <v>219</v>
      </c>
      <c r="C197" s="31" t="s">
        <v>80</v>
      </c>
      <c r="D197" s="31">
        <v>10</v>
      </c>
      <c r="E197" s="31">
        <v>50000</v>
      </c>
      <c r="F197" s="31">
        <f t="shared" si="22"/>
        <v>500000</v>
      </c>
      <c r="G197" s="31" t="s">
        <v>23</v>
      </c>
      <c r="H197" s="31" t="s">
        <v>28</v>
      </c>
      <c r="I197" s="31" t="s">
        <v>22</v>
      </c>
      <c r="J197" s="87" t="s">
        <v>25</v>
      </c>
      <c r="K197" s="87" t="s">
        <v>25</v>
      </c>
      <c r="L197" s="87" t="s">
        <v>25</v>
      </c>
      <c r="M197" s="31"/>
      <c r="N197" s="31"/>
      <c r="O197" s="31"/>
      <c r="P197" s="31"/>
      <c r="Q197" s="31"/>
      <c r="R197" s="31"/>
      <c r="S197" s="31"/>
      <c r="T197" s="31">
        <v>10</v>
      </c>
      <c r="U197" s="41">
        <f t="shared" si="18"/>
        <v>500000</v>
      </c>
    </row>
    <row r="198" spans="1:21" s="17" customFormat="1" x14ac:dyDescent="0.25">
      <c r="A198" s="31"/>
      <c r="B198" s="32" t="s">
        <v>180</v>
      </c>
      <c r="C198" s="31" t="s">
        <v>80</v>
      </c>
      <c r="D198" s="31">
        <v>1</v>
      </c>
      <c r="E198" s="31">
        <v>50000</v>
      </c>
      <c r="F198" s="31">
        <f t="shared" si="22"/>
        <v>50000</v>
      </c>
      <c r="G198" s="31" t="s">
        <v>23</v>
      </c>
      <c r="H198" s="31" t="s">
        <v>28</v>
      </c>
      <c r="I198" s="31" t="s">
        <v>22</v>
      </c>
      <c r="J198" s="87" t="s">
        <v>25</v>
      </c>
      <c r="K198" s="87" t="s">
        <v>25</v>
      </c>
      <c r="L198" s="87" t="s">
        <v>25</v>
      </c>
      <c r="M198" s="31"/>
      <c r="N198" s="31"/>
      <c r="O198" s="31"/>
      <c r="P198" s="31"/>
      <c r="Q198" s="31"/>
      <c r="R198" s="31"/>
      <c r="S198" s="31"/>
      <c r="T198" s="31">
        <v>1</v>
      </c>
      <c r="U198" s="41">
        <f t="shared" si="18"/>
        <v>50000</v>
      </c>
    </row>
    <row r="199" spans="1:21" s="17" customFormat="1" x14ac:dyDescent="0.25">
      <c r="A199" s="31"/>
      <c r="B199" s="35" t="s">
        <v>186</v>
      </c>
      <c r="C199" s="31" t="s">
        <v>80</v>
      </c>
      <c r="D199" s="34">
        <v>2</v>
      </c>
      <c r="E199" s="42">
        <v>131858</v>
      </c>
      <c r="F199" s="34">
        <f t="shared" si="22"/>
        <v>263716</v>
      </c>
      <c r="G199" s="31" t="s">
        <v>23</v>
      </c>
      <c r="H199" s="31" t="s">
        <v>28</v>
      </c>
      <c r="I199" s="31" t="s">
        <v>22</v>
      </c>
      <c r="J199" s="87" t="s">
        <v>25</v>
      </c>
      <c r="K199" s="87" t="s">
        <v>25</v>
      </c>
      <c r="L199" s="87" t="s">
        <v>25</v>
      </c>
      <c r="M199" s="31"/>
      <c r="N199" s="31"/>
      <c r="O199" s="31"/>
      <c r="P199" s="31"/>
      <c r="Q199" s="31"/>
      <c r="R199" s="31"/>
      <c r="S199" s="31"/>
      <c r="T199" s="31">
        <v>2</v>
      </c>
      <c r="U199" s="41">
        <f t="shared" si="18"/>
        <v>263716</v>
      </c>
    </row>
    <row r="200" spans="1:21" s="17" customFormat="1" x14ac:dyDescent="0.25">
      <c r="A200" s="31"/>
      <c r="B200" s="35" t="s">
        <v>228</v>
      </c>
      <c r="C200" s="31" t="s">
        <v>145</v>
      </c>
      <c r="D200" s="34">
        <v>10</v>
      </c>
      <c r="E200" s="42">
        <v>25000</v>
      </c>
      <c r="F200" s="42">
        <f t="shared" si="22"/>
        <v>250000</v>
      </c>
      <c r="G200" s="31" t="s">
        <v>23</v>
      </c>
      <c r="H200" s="31" t="s">
        <v>28</v>
      </c>
      <c r="I200" s="31" t="s">
        <v>22</v>
      </c>
      <c r="J200" s="87" t="s">
        <v>25</v>
      </c>
      <c r="K200" s="87" t="s">
        <v>25</v>
      </c>
      <c r="L200" s="87" t="s">
        <v>25</v>
      </c>
      <c r="M200" s="31"/>
      <c r="N200" s="31"/>
      <c r="O200" s="31"/>
      <c r="P200" s="31"/>
      <c r="Q200" s="31"/>
      <c r="R200" s="31"/>
      <c r="S200" s="31"/>
      <c r="T200" s="31">
        <v>10</v>
      </c>
      <c r="U200" s="41">
        <f t="shared" si="18"/>
        <v>250000</v>
      </c>
    </row>
    <row r="201" spans="1:21" s="17" customFormat="1" x14ac:dyDescent="0.25">
      <c r="A201" s="36">
        <v>13</v>
      </c>
      <c r="B201" s="36" t="s">
        <v>189</v>
      </c>
      <c r="C201" s="36" t="s">
        <v>145</v>
      </c>
      <c r="D201" s="36">
        <v>4</v>
      </c>
      <c r="E201" s="36">
        <v>240000</v>
      </c>
      <c r="F201" s="37">
        <f>D201*E201</f>
        <v>960000</v>
      </c>
      <c r="G201" s="36" t="s">
        <v>23</v>
      </c>
      <c r="H201" s="36" t="s">
        <v>28</v>
      </c>
      <c r="I201" s="36" t="s">
        <v>22</v>
      </c>
      <c r="J201" s="89" t="s">
        <v>25</v>
      </c>
      <c r="K201" s="89" t="s">
        <v>25</v>
      </c>
      <c r="L201" s="89" t="s">
        <v>25</v>
      </c>
      <c r="M201" s="36"/>
      <c r="N201" s="36"/>
      <c r="O201" s="36"/>
      <c r="P201" s="36"/>
      <c r="Q201" s="36"/>
      <c r="R201" s="36"/>
      <c r="S201" s="36"/>
      <c r="T201" s="36">
        <v>4</v>
      </c>
      <c r="U201" s="52">
        <f t="shared" si="18"/>
        <v>960000</v>
      </c>
    </row>
    <row r="202" spans="1:21" s="17" customFormat="1" x14ac:dyDescent="0.25">
      <c r="A202" s="36">
        <v>14</v>
      </c>
      <c r="B202" s="36" t="s">
        <v>175</v>
      </c>
      <c r="C202" s="36" t="s">
        <v>145</v>
      </c>
      <c r="D202" s="36">
        <v>6</v>
      </c>
      <c r="E202" s="36">
        <v>280000</v>
      </c>
      <c r="F202" s="36">
        <f>D202*E202</f>
        <v>1680000</v>
      </c>
      <c r="G202" s="36" t="s">
        <v>23</v>
      </c>
      <c r="H202" s="36" t="s">
        <v>28</v>
      </c>
      <c r="I202" s="36" t="s">
        <v>22</v>
      </c>
      <c r="J202" s="89" t="s">
        <v>25</v>
      </c>
      <c r="K202" s="89" t="s">
        <v>25</v>
      </c>
      <c r="L202" s="89" t="s">
        <v>25</v>
      </c>
      <c r="M202" s="36"/>
      <c r="N202" s="36"/>
      <c r="O202" s="36"/>
      <c r="P202" s="36"/>
      <c r="Q202" s="36"/>
      <c r="R202" s="36"/>
      <c r="S202" s="36"/>
      <c r="T202" s="36">
        <v>6</v>
      </c>
      <c r="U202" s="52">
        <f t="shared" si="18"/>
        <v>1680000</v>
      </c>
    </row>
    <row r="203" spans="1:21" s="17" customFormat="1" x14ac:dyDescent="0.25">
      <c r="A203" s="36">
        <v>15</v>
      </c>
      <c r="B203" s="36" t="s">
        <v>177</v>
      </c>
      <c r="C203" s="36" t="s">
        <v>145</v>
      </c>
      <c r="D203" s="36">
        <v>6</v>
      </c>
      <c r="E203" s="36">
        <v>90000</v>
      </c>
      <c r="F203" s="36">
        <f t="shared" ref="F203:F209" si="23">D203*E203</f>
        <v>540000</v>
      </c>
      <c r="G203" s="36" t="s">
        <v>23</v>
      </c>
      <c r="H203" s="36" t="s">
        <v>28</v>
      </c>
      <c r="I203" s="36" t="s">
        <v>22</v>
      </c>
      <c r="J203" s="89" t="s">
        <v>25</v>
      </c>
      <c r="K203" s="89" t="s">
        <v>25</v>
      </c>
      <c r="L203" s="89" t="s">
        <v>25</v>
      </c>
      <c r="M203" s="36"/>
      <c r="N203" s="36"/>
      <c r="O203" s="36"/>
      <c r="P203" s="36"/>
      <c r="Q203" s="36"/>
      <c r="R203" s="36"/>
      <c r="S203" s="36"/>
      <c r="T203" s="36">
        <v>6</v>
      </c>
      <c r="U203" s="52">
        <f t="shared" si="18"/>
        <v>540000</v>
      </c>
    </row>
    <row r="204" spans="1:21" s="17" customFormat="1" x14ac:dyDescent="0.25">
      <c r="A204" s="36">
        <v>16</v>
      </c>
      <c r="B204" s="36" t="s">
        <v>190</v>
      </c>
      <c r="C204" s="36" t="s">
        <v>145</v>
      </c>
      <c r="D204" s="36">
        <v>3</v>
      </c>
      <c r="E204" s="36">
        <v>26000</v>
      </c>
      <c r="F204" s="36">
        <f t="shared" si="23"/>
        <v>78000</v>
      </c>
      <c r="G204" s="36" t="s">
        <v>23</v>
      </c>
      <c r="H204" s="36" t="s">
        <v>28</v>
      </c>
      <c r="I204" s="36" t="s">
        <v>22</v>
      </c>
      <c r="J204" s="89" t="s">
        <v>25</v>
      </c>
      <c r="K204" s="89" t="s">
        <v>25</v>
      </c>
      <c r="L204" s="89" t="s">
        <v>25</v>
      </c>
      <c r="M204" s="36"/>
      <c r="N204" s="36"/>
      <c r="O204" s="36"/>
      <c r="P204" s="36"/>
      <c r="Q204" s="36"/>
      <c r="R204" s="36"/>
      <c r="S204" s="36"/>
      <c r="T204" s="36">
        <v>3</v>
      </c>
      <c r="U204" s="52">
        <f t="shared" si="18"/>
        <v>78000</v>
      </c>
    </row>
    <row r="205" spans="1:21" s="17" customFormat="1" ht="30" x14ac:dyDescent="0.25">
      <c r="A205" s="36">
        <v>17</v>
      </c>
      <c r="B205" s="48" t="s">
        <v>248</v>
      </c>
      <c r="C205" s="36" t="s">
        <v>145</v>
      </c>
      <c r="D205" s="36">
        <v>1</v>
      </c>
      <c r="E205" s="36"/>
      <c r="F205" s="36">
        <f t="shared" si="23"/>
        <v>0</v>
      </c>
      <c r="G205" s="36" t="s">
        <v>23</v>
      </c>
      <c r="H205" s="36" t="s">
        <v>28</v>
      </c>
      <c r="I205" s="36" t="s">
        <v>22</v>
      </c>
      <c r="J205" s="89" t="s">
        <v>25</v>
      </c>
      <c r="K205" s="89" t="s">
        <v>25</v>
      </c>
      <c r="L205" s="89" t="s">
        <v>25</v>
      </c>
      <c r="M205" s="36"/>
      <c r="N205" s="36"/>
      <c r="O205" s="36"/>
      <c r="P205" s="36"/>
      <c r="Q205" s="36"/>
      <c r="R205" s="36"/>
      <c r="S205" s="36"/>
      <c r="T205" s="36">
        <v>1</v>
      </c>
      <c r="U205" s="52">
        <f t="shared" si="18"/>
        <v>0</v>
      </c>
    </row>
    <row r="206" spans="1:21" s="17" customFormat="1" x14ac:dyDescent="0.25">
      <c r="A206" s="36">
        <v>18</v>
      </c>
      <c r="B206" s="36" t="s">
        <v>249</v>
      </c>
      <c r="C206" s="36" t="s">
        <v>145</v>
      </c>
      <c r="D206" s="36">
        <v>1</v>
      </c>
      <c r="E206" s="37">
        <v>480000</v>
      </c>
      <c r="F206" s="36">
        <f t="shared" si="23"/>
        <v>480000</v>
      </c>
      <c r="G206" s="36" t="s">
        <v>23</v>
      </c>
      <c r="H206" s="36" t="s">
        <v>28</v>
      </c>
      <c r="I206" s="36" t="s">
        <v>22</v>
      </c>
      <c r="J206" s="89" t="s">
        <v>25</v>
      </c>
      <c r="K206" s="89" t="s">
        <v>25</v>
      </c>
      <c r="L206" s="89" t="s">
        <v>25</v>
      </c>
      <c r="M206" s="36"/>
      <c r="N206" s="36"/>
      <c r="O206" s="36"/>
      <c r="P206" s="36"/>
      <c r="Q206" s="36"/>
      <c r="R206" s="36"/>
      <c r="S206" s="36"/>
      <c r="T206" s="36">
        <v>1</v>
      </c>
      <c r="U206" s="52">
        <f t="shared" si="18"/>
        <v>480000</v>
      </c>
    </row>
    <row r="207" spans="1:21" x14ac:dyDescent="0.25">
      <c r="A207" s="16">
        <v>19</v>
      </c>
      <c r="B207" s="16" t="s">
        <v>393</v>
      </c>
      <c r="C207" s="16" t="s">
        <v>145</v>
      </c>
      <c r="D207" s="16">
        <v>1</v>
      </c>
      <c r="E207" s="21">
        <v>490000</v>
      </c>
      <c r="F207" s="16">
        <f t="shared" si="23"/>
        <v>490000</v>
      </c>
      <c r="G207" s="1" t="s">
        <v>23</v>
      </c>
      <c r="H207" s="1" t="s">
        <v>28</v>
      </c>
      <c r="I207" s="1" t="s">
        <v>22</v>
      </c>
      <c r="J207" s="88" t="s">
        <v>25</v>
      </c>
      <c r="K207" s="88" t="s">
        <v>25</v>
      </c>
      <c r="L207" s="88" t="s">
        <v>25</v>
      </c>
      <c r="M207" s="16"/>
      <c r="N207" s="16"/>
      <c r="O207" s="16"/>
      <c r="P207" s="16"/>
      <c r="Q207" s="16"/>
      <c r="R207" s="16"/>
      <c r="S207" s="16"/>
      <c r="T207" s="16">
        <v>1</v>
      </c>
      <c r="U207" s="14">
        <f t="shared" si="18"/>
        <v>490000</v>
      </c>
    </row>
    <row r="208" spans="1:21" x14ac:dyDescent="0.25">
      <c r="A208" s="16">
        <v>20</v>
      </c>
      <c r="B208" s="16" t="s">
        <v>394</v>
      </c>
      <c r="C208" s="16" t="s">
        <v>145</v>
      </c>
      <c r="D208" s="16">
        <v>8</v>
      </c>
      <c r="E208" s="21">
        <v>280000</v>
      </c>
      <c r="F208" s="16">
        <f t="shared" si="23"/>
        <v>2240000</v>
      </c>
      <c r="G208" s="1" t="s">
        <v>23</v>
      </c>
      <c r="H208" s="1" t="s">
        <v>28</v>
      </c>
      <c r="I208" s="1" t="s">
        <v>22</v>
      </c>
      <c r="J208" s="88" t="s">
        <v>25</v>
      </c>
      <c r="K208" s="88" t="s">
        <v>25</v>
      </c>
      <c r="L208" s="88" t="s">
        <v>25</v>
      </c>
      <c r="M208" s="16"/>
      <c r="N208" s="16"/>
      <c r="O208" s="16"/>
      <c r="P208" s="16"/>
      <c r="Q208" s="16"/>
      <c r="R208" s="16"/>
      <c r="S208" s="16"/>
      <c r="T208" s="16">
        <v>8</v>
      </c>
      <c r="U208" s="14">
        <f t="shared" si="18"/>
        <v>2240000</v>
      </c>
    </row>
    <row r="209" spans="1:21" x14ac:dyDescent="0.25">
      <c r="A209" s="16">
        <v>21</v>
      </c>
      <c r="B209" s="16" t="s">
        <v>189</v>
      </c>
      <c r="C209" s="16" t="s">
        <v>145</v>
      </c>
      <c r="D209" s="16">
        <v>2</v>
      </c>
      <c r="E209" s="55">
        <v>240000</v>
      </c>
      <c r="F209" s="16">
        <f t="shared" si="23"/>
        <v>480000</v>
      </c>
      <c r="G209" s="1" t="s">
        <v>23</v>
      </c>
      <c r="H209" s="1" t="s">
        <v>28</v>
      </c>
      <c r="I209" s="1" t="s">
        <v>22</v>
      </c>
      <c r="J209" s="88" t="s">
        <v>25</v>
      </c>
      <c r="K209" s="88" t="s">
        <v>25</v>
      </c>
      <c r="L209" s="88" t="s">
        <v>25</v>
      </c>
      <c r="M209" s="16"/>
      <c r="N209" s="16"/>
      <c r="O209" s="16"/>
      <c r="P209" s="16"/>
      <c r="Q209" s="16"/>
      <c r="R209" s="16"/>
      <c r="S209" s="16"/>
      <c r="T209" s="16">
        <v>2</v>
      </c>
      <c r="U209" s="14">
        <f t="shared" si="18"/>
        <v>480000</v>
      </c>
    </row>
    <row r="210" spans="1:21" x14ac:dyDescent="0.25">
      <c r="A210" s="16"/>
      <c r="B210" s="54"/>
      <c r="C210" s="16"/>
      <c r="D210" s="16"/>
      <c r="E210" s="16"/>
      <c r="F210" s="21"/>
      <c r="G210" s="1"/>
      <c r="H210" s="1"/>
      <c r="I210" s="1"/>
      <c r="J210" s="88"/>
      <c r="K210" s="88"/>
      <c r="L210" s="88"/>
      <c r="M210" s="16"/>
      <c r="N210" s="16"/>
      <c r="O210" s="16"/>
      <c r="P210" s="16"/>
      <c r="Q210" s="16"/>
      <c r="R210" s="16"/>
      <c r="S210" s="16"/>
      <c r="T210" s="16"/>
      <c r="U210" s="14"/>
    </row>
    <row r="211" spans="1:21" x14ac:dyDescent="0.25">
      <c r="A211" s="16"/>
      <c r="B211" s="16"/>
      <c r="C211" s="16"/>
      <c r="D211" s="16"/>
      <c r="E211" s="55"/>
      <c r="F211" s="16"/>
      <c r="G211" s="1"/>
      <c r="H211" s="1"/>
      <c r="I211" s="1"/>
      <c r="J211" s="88"/>
      <c r="K211" s="88"/>
      <c r="L211" s="88"/>
      <c r="M211" s="1"/>
      <c r="N211" s="1"/>
      <c r="O211" s="1"/>
      <c r="P211" s="1"/>
      <c r="Q211" s="1"/>
      <c r="R211" s="1"/>
      <c r="S211" s="1"/>
      <c r="T211" s="1"/>
      <c r="U211" s="14"/>
    </row>
    <row r="212" spans="1:21" x14ac:dyDescent="0.25">
      <c r="A212" s="16"/>
      <c r="B212" s="16"/>
      <c r="C212" s="16"/>
      <c r="D212" s="16"/>
      <c r="E212" s="55"/>
      <c r="F212" s="16"/>
      <c r="G212" s="1"/>
      <c r="H212" s="1"/>
      <c r="I212" s="1"/>
      <c r="J212" s="88"/>
      <c r="K212" s="88"/>
      <c r="L212" s="88"/>
      <c r="M212" s="1"/>
      <c r="N212" s="1"/>
      <c r="O212" s="1"/>
      <c r="P212" s="1"/>
      <c r="Q212" s="1"/>
      <c r="R212" s="1"/>
      <c r="S212" s="1"/>
      <c r="T212" s="1"/>
      <c r="U212" s="14"/>
    </row>
    <row r="213" spans="1:21" x14ac:dyDescent="0.25">
      <c r="A213" s="16"/>
      <c r="B213" s="16"/>
      <c r="C213" s="16"/>
      <c r="D213" s="16"/>
      <c r="E213" s="55"/>
      <c r="F213" s="16"/>
      <c r="G213" s="1"/>
      <c r="H213" s="1"/>
      <c r="I213" s="1"/>
      <c r="J213" s="88"/>
      <c r="K213" s="88"/>
      <c r="L213" s="88"/>
      <c r="M213" s="1"/>
      <c r="N213" s="1"/>
      <c r="O213" s="1"/>
      <c r="P213" s="1"/>
      <c r="Q213" s="1"/>
      <c r="R213" s="1"/>
      <c r="S213" s="1"/>
      <c r="T213" s="1"/>
      <c r="U213" s="14"/>
    </row>
    <row r="214" spans="1:21" x14ac:dyDescent="0.25">
      <c r="A214" s="16"/>
      <c r="B214" s="16"/>
      <c r="C214" s="16"/>
      <c r="D214" s="16"/>
      <c r="E214" s="55"/>
      <c r="F214" s="109">
        <f>SUM(F191:F213)</f>
        <v>11391716</v>
      </c>
      <c r="G214" s="16"/>
      <c r="H214" s="16"/>
      <c r="I214" s="16"/>
      <c r="J214" s="16"/>
      <c r="K214" s="16"/>
      <c r="L214" s="16"/>
      <c r="M214" s="1"/>
      <c r="N214" s="1"/>
      <c r="O214" s="1"/>
      <c r="P214" s="1"/>
      <c r="Q214" s="1"/>
      <c r="R214" s="1"/>
      <c r="S214" s="1"/>
      <c r="T214" s="1"/>
      <c r="U214" s="14"/>
    </row>
    <row r="215" spans="1:21" x14ac:dyDescent="0.25">
      <c r="A215" s="134" t="s">
        <v>441</v>
      </c>
      <c r="B215" s="135"/>
      <c r="C215" s="16"/>
      <c r="D215" s="16"/>
      <c r="E215" s="16"/>
      <c r="F215" s="16"/>
      <c r="G215" s="16"/>
      <c r="H215" s="16"/>
      <c r="I215" s="16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4"/>
    </row>
    <row r="216" spans="1:21" x14ac:dyDescent="0.25">
      <c r="A216" s="31"/>
      <c r="B216" s="31" t="s">
        <v>182</v>
      </c>
      <c r="C216" s="31" t="s">
        <v>55</v>
      </c>
      <c r="D216" s="31">
        <v>20</v>
      </c>
      <c r="E216" s="31">
        <v>2000</v>
      </c>
      <c r="F216" s="31">
        <f t="shared" ref="F216:F220" si="24">D216*E216</f>
        <v>40000</v>
      </c>
      <c r="G216" s="31" t="s">
        <v>23</v>
      </c>
      <c r="H216" s="31" t="s">
        <v>28</v>
      </c>
      <c r="I216" s="31" t="s">
        <v>22</v>
      </c>
      <c r="J216" s="87" t="s">
        <v>25</v>
      </c>
      <c r="K216" s="87" t="s">
        <v>25</v>
      </c>
      <c r="L216" s="87" t="s">
        <v>25</v>
      </c>
      <c r="M216" s="31"/>
      <c r="N216" s="31"/>
      <c r="O216" s="31"/>
      <c r="P216" s="31"/>
      <c r="Q216" s="31"/>
      <c r="R216" s="31"/>
      <c r="S216" s="31"/>
      <c r="T216" s="31">
        <v>20</v>
      </c>
      <c r="U216" s="41">
        <f t="shared" si="18"/>
        <v>40000</v>
      </c>
    </row>
    <row r="217" spans="1:21" x14ac:dyDescent="0.25">
      <c r="A217" s="31"/>
      <c r="B217" s="31" t="s">
        <v>183</v>
      </c>
      <c r="C217" s="31" t="s">
        <v>55</v>
      </c>
      <c r="D217" s="31">
        <v>5</v>
      </c>
      <c r="E217" s="31">
        <v>10000</v>
      </c>
      <c r="F217" s="31">
        <f t="shared" si="24"/>
        <v>50000</v>
      </c>
      <c r="G217" s="31" t="s">
        <v>23</v>
      </c>
      <c r="H217" s="31" t="s">
        <v>28</v>
      </c>
      <c r="I217" s="31" t="s">
        <v>22</v>
      </c>
      <c r="J217" s="87" t="s">
        <v>25</v>
      </c>
      <c r="K217" s="87" t="s">
        <v>25</v>
      </c>
      <c r="L217" s="87" t="s">
        <v>25</v>
      </c>
      <c r="M217" s="31"/>
      <c r="N217" s="31"/>
      <c r="O217" s="31"/>
      <c r="P217" s="31"/>
      <c r="Q217" s="31"/>
      <c r="R217" s="31"/>
      <c r="S217" s="31"/>
      <c r="T217" s="31">
        <v>5</v>
      </c>
      <c r="U217" s="41">
        <f t="shared" si="18"/>
        <v>50000</v>
      </c>
    </row>
    <row r="218" spans="1:21" x14ac:dyDescent="0.25">
      <c r="A218" s="31"/>
      <c r="B218" s="31" t="s">
        <v>184</v>
      </c>
      <c r="C218" s="31" t="s">
        <v>55</v>
      </c>
      <c r="D218" s="31">
        <v>5</v>
      </c>
      <c r="E218" s="31">
        <v>15000</v>
      </c>
      <c r="F218" s="31">
        <f t="shared" si="24"/>
        <v>75000</v>
      </c>
      <c r="G218" s="31" t="s">
        <v>23</v>
      </c>
      <c r="H218" s="31" t="s">
        <v>28</v>
      </c>
      <c r="I218" s="31" t="s">
        <v>22</v>
      </c>
      <c r="J218" s="87" t="s">
        <v>25</v>
      </c>
      <c r="K218" s="87" t="s">
        <v>25</v>
      </c>
      <c r="L218" s="87" t="s">
        <v>25</v>
      </c>
      <c r="M218" s="31"/>
      <c r="N218" s="31"/>
      <c r="O218" s="31"/>
      <c r="P218" s="31"/>
      <c r="Q218" s="31"/>
      <c r="R218" s="31"/>
      <c r="S218" s="31"/>
      <c r="T218" s="31">
        <v>5</v>
      </c>
      <c r="U218" s="41">
        <f t="shared" ref="U218:U220" si="25">D218*E218</f>
        <v>75000</v>
      </c>
    </row>
    <row r="219" spans="1:21" x14ac:dyDescent="0.25">
      <c r="A219" s="31"/>
      <c r="B219" s="31" t="s">
        <v>196</v>
      </c>
      <c r="C219" s="31" t="s">
        <v>55</v>
      </c>
      <c r="D219" s="31">
        <v>20</v>
      </c>
      <c r="E219" s="31">
        <v>15000</v>
      </c>
      <c r="F219" s="31">
        <f t="shared" si="24"/>
        <v>300000</v>
      </c>
      <c r="G219" s="31" t="s">
        <v>23</v>
      </c>
      <c r="H219" s="31" t="s">
        <v>28</v>
      </c>
      <c r="I219" s="31" t="s">
        <v>22</v>
      </c>
      <c r="J219" s="87" t="s">
        <v>25</v>
      </c>
      <c r="K219" s="87" t="s">
        <v>25</v>
      </c>
      <c r="L219" s="87" t="s">
        <v>25</v>
      </c>
      <c r="M219" s="31"/>
      <c r="N219" s="31"/>
      <c r="O219" s="31"/>
      <c r="P219" s="31"/>
      <c r="Q219" s="31"/>
      <c r="R219" s="31"/>
      <c r="S219" s="31"/>
      <c r="T219" s="31">
        <v>20</v>
      </c>
      <c r="U219" s="41">
        <f t="shared" si="25"/>
        <v>300000</v>
      </c>
    </row>
    <row r="220" spans="1:21" x14ac:dyDescent="0.25">
      <c r="A220" s="31"/>
      <c r="B220" s="32" t="s">
        <v>531</v>
      </c>
      <c r="C220" s="31" t="s">
        <v>55</v>
      </c>
      <c r="D220" s="31">
        <v>1000</v>
      </c>
      <c r="E220" s="40">
        <v>1000</v>
      </c>
      <c r="F220" s="31">
        <f t="shared" si="24"/>
        <v>1000000</v>
      </c>
      <c r="G220" s="31" t="s">
        <v>23</v>
      </c>
      <c r="H220" s="31" t="s">
        <v>28</v>
      </c>
      <c r="I220" s="31" t="s">
        <v>22</v>
      </c>
      <c r="J220" s="87" t="s">
        <v>25</v>
      </c>
      <c r="K220" s="87" t="s">
        <v>25</v>
      </c>
      <c r="L220" s="87" t="s">
        <v>25</v>
      </c>
      <c r="M220" s="31"/>
      <c r="N220" s="31"/>
      <c r="O220" s="31"/>
      <c r="P220" s="31"/>
      <c r="Q220" s="31"/>
      <c r="R220" s="31"/>
      <c r="S220" s="31"/>
      <c r="T220" s="31">
        <v>1000</v>
      </c>
      <c r="U220" s="41">
        <f t="shared" si="25"/>
        <v>1000000</v>
      </c>
    </row>
    <row r="221" spans="1:21" x14ac:dyDescent="0.25">
      <c r="A221" s="36">
        <v>6</v>
      </c>
      <c r="B221" s="48" t="s">
        <v>252</v>
      </c>
      <c r="C221" s="36" t="s">
        <v>80</v>
      </c>
      <c r="D221" s="36">
        <v>40</v>
      </c>
      <c r="E221" s="37">
        <v>1000</v>
      </c>
      <c r="F221" s="36">
        <f t="shared" ref="F221:F238" si="26">D221*E221</f>
        <v>40000</v>
      </c>
      <c r="G221" s="36" t="s">
        <v>23</v>
      </c>
      <c r="H221" s="36" t="s">
        <v>28</v>
      </c>
      <c r="I221" s="36" t="s">
        <v>22</v>
      </c>
      <c r="J221" s="89" t="s">
        <v>25</v>
      </c>
      <c r="K221" s="89" t="s">
        <v>25</v>
      </c>
      <c r="L221" s="89" t="s">
        <v>25</v>
      </c>
      <c r="M221" s="36"/>
      <c r="N221" s="36"/>
      <c r="O221" s="36"/>
      <c r="P221" s="36"/>
      <c r="Q221" s="36"/>
      <c r="R221" s="36"/>
      <c r="S221" s="36"/>
      <c r="T221" s="36">
        <v>40</v>
      </c>
      <c r="U221" s="52">
        <f t="shared" ref="U221:U251" si="27">D221*E221</f>
        <v>40000</v>
      </c>
    </row>
    <row r="222" spans="1:21" x14ac:dyDescent="0.25">
      <c r="A222" s="36">
        <v>7</v>
      </c>
      <c r="B222" s="48" t="s">
        <v>253</v>
      </c>
      <c r="C222" s="36" t="s">
        <v>100</v>
      </c>
      <c r="D222" s="36">
        <v>4</v>
      </c>
      <c r="E222" s="37">
        <v>2500</v>
      </c>
      <c r="F222" s="36">
        <f t="shared" si="26"/>
        <v>10000</v>
      </c>
      <c r="G222" s="36" t="s">
        <v>23</v>
      </c>
      <c r="H222" s="36" t="s">
        <v>28</v>
      </c>
      <c r="I222" s="36" t="s">
        <v>22</v>
      </c>
      <c r="J222" s="89" t="s">
        <v>25</v>
      </c>
      <c r="K222" s="89" t="s">
        <v>25</v>
      </c>
      <c r="L222" s="89" t="s">
        <v>25</v>
      </c>
      <c r="M222" s="36"/>
      <c r="N222" s="36"/>
      <c r="O222" s="36"/>
      <c r="P222" s="36"/>
      <c r="Q222" s="36"/>
      <c r="R222" s="36"/>
      <c r="S222" s="36"/>
      <c r="T222" s="36">
        <v>4</v>
      </c>
      <c r="U222" s="52">
        <f t="shared" si="27"/>
        <v>10000</v>
      </c>
    </row>
    <row r="223" spans="1:21" x14ac:dyDescent="0.25">
      <c r="A223" s="36">
        <v>8</v>
      </c>
      <c r="B223" s="48" t="s">
        <v>254</v>
      </c>
      <c r="C223" s="36" t="s">
        <v>100</v>
      </c>
      <c r="D223" s="36">
        <v>4</v>
      </c>
      <c r="E223" s="37">
        <v>1400</v>
      </c>
      <c r="F223" s="36">
        <f t="shared" si="26"/>
        <v>5600</v>
      </c>
      <c r="G223" s="36" t="s">
        <v>23</v>
      </c>
      <c r="H223" s="36" t="s">
        <v>28</v>
      </c>
      <c r="I223" s="36" t="s">
        <v>22</v>
      </c>
      <c r="J223" s="89" t="s">
        <v>25</v>
      </c>
      <c r="K223" s="89" t="s">
        <v>25</v>
      </c>
      <c r="L223" s="89" t="s">
        <v>25</v>
      </c>
      <c r="M223" s="36"/>
      <c r="N223" s="36"/>
      <c r="O223" s="36"/>
      <c r="P223" s="36"/>
      <c r="Q223" s="36"/>
      <c r="R223" s="36"/>
      <c r="S223" s="36"/>
      <c r="T223" s="36">
        <v>4</v>
      </c>
      <c r="U223" s="52">
        <f t="shared" si="27"/>
        <v>5600</v>
      </c>
    </row>
    <row r="224" spans="1:21" x14ac:dyDescent="0.25">
      <c r="A224" s="36">
        <v>9</v>
      </c>
      <c r="B224" s="48" t="s">
        <v>255</v>
      </c>
      <c r="C224" s="36" t="s">
        <v>256</v>
      </c>
      <c r="D224" s="36">
        <v>5</v>
      </c>
      <c r="E224" s="37">
        <v>12000</v>
      </c>
      <c r="F224" s="36">
        <f t="shared" si="26"/>
        <v>60000</v>
      </c>
      <c r="G224" s="36" t="s">
        <v>23</v>
      </c>
      <c r="H224" s="36" t="s">
        <v>28</v>
      </c>
      <c r="I224" s="36" t="s">
        <v>22</v>
      </c>
      <c r="J224" s="89" t="s">
        <v>25</v>
      </c>
      <c r="K224" s="89" t="s">
        <v>25</v>
      </c>
      <c r="L224" s="89" t="s">
        <v>25</v>
      </c>
      <c r="M224" s="36"/>
      <c r="N224" s="36"/>
      <c r="O224" s="36"/>
      <c r="P224" s="36"/>
      <c r="Q224" s="36"/>
      <c r="R224" s="36"/>
      <c r="S224" s="36"/>
      <c r="T224" s="36">
        <v>5</v>
      </c>
      <c r="U224" s="52">
        <f t="shared" si="27"/>
        <v>60000</v>
      </c>
    </row>
    <row r="225" spans="1:21" x14ac:dyDescent="0.25">
      <c r="A225" s="36">
        <v>10</v>
      </c>
      <c r="B225" s="48" t="s">
        <v>257</v>
      </c>
      <c r="C225" s="36" t="s">
        <v>100</v>
      </c>
      <c r="D225" s="36">
        <v>5</v>
      </c>
      <c r="E225" s="37">
        <v>1200</v>
      </c>
      <c r="F225" s="36">
        <f t="shared" si="26"/>
        <v>6000</v>
      </c>
      <c r="G225" s="36" t="s">
        <v>23</v>
      </c>
      <c r="H225" s="36" t="s">
        <v>28</v>
      </c>
      <c r="I225" s="36" t="s">
        <v>22</v>
      </c>
      <c r="J225" s="89" t="s">
        <v>25</v>
      </c>
      <c r="K225" s="89" t="s">
        <v>25</v>
      </c>
      <c r="L225" s="89" t="s">
        <v>25</v>
      </c>
      <c r="M225" s="36"/>
      <c r="N225" s="36"/>
      <c r="O225" s="36"/>
      <c r="P225" s="36"/>
      <c r="Q225" s="36"/>
      <c r="R225" s="36"/>
      <c r="S225" s="36"/>
      <c r="T225" s="36">
        <v>5</v>
      </c>
      <c r="U225" s="52">
        <f t="shared" si="27"/>
        <v>6000</v>
      </c>
    </row>
    <row r="226" spans="1:21" x14ac:dyDescent="0.25">
      <c r="A226" s="36">
        <v>11</v>
      </c>
      <c r="B226" s="48" t="s">
        <v>258</v>
      </c>
      <c r="C226" s="36" t="s">
        <v>82</v>
      </c>
      <c r="D226" s="36">
        <v>12</v>
      </c>
      <c r="E226" s="37">
        <v>80</v>
      </c>
      <c r="F226" s="36">
        <f t="shared" si="26"/>
        <v>960</v>
      </c>
      <c r="G226" s="36" t="s">
        <v>23</v>
      </c>
      <c r="H226" s="36" t="s">
        <v>28</v>
      </c>
      <c r="I226" s="36" t="s">
        <v>22</v>
      </c>
      <c r="J226" s="89" t="s">
        <v>25</v>
      </c>
      <c r="K226" s="89" t="s">
        <v>25</v>
      </c>
      <c r="L226" s="89" t="s">
        <v>25</v>
      </c>
      <c r="M226" s="36"/>
      <c r="N226" s="36"/>
      <c r="O226" s="36"/>
      <c r="P226" s="36"/>
      <c r="Q226" s="36"/>
      <c r="R226" s="36"/>
      <c r="S226" s="36"/>
      <c r="T226" s="36">
        <v>12</v>
      </c>
      <c r="U226" s="52">
        <f t="shared" si="27"/>
        <v>960</v>
      </c>
    </row>
    <row r="227" spans="1:21" x14ac:dyDescent="0.25">
      <c r="A227" s="36">
        <v>12</v>
      </c>
      <c r="B227" s="48" t="s">
        <v>259</v>
      </c>
      <c r="C227" s="36" t="s">
        <v>82</v>
      </c>
      <c r="D227" s="36">
        <v>10</v>
      </c>
      <c r="E227" s="37">
        <v>380</v>
      </c>
      <c r="F227" s="36">
        <f t="shared" si="26"/>
        <v>3800</v>
      </c>
      <c r="G227" s="36" t="s">
        <v>23</v>
      </c>
      <c r="H227" s="36" t="s">
        <v>28</v>
      </c>
      <c r="I227" s="36" t="s">
        <v>22</v>
      </c>
      <c r="J227" s="89" t="s">
        <v>25</v>
      </c>
      <c r="K227" s="89" t="s">
        <v>25</v>
      </c>
      <c r="L227" s="89" t="s">
        <v>25</v>
      </c>
      <c r="M227" s="36"/>
      <c r="N227" s="36"/>
      <c r="O227" s="36"/>
      <c r="P227" s="36"/>
      <c r="Q227" s="36"/>
      <c r="R227" s="36"/>
      <c r="S227" s="36"/>
      <c r="T227" s="36">
        <v>10</v>
      </c>
      <c r="U227" s="52">
        <f t="shared" si="27"/>
        <v>3800</v>
      </c>
    </row>
    <row r="228" spans="1:21" x14ac:dyDescent="0.25">
      <c r="A228" s="36">
        <v>13</v>
      </c>
      <c r="B228" s="48" t="s">
        <v>260</v>
      </c>
      <c r="C228" s="36" t="s">
        <v>82</v>
      </c>
      <c r="D228" s="36">
        <v>30</v>
      </c>
      <c r="E228" s="37">
        <v>380</v>
      </c>
      <c r="F228" s="36">
        <f t="shared" si="26"/>
        <v>11400</v>
      </c>
      <c r="G228" s="36" t="s">
        <v>23</v>
      </c>
      <c r="H228" s="36" t="s">
        <v>28</v>
      </c>
      <c r="I228" s="36" t="s">
        <v>22</v>
      </c>
      <c r="J228" s="89" t="s">
        <v>25</v>
      </c>
      <c r="K228" s="89" t="s">
        <v>25</v>
      </c>
      <c r="L228" s="89" t="s">
        <v>25</v>
      </c>
      <c r="M228" s="36"/>
      <c r="N228" s="36"/>
      <c r="O228" s="36"/>
      <c r="P228" s="36"/>
      <c r="Q228" s="36"/>
      <c r="R228" s="36"/>
      <c r="S228" s="36"/>
      <c r="T228" s="36">
        <v>30</v>
      </c>
      <c r="U228" s="52">
        <f t="shared" si="27"/>
        <v>11400</v>
      </c>
    </row>
    <row r="229" spans="1:21" x14ac:dyDescent="0.25">
      <c r="A229" s="36">
        <v>14</v>
      </c>
      <c r="B229" s="48" t="s">
        <v>261</v>
      </c>
      <c r="C229" s="36" t="s">
        <v>82</v>
      </c>
      <c r="D229" s="36">
        <v>30</v>
      </c>
      <c r="E229" s="37">
        <v>95</v>
      </c>
      <c r="F229" s="36">
        <f t="shared" si="26"/>
        <v>2850</v>
      </c>
      <c r="G229" s="36" t="s">
        <v>23</v>
      </c>
      <c r="H229" s="36" t="s">
        <v>28</v>
      </c>
      <c r="I229" s="36" t="s">
        <v>22</v>
      </c>
      <c r="J229" s="89" t="s">
        <v>25</v>
      </c>
      <c r="K229" s="89" t="s">
        <v>25</v>
      </c>
      <c r="L229" s="89" t="s">
        <v>25</v>
      </c>
      <c r="M229" s="36"/>
      <c r="N229" s="36"/>
      <c r="O229" s="36"/>
      <c r="P229" s="36"/>
      <c r="Q229" s="36"/>
      <c r="R229" s="36"/>
      <c r="S229" s="36"/>
      <c r="T229" s="36">
        <v>30</v>
      </c>
      <c r="U229" s="52">
        <f t="shared" si="27"/>
        <v>2850</v>
      </c>
    </row>
    <row r="230" spans="1:21" x14ac:dyDescent="0.25">
      <c r="A230" s="36">
        <v>15</v>
      </c>
      <c r="B230" s="48" t="s">
        <v>262</v>
      </c>
      <c r="C230" s="36" t="s">
        <v>82</v>
      </c>
      <c r="D230" s="36">
        <v>20</v>
      </c>
      <c r="E230" s="37">
        <v>120</v>
      </c>
      <c r="F230" s="36">
        <f t="shared" si="26"/>
        <v>2400</v>
      </c>
      <c r="G230" s="36" t="s">
        <v>23</v>
      </c>
      <c r="H230" s="36" t="s">
        <v>28</v>
      </c>
      <c r="I230" s="36" t="s">
        <v>22</v>
      </c>
      <c r="J230" s="89" t="s">
        <v>25</v>
      </c>
      <c r="K230" s="89" t="s">
        <v>25</v>
      </c>
      <c r="L230" s="89" t="s">
        <v>25</v>
      </c>
      <c r="M230" s="36"/>
      <c r="N230" s="36"/>
      <c r="O230" s="36"/>
      <c r="P230" s="36"/>
      <c r="Q230" s="36"/>
      <c r="R230" s="36"/>
      <c r="S230" s="36"/>
      <c r="T230" s="36">
        <v>20</v>
      </c>
      <c r="U230" s="52">
        <f t="shared" si="27"/>
        <v>2400</v>
      </c>
    </row>
    <row r="231" spans="1:21" x14ac:dyDescent="0.25">
      <c r="A231" s="36">
        <v>16</v>
      </c>
      <c r="B231" s="48" t="s">
        <v>263</v>
      </c>
      <c r="C231" s="36" t="s">
        <v>82</v>
      </c>
      <c r="D231" s="36">
        <v>20</v>
      </c>
      <c r="E231" s="37">
        <v>970</v>
      </c>
      <c r="F231" s="36">
        <f t="shared" si="26"/>
        <v>19400</v>
      </c>
      <c r="G231" s="36" t="s">
        <v>23</v>
      </c>
      <c r="H231" s="36" t="s">
        <v>28</v>
      </c>
      <c r="I231" s="36" t="s">
        <v>22</v>
      </c>
      <c r="J231" s="89" t="s">
        <v>25</v>
      </c>
      <c r="K231" s="89" t="s">
        <v>25</v>
      </c>
      <c r="L231" s="89" t="s">
        <v>25</v>
      </c>
      <c r="M231" s="36"/>
      <c r="N231" s="36"/>
      <c r="O231" s="36"/>
      <c r="P231" s="36"/>
      <c r="Q231" s="36"/>
      <c r="R231" s="36"/>
      <c r="S231" s="36"/>
      <c r="T231" s="36">
        <v>20</v>
      </c>
      <c r="U231" s="52">
        <f t="shared" si="27"/>
        <v>19400</v>
      </c>
    </row>
    <row r="232" spans="1:21" x14ac:dyDescent="0.25">
      <c r="A232" s="36">
        <v>17</v>
      </c>
      <c r="B232" s="48" t="s">
        <v>264</v>
      </c>
      <c r="C232" s="36" t="s">
        <v>82</v>
      </c>
      <c r="D232" s="36">
        <v>10</v>
      </c>
      <c r="E232" s="37">
        <v>490</v>
      </c>
      <c r="F232" s="36">
        <f t="shared" si="26"/>
        <v>4900</v>
      </c>
      <c r="G232" s="36" t="s">
        <v>23</v>
      </c>
      <c r="H232" s="36" t="s">
        <v>28</v>
      </c>
      <c r="I232" s="36" t="s">
        <v>22</v>
      </c>
      <c r="J232" s="89" t="s">
        <v>25</v>
      </c>
      <c r="K232" s="89" t="s">
        <v>25</v>
      </c>
      <c r="L232" s="89" t="s">
        <v>25</v>
      </c>
      <c r="M232" s="36"/>
      <c r="N232" s="36"/>
      <c r="O232" s="36"/>
      <c r="P232" s="36"/>
      <c r="Q232" s="36"/>
      <c r="R232" s="36"/>
      <c r="S232" s="36"/>
      <c r="T232" s="36">
        <v>10</v>
      </c>
      <c r="U232" s="52">
        <f t="shared" si="27"/>
        <v>4900</v>
      </c>
    </row>
    <row r="233" spans="1:21" x14ac:dyDescent="0.25">
      <c r="A233" s="36">
        <v>18</v>
      </c>
      <c r="B233" s="48" t="s">
        <v>265</v>
      </c>
      <c r="C233" s="36" t="s">
        <v>100</v>
      </c>
      <c r="D233" s="36">
        <v>10</v>
      </c>
      <c r="E233" s="37">
        <v>240</v>
      </c>
      <c r="F233" s="36">
        <f t="shared" si="26"/>
        <v>2400</v>
      </c>
      <c r="G233" s="36" t="s">
        <v>23</v>
      </c>
      <c r="H233" s="36" t="s">
        <v>28</v>
      </c>
      <c r="I233" s="36" t="s">
        <v>22</v>
      </c>
      <c r="J233" s="89" t="s">
        <v>25</v>
      </c>
      <c r="K233" s="89" t="s">
        <v>25</v>
      </c>
      <c r="L233" s="89" t="s">
        <v>25</v>
      </c>
      <c r="M233" s="36"/>
      <c r="N233" s="36"/>
      <c r="O233" s="36"/>
      <c r="P233" s="36"/>
      <c r="Q233" s="36"/>
      <c r="R233" s="36"/>
      <c r="S233" s="36"/>
      <c r="T233" s="36">
        <v>10</v>
      </c>
      <c r="U233" s="52">
        <f t="shared" si="27"/>
        <v>2400</v>
      </c>
    </row>
    <row r="234" spans="1:21" s="17" customFormat="1" x14ac:dyDescent="0.25">
      <c r="A234" s="36">
        <v>19</v>
      </c>
      <c r="B234" s="48" t="s">
        <v>266</v>
      </c>
      <c r="C234" s="36" t="s">
        <v>100</v>
      </c>
      <c r="D234" s="36">
        <v>10</v>
      </c>
      <c r="E234" s="37">
        <v>120</v>
      </c>
      <c r="F234" s="36">
        <f t="shared" si="26"/>
        <v>1200</v>
      </c>
      <c r="G234" s="36" t="s">
        <v>23</v>
      </c>
      <c r="H234" s="36" t="s">
        <v>28</v>
      </c>
      <c r="I234" s="36" t="s">
        <v>22</v>
      </c>
      <c r="J234" s="89" t="s">
        <v>25</v>
      </c>
      <c r="K234" s="89" t="s">
        <v>25</v>
      </c>
      <c r="L234" s="89" t="s">
        <v>25</v>
      </c>
      <c r="M234" s="36"/>
      <c r="N234" s="36"/>
      <c r="O234" s="36"/>
      <c r="P234" s="36"/>
      <c r="Q234" s="36"/>
      <c r="R234" s="36"/>
      <c r="S234" s="36"/>
      <c r="T234" s="36">
        <v>10</v>
      </c>
      <c r="U234" s="52">
        <f t="shared" si="27"/>
        <v>1200</v>
      </c>
    </row>
    <row r="235" spans="1:21" s="17" customFormat="1" x14ac:dyDescent="0.25">
      <c r="A235" s="36">
        <v>20</v>
      </c>
      <c r="B235" s="48" t="s">
        <v>267</v>
      </c>
      <c r="C235" s="36" t="s">
        <v>82</v>
      </c>
      <c r="D235" s="36">
        <v>4</v>
      </c>
      <c r="E235" s="37">
        <v>980</v>
      </c>
      <c r="F235" s="36">
        <f t="shared" si="26"/>
        <v>3920</v>
      </c>
      <c r="G235" s="36" t="s">
        <v>23</v>
      </c>
      <c r="H235" s="36" t="s">
        <v>28</v>
      </c>
      <c r="I235" s="36" t="s">
        <v>22</v>
      </c>
      <c r="J235" s="89" t="s">
        <v>25</v>
      </c>
      <c r="K235" s="89" t="s">
        <v>25</v>
      </c>
      <c r="L235" s="89" t="s">
        <v>25</v>
      </c>
      <c r="M235" s="36"/>
      <c r="N235" s="36"/>
      <c r="O235" s="36"/>
      <c r="P235" s="36"/>
      <c r="Q235" s="36"/>
      <c r="R235" s="36"/>
      <c r="S235" s="36"/>
      <c r="T235" s="36">
        <v>4</v>
      </c>
      <c r="U235" s="52">
        <f t="shared" si="27"/>
        <v>3920</v>
      </c>
    </row>
    <row r="236" spans="1:21" s="17" customFormat="1" x14ac:dyDescent="0.25">
      <c r="A236" s="36">
        <v>21</v>
      </c>
      <c r="B236" s="48" t="s">
        <v>268</v>
      </c>
      <c r="C236" s="36" t="s">
        <v>82</v>
      </c>
      <c r="D236" s="36">
        <v>500</v>
      </c>
      <c r="E236" s="37">
        <v>480</v>
      </c>
      <c r="F236" s="36">
        <f t="shared" si="26"/>
        <v>240000</v>
      </c>
      <c r="G236" s="36" t="s">
        <v>23</v>
      </c>
      <c r="H236" s="36" t="s">
        <v>28</v>
      </c>
      <c r="I236" s="36" t="s">
        <v>22</v>
      </c>
      <c r="J236" s="89" t="s">
        <v>25</v>
      </c>
      <c r="K236" s="89" t="s">
        <v>25</v>
      </c>
      <c r="L236" s="89" t="s">
        <v>25</v>
      </c>
      <c r="M236" s="36"/>
      <c r="N236" s="36"/>
      <c r="O236" s="36"/>
      <c r="P236" s="36"/>
      <c r="Q236" s="36"/>
      <c r="R236" s="36"/>
      <c r="S236" s="36"/>
      <c r="T236" s="36">
        <v>500</v>
      </c>
      <c r="U236" s="52">
        <f t="shared" si="27"/>
        <v>240000</v>
      </c>
    </row>
    <row r="237" spans="1:21" s="17" customFormat="1" x14ac:dyDescent="0.25">
      <c r="A237" s="36">
        <v>22</v>
      </c>
      <c r="B237" s="36" t="s">
        <v>269</v>
      </c>
      <c r="C237" s="36" t="s">
        <v>82</v>
      </c>
      <c r="D237" s="36">
        <v>2</v>
      </c>
      <c r="E237" s="37">
        <v>12800</v>
      </c>
      <c r="F237" s="36">
        <f t="shared" si="26"/>
        <v>25600</v>
      </c>
      <c r="G237" s="36" t="s">
        <v>23</v>
      </c>
      <c r="H237" s="36" t="s">
        <v>28</v>
      </c>
      <c r="I237" s="36" t="s">
        <v>22</v>
      </c>
      <c r="J237" s="89" t="s">
        <v>25</v>
      </c>
      <c r="K237" s="89" t="s">
        <v>25</v>
      </c>
      <c r="L237" s="89" t="s">
        <v>25</v>
      </c>
      <c r="M237" s="36"/>
      <c r="N237" s="36"/>
      <c r="O237" s="36"/>
      <c r="P237" s="36"/>
      <c r="Q237" s="36"/>
      <c r="R237" s="36"/>
      <c r="S237" s="36"/>
      <c r="T237" s="36">
        <v>2</v>
      </c>
      <c r="U237" s="52">
        <f t="shared" si="27"/>
        <v>25600</v>
      </c>
    </row>
    <row r="238" spans="1:21" s="17" customFormat="1" x14ac:dyDescent="0.25">
      <c r="A238" s="36">
        <v>23</v>
      </c>
      <c r="B238" s="36" t="s">
        <v>270</v>
      </c>
      <c r="C238" s="36" t="s">
        <v>82</v>
      </c>
      <c r="D238" s="36">
        <v>1</v>
      </c>
      <c r="E238" s="36">
        <v>24000</v>
      </c>
      <c r="F238" s="36">
        <f t="shared" si="26"/>
        <v>24000</v>
      </c>
      <c r="G238" s="36" t="s">
        <v>23</v>
      </c>
      <c r="H238" s="36" t="s">
        <v>28</v>
      </c>
      <c r="I238" s="36" t="s">
        <v>22</v>
      </c>
      <c r="J238" s="89" t="s">
        <v>25</v>
      </c>
      <c r="K238" s="89" t="s">
        <v>25</v>
      </c>
      <c r="L238" s="89" t="s">
        <v>25</v>
      </c>
      <c r="M238" s="36"/>
      <c r="N238" s="36"/>
      <c r="O238" s="36"/>
      <c r="P238" s="36"/>
      <c r="Q238" s="36"/>
      <c r="R238" s="36"/>
      <c r="S238" s="36"/>
      <c r="T238" s="36">
        <v>1</v>
      </c>
      <c r="U238" s="52">
        <f t="shared" si="27"/>
        <v>24000</v>
      </c>
    </row>
    <row r="239" spans="1:21" s="17" customFormat="1" x14ac:dyDescent="0.25">
      <c r="A239" s="16"/>
      <c r="B239" s="16"/>
      <c r="C239" s="16"/>
      <c r="D239" s="16"/>
      <c r="E239" s="55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49"/>
    </row>
    <row r="240" spans="1:21" s="17" customFormat="1" x14ac:dyDescent="0.25">
      <c r="A240" s="16"/>
      <c r="B240" s="16"/>
      <c r="C240" s="16"/>
      <c r="D240" s="16"/>
      <c r="E240" s="55"/>
      <c r="F240" s="107">
        <f>SUM(F216:F239)</f>
        <v>1929430</v>
      </c>
      <c r="G240" s="50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49"/>
    </row>
    <row r="241" spans="1:21" s="17" customFormat="1" x14ac:dyDescent="0.25">
      <c r="A241" s="134" t="s">
        <v>447</v>
      </c>
      <c r="B241" s="135"/>
      <c r="C241" s="16"/>
      <c r="D241" s="16"/>
      <c r="E241" s="16"/>
      <c r="F241" s="16"/>
      <c r="G241" s="16"/>
      <c r="H241" s="16"/>
      <c r="I241" s="16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49"/>
    </row>
    <row r="242" spans="1:21" s="17" customFormat="1" x14ac:dyDescent="0.25">
      <c r="A242" s="84">
        <v>1</v>
      </c>
      <c r="B242" s="84" t="s">
        <v>239</v>
      </c>
      <c r="C242" s="84" t="s">
        <v>236</v>
      </c>
      <c r="D242" s="84">
        <v>1</v>
      </c>
      <c r="E242" s="84">
        <v>1200000</v>
      </c>
      <c r="F242" s="84">
        <f t="shared" ref="F242" si="28">D242*E242</f>
        <v>1200000</v>
      </c>
      <c r="G242" s="84" t="s">
        <v>23</v>
      </c>
      <c r="H242" s="84" t="s">
        <v>28</v>
      </c>
      <c r="I242" s="31" t="s">
        <v>22</v>
      </c>
      <c r="J242" s="87" t="s">
        <v>25</v>
      </c>
      <c r="K242" s="87" t="s">
        <v>25</v>
      </c>
      <c r="L242" s="87" t="s">
        <v>25</v>
      </c>
      <c r="M242" s="84"/>
      <c r="N242" s="84"/>
      <c r="O242" s="84"/>
      <c r="P242" s="84"/>
      <c r="Q242" s="84"/>
      <c r="R242" s="84"/>
      <c r="S242" s="84"/>
      <c r="T242" s="84">
        <v>1</v>
      </c>
      <c r="U242" s="41">
        <f t="shared" si="27"/>
        <v>1200000</v>
      </c>
    </row>
    <row r="243" spans="1:21" s="17" customFormat="1" x14ac:dyDescent="0.25">
      <c r="A243" s="16"/>
      <c r="B243" s="16"/>
      <c r="C243" s="16"/>
      <c r="D243" s="16"/>
      <c r="E243" s="55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49"/>
    </row>
    <row r="244" spans="1:21" s="17" customFormat="1" x14ac:dyDescent="0.25">
      <c r="A244" s="16"/>
      <c r="B244" s="16"/>
      <c r="C244" s="16"/>
      <c r="D244" s="16"/>
      <c r="E244" s="55"/>
      <c r="F244" s="50">
        <f>SUM(F242:F243)</f>
        <v>1200000</v>
      </c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49"/>
    </row>
    <row r="245" spans="1:21" s="17" customFormat="1" x14ac:dyDescent="0.25">
      <c r="A245" s="134" t="s">
        <v>448</v>
      </c>
      <c r="B245" s="135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49"/>
    </row>
    <row r="246" spans="1:21" s="17" customFormat="1" x14ac:dyDescent="0.25">
      <c r="A246" s="36">
        <v>1</v>
      </c>
      <c r="B246" s="36" t="s">
        <v>251</v>
      </c>
      <c r="C246" s="36" t="s">
        <v>80</v>
      </c>
      <c r="D246" s="36">
        <v>3</v>
      </c>
      <c r="E246" s="36">
        <v>35000</v>
      </c>
      <c r="F246" s="36">
        <v>105000</v>
      </c>
      <c r="G246" s="36" t="s">
        <v>23</v>
      </c>
      <c r="H246" s="36" t="s">
        <v>28</v>
      </c>
      <c r="I246" s="36" t="s">
        <v>22</v>
      </c>
      <c r="J246" s="89" t="s">
        <v>25</v>
      </c>
      <c r="K246" s="89" t="s">
        <v>25</v>
      </c>
      <c r="L246" s="89" t="s">
        <v>25</v>
      </c>
      <c r="M246" s="36"/>
      <c r="N246" s="36"/>
      <c r="O246" s="36"/>
      <c r="P246" s="36"/>
      <c r="Q246" s="36"/>
      <c r="R246" s="36"/>
      <c r="S246" s="36"/>
      <c r="T246" s="36">
        <v>3</v>
      </c>
      <c r="U246" s="52">
        <f t="shared" si="27"/>
        <v>105000</v>
      </c>
    </row>
    <row r="247" spans="1:21" s="17" customFormat="1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49"/>
    </row>
    <row r="248" spans="1:21" s="17" customFormat="1" x14ac:dyDescent="0.25">
      <c r="A248" s="16"/>
      <c r="B248" s="16"/>
      <c r="C248" s="16"/>
      <c r="D248" s="16"/>
      <c r="E248" s="55"/>
      <c r="F248" s="107">
        <f>SUM(F246:F247)</f>
        <v>105000</v>
      </c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49"/>
    </row>
    <row r="249" spans="1:21" s="17" customFormat="1" x14ac:dyDescent="0.25">
      <c r="A249" s="50" t="s">
        <v>449</v>
      </c>
      <c r="B249" s="16"/>
      <c r="C249" s="16"/>
      <c r="D249" s="16"/>
      <c r="E249" s="16"/>
      <c r="F249" s="16"/>
      <c r="G249" s="16"/>
      <c r="H249" s="16"/>
      <c r="I249" s="16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49"/>
    </row>
    <row r="250" spans="1:21" s="17" customFormat="1" x14ac:dyDescent="0.25">
      <c r="A250" s="36">
        <v>1</v>
      </c>
      <c r="B250" s="36" t="s">
        <v>272</v>
      </c>
      <c r="C250" s="36" t="s">
        <v>80</v>
      </c>
      <c r="D250" s="36">
        <v>3</v>
      </c>
      <c r="E250" s="36">
        <v>36000</v>
      </c>
      <c r="F250" s="36">
        <f t="shared" ref="F250:F251" si="29">D250*E250</f>
        <v>108000</v>
      </c>
      <c r="G250" s="36" t="s">
        <v>23</v>
      </c>
      <c r="H250" s="36" t="s">
        <v>28</v>
      </c>
      <c r="I250" s="36" t="s">
        <v>22</v>
      </c>
      <c r="J250" s="89" t="s">
        <v>25</v>
      </c>
      <c r="K250" s="89" t="s">
        <v>25</v>
      </c>
      <c r="L250" s="89" t="s">
        <v>25</v>
      </c>
      <c r="M250" s="36"/>
      <c r="N250" s="36"/>
      <c r="O250" s="36"/>
      <c r="P250" s="36"/>
      <c r="Q250" s="36"/>
      <c r="R250" s="36"/>
      <c r="S250" s="36"/>
      <c r="T250" s="36">
        <v>3</v>
      </c>
      <c r="U250" s="52">
        <f t="shared" si="27"/>
        <v>108000</v>
      </c>
    </row>
    <row r="251" spans="1:21" s="17" customFormat="1" x14ac:dyDescent="0.25">
      <c r="A251" s="36">
        <v>2</v>
      </c>
      <c r="B251" s="36" t="s">
        <v>273</v>
      </c>
      <c r="C251" s="36" t="s">
        <v>80</v>
      </c>
      <c r="D251" s="36">
        <v>2</v>
      </c>
      <c r="E251" s="36">
        <v>64000</v>
      </c>
      <c r="F251" s="36">
        <f t="shared" si="29"/>
        <v>128000</v>
      </c>
      <c r="G251" s="36" t="s">
        <v>23</v>
      </c>
      <c r="H251" s="36" t="s">
        <v>28</v>
      </c>
      <c r="I251" s="36" t="s">
        <v>22</v>
      </c>
      <c r="J251" s="89" t="s">
        <v>25</v>
      </c>
      <c r="K251" s="89" t="s">
        <v>25</v>
      </c>
      <c r="L251" s="89" t="s">
        <v>25</v>
      </c>
      <c r="M251" s="36"/>
      <c r="N251" s="36"/>
      <c r="O251" s="36"/>
      <c r="P251" s="36"/>
      <c r="Q251" s="36"/>
      <c r="R251" s="36"/>
      <c r="S251" s="36"/>
      <c r="T251" s="36">
        <v>2</v>
      </c>
      <c r="U251" s="52">
        <f t="shared" si="27"/>
        <v>128000</v>
      </c>
    </row>
    <row r="252" spans="1:21" x14ac:dyDescent="0.25">
      <c r="A252" s="112"/>
      <c r="B252" s="113"/>
      <c r="C252" s="16"/>
      <c r="D252" s="16"/>
      <c r="E252" s="16"/>
      <c r="F252" s="16"/>
      <c r="G252" s="16"/>
      <c r="H252" s="16"/>
      <c r="I252" s="16"/>
      <c r="J252" s="99"/>
      <c r="K252" s="99"/>
      <c r="L252" s="99"/>
      <c r="M252" s="16"/>
      <c r="N252" s="16"/>
      <c r="O252" s="16"/>
      <c r="P252" s="16"/>
      <c r="Q252" s="16"/>
      <c r="R252" s="16"/>
      <c r="S252" s="16"/>
      <c r="T252" s="16"/>
      <c r="U252" s="49"/>
    </row>
    <row r="253" spans="1:21" x14ac:dyDescent="0.25">
      <c r="A253" s="112"/>
      <c r="B253" s="113"/>
      <c r="C253" s="16"/>
      <c r="D253" s="16"/>
      <c r="E253" s="16"/>
      <c r="F253" s="50">
        <f>SUM(F250:F252)</f>
        <v>236000</v>
      </c>
      <c r="G253" s="16"/>
      <c r="H253" s="16"/>
      <c r="I253" s="16"/>
      <c r="J253" s="99"/>
      <c r="K253" s="99"/>
      <c r="L253" s="99"/>
      <c r="M253" s="16"/>
      <c r="N253" s="16"/>
      <c r="O253" s="16"/>
      <c r="P253" s="16"/>
      <c r="Q253" s="16"/>
      <c r="R253" s="16"/>
      <c r="S253" s="16"/>
      <c r="T253" s="16"/>
      <c r="U253" s="49"/>
    </row>
    <row r="254" spans="1:21" x14ac:dyDescent="0.25">
      <c r="A254" s="134" t="s">
        <v>450</v>
      </c>
      <c r="B254" s="135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49"/>
    </row>
    <row r="255" spans="1:21" s="83" customFormat="1" ht="30" x14ac:dyDescent="0.25">
      <c r="A255" s="44">
        <v>1</v>
      </c>
      <c r="B255" s="45" t="s">
        <v>222</v>
      </c>
      <c r="C255" s="44" t="s">
        <v>145</v>
      </c>
      <c r="D255" s="44">
        <v>5</v>
      </c>
      <c r="E255" s="31"/>
      <c r="F255" s="40">
        <f t="shared" ref="F255:F261" si="30">D255*E255</f>
        <v>0</v>
      </c>
      <c r="G255" s="84" t="s">
        <v>23</v>
      </c>
      <c r="H255" s="84" t="s">
        <v>28</v>
      </c>
      <c r="I255" s="31" t="s">
        <v>22</v>
      </c>
      <c r="J255" s="87" t="s">
        <v>25</v>
      </c>
      <c r="K255" s="87" t="s">
        <v>25</v>
      </c>
      <c r="L255" s="87" t="s">
        <v>25</v>
      </c>
      <c r="M255" s="31"/>
      <c r="N255" s="31"/>
      <c r="O255" s="31"/>
      <c r="P255" s="31"/>
      <c r="Q255" s="31"/>
      <c r="R255" s="31"/>
      <c r="S255" s="31"/>
      <c r="T255" s="31">
        <v>5</v>
      </c>
      <c r="U255" s="41">
        <f t="shared" ref="U255:U260" si="31">D255*E255</f>
        <v>0</v>
      </c>
    </row>
    <row r="256" spans="1:21" ht="45" x14ac:dyDescent="0.25">
      <c r="A256" s="16">
        <v>2</v>
      </c>
      <c r="B256" s="54" t="s">
        <v>278</v>
      </c>
      <c r="C256" s="16" t="s">
        <v>145</v>
      </c>
      <c r="D256" s="16">
        <v>1</v>
      </c>
      <c r="E256" s="16">
        <v>318000</v>
      </c>
      <c r="F256" s="21">
        <f t="shared" si="30"/>
        <v>318000</v>
      </c>
      <c r="G256" s="1" t="s">
        <v>23</v>
      </c>
      <c r="H256" s="1" t="s">
        <v>28</v>
      </c>
      <c r="I256" s="1" t="s">
        <v>22</v>
      </c>
      <c r="J256" s="1"/>
      <c r="K256" s="1"/>
      <c r="L256" s="88"/>
      <c r="M256" s="88" t="s">
        <v>25</v>
      </c>
      <c r="N256" s="16"/>
      <c r="O256" s="16"/>
      <c r="P256" s="16"/>
      <c r="Q256" s="16"/>
      <c r="R256" s="16"/>
      <c r="S256" s="16"/>
      <c r="T256" s="16">
        <v>1</v>
      </c>
      <c r="U256" s="49">
        <f t="shared" si="31"/>
        <v>318000</v>
      </c>
    </row>
    <row r="257" spans="1:21" x14ac:dyDescent="0.25">
      <c r="A257" s="16">
        <v>3</v>
      </c>
      <c r="B257" s="16" t="s">
        <v>279</v>
      </c>
      <c r="C257" s="16" t="s">
        <v>145</v>
      </c>
      <c r="D257" s="16">
        <v>1</v>
      </c>
      <c r="E257" s="16">
        <v>157113</v>
      </c>
      <c r="F257" s="21">
        <f t="shared" si="30"/>
        <v>157113</v>
      </c>
      <c r="G257" s="1" t="s">
        <v>23</v>
      </c>
      <c r="H257" s="1" t="s">
        <v>28</v>
      </c>
      <c r="I257" s="1" t="s">
        <v>22</v>
      </c>
      <c r="J257" s="1"/>
      <c r="K257" s="1"/>
      <c r="L257" s="88"/>
      <c r="M257" s="88" t="s">
        <v>25</v>
      </c>
      <c r="N257" s="16"/>
      <c r="O257" s="16"/>
      <c r="P257" s="16"/>
      <c r="Q257" s="16"/>
      <c r="R257" s="16"/>
      <c r="S257" s="16"/>
      <c r="T257" s="16">
        <v>1</v>
      </c>
      <c r="U257" s="49">
        <f t="shared" si="31"/>
        <v>157113</v>
      </c>
    </row>
    <row r="258" spans="1:21" x14ac:dyDescent="0.25">
      <c r="A258" s="16">
        <v>4</v>
      </c>
      <c r="B258" s="16" t="s">
        <v>280</v>
      </c>
      <c r="C258" s="16" t="s">
        <v>145</v>
      </c>
      <c r="D258" s="16">
        <v>1</v>
      </c>
      <c r="E258" s="16">
        <v>13250</v>
      </c>
      <c r="F258" s="21">
        <f t="shared" si="30"/>
        <v>13250</v>
      </c>
      <c r="G258" s="1" t="s">
        <v>23</v>
      </c>
      <c r="H258" s="1" t="s">
        <v>28</v>
      </c>
      <c r="I258" s="1" t="s">
        <v>22</v>
      </c>
      <c r="J258" s="1"/>
      <c r="K258" s="1"/>
      <c r="L258" s="88"/>
      <c r="M258" s="88" t="s">
        <v>25</v>
      </c>
      <c r="N258" s="16"/>
      <c r="O258" s="16"/>
      <c r="P258" s="16"/>
      <c r="Q258" s="16"/>
      <c r="R258" s="16"/>
      <c r="S258" s="16"/>
      <c r="T258" s="16">
        <v>1</v>
      </c>
      <c r="U258" s="49">
        <f t="shared" si="31"/>
        <v>13250</v>
      </c>
    </row>
    <row r="259" spans="1:21" ht="30" x14ac:dyDescent="0.25">
      <c r="A259" s="16">
        <v>5</v>
      </c>
      <c r="B259" s="54" t="s">
        <v>281</v>
      </c>
      <c r="C259" s="16" t="s">
        <v>145</v>
      </c>
      <c r="D259" s="16">
        <v>1</v>
      </c>
      <c r="E259" s="16">
        <v>397500</v>
      </c>
      <c r="F259" s="16">
        <f t="shared" si="30"/>
        <v>397500</v>
      </c>
      <c r="G259" s="1" t="s">
        <v>23</v>
      </c>
      <c r="H259" s="1" t="s">
        <v>28</v>
      </c>
      <c r="I259" s="1" t="s">
        <v>22</v>
      </c>
      <c r="J259" s="1"/>
      <c r="K259" s="1"/>
      <c r="L259" s="88"/>
      <c r="M259" s="88" t="s">
        <v>25</v>
      </c>
      <c r="N259" s="16"/>
      <c r="O259" s="16"/>
      <c r="P259" s="16"/>
      <c r="Q259" s="16"/>
      <c r="R259" s="16"/>
      <c r="S259" s="16"/>
      <c r="T259" s="16">
        <v>1</v>
      </c>
      <c r="U259" s="49">
        <f t="shared" si="31"/>
        <v>397500</v>
      </c>
    </row>
    <row r="260" spans="1:21" x14ac:dyDescent="0.25">
      <c r="A260" s="16">
        <v>6</v>
      </c>
      <c r="B260" s="16" t="s">
        <v>282</v>
      </c>
      <c r="C260" s="16" t="s">
        <v>145</v>
      </c>
      <c r="D260" s="16">
        <v>1</v>
      </c>
      <c r="E260" s="16">
        <v>260000</v>
      </c>
      <c r="F260" s="16">
        <f t="shared" si="30"/>
        <v>260000</v>
      </c>
      <c r="G260" s="1" t="s">
        <v>23</v>
      </c>
      <c r="H260" s="1" t="s">
        <v>28</v>
      </c>
      <c r="I260" s="1" t="s">
        <v>22</v>
      </c>
      <c r="J260" s="1"/>
      <c r="K260" s="1"/>
      <c r="L260" s="88"/>
      <c r="M260" s="88" t="s">
        <v>25</v>
      </c>
      <c r="N260" s="16"/>
      <c r="O260" s="16"/>
      <c r="P260" s="16"/>
      <c r="Q260" s="16"/>
      <c r="R260" s="16"/>
      <c r="S260" s="16"/>
      <c r="T260" s="16">
        <v>1</v>
      </c>
      <c r="U260" s="49">
        <f t="shared" si="31"/>
        <v>260000</v>
      </c>
    </row>
    <row r="261" spans="1:21" x14ac:dyDescent="0.25">
      <c r="A261" s="36">
        <v>7</v>
      </c>
      <c r="B261" s="36" t="s">
        <v>191</v>
      </c>
      <c r="C261" s="36" t="s">
        <v>145</v>
      </c>
      <c r="D261" s="36">
        <v>1</v>
      </c>
      <c r="E261" s="36"/>
      <c r="F261" s="36">
        <f t="shared" si="30"/>
        <v>0</v>
      </c>
      <c r="G261" s="36" t="s">
        <v>23</v>
      </c>
      <c r="H261" s="36" t="s">
        <v>28</v>
      </c>
      <c r="I261" s="36" t="s">
        <v>22</v>
      </c>
      <c r="J261" s="89"/>
      <c r="K261" s="89"/>
      <c r="L261" s="89"/>
      <c r="M261" s="89" t="s">
        <v>25</v>
      </c>
      <c r="N261" s="36"/>
      <c r="O261" s="36"/>
      <c r="P261" s="36"/>
      <c r="Q261" s="36"/>
      <c r="R261" s="36"/>
      <c r="S261" s="36"/>
      <c r="T261" s="36">
        <v>1</v>
      </c>
      <c r="U261" s="52">
        <f t="shared" ref="U261" si="32">D261*E261</f>
        <v>0</v>
      </c>
    </row>
    <row r="262" spans="1:21" x14ac:dyDescent="0.25">
      <c r="A262" s="16"/>
      <c r="B262" s="16"/>
      <c r="C262" s="16"/>
      <c r="D262" s="16"/>
      <c r="E262" s="16"/>
      <c r="F262" s="16"/>
      <c r="G262" s="1"/>
      <c r="H262" s="1"/>
      <c r="I262" s="1"/>
      <c r="J262" s="1"/>
      <c r="K262" s="1"/>
      <c r="L262" s="88"/>
      <c r="M262" s="88"/>
      <c r="N262" s="16"/>
      <c r="O262" s="16"/>
      <c r="P262" s="16"/>
      <c r="Q262" s="16"/>
      <c r="R262" s="16"/>
      <c r="S262" s="16"/>
      <c r="T262" s="16"/>
      <c r="U262" s="49"/>
    </row>
    <row r="263" spans="1:21" s="17" customFormat="1" ht="13.5" customHeight="1" x14ac:dyDescent="0.25">
      <c r="A263" s="16"/>
      <c r="B263" s="16"/>
      <c r="C263" s="16"/>
      <c r="D263" s="16"/>
      <c r="E263" s="16"/>
      <c r="F263" s="109">
        <f>SUM(F256:F262)</f>
        <v>1145863</v>
      </c>
      <c r="G263" s="1"/>
      <c r="H263" s="1"/>
      <c r="I263" s="1"/>
      <c r="J263" s="1"/>
      <c r="K263" s="1"/>
      <c r="L263" s="88"/>
      <c r="M263" s="88"/>
      <c r="N263" s="16"/>
      <c r="O263" s="16"/>
      <c r="P263" s="16"/>
      <c r="Q263" s="16"/>
      <c r="R263" s="16"/>
      <c r="S263" s="16"/>
      <c r="T263" s="16"/>
      <c r="U263" s="49"/>
    </row>
    <row r="264" spans="1:21" s="17" customFormat="1" x14ac:dyDescent="0.25">
      <c r="A264" s="136" t="s">
        <v>451</v>
      </c>
      <c r="B264" s="137"/>
      <c r="C264" s="16"/>
      <c r="D264" s="16"/>
      <c r="E264" s="16"/>
      <c r="F264" s="16"/>
      <c r="G264" s="16"/>
      <c r="H264" s="16"/>
      <c r="I264" s="16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49"/>
    </row>
    <row r="265" spans="1:21" s="17" customFormat="1" ht="45" x14ac:dyDescent="0.25">
      <c r="A265" s="31">
        <v>1</v>
      </c>
      <c r="B265" s="32" t="s">
        <v>187</v>
      </c>
      <c r="C265" s="31" t="s">
        <v>55</v>
      </c>
      <c r="D265" s="31">
        <v>2</v>
      </c>
      <c r="E265" s="33">
        <v>17000000</v>
      </c>
      <c r="F265" s="31">
        <f>D265*E265</f>
        <v>34000000</v>
      </c>
      <c r="G265" s="84" t="s">
        <v>23</v>
      </c>
      <c r="H265" s="84" t="s">
        <v>396</v>
      </c>
      <c r="I265" s="31" t="s">
        <v>22</v>
      </c>
      <c r="J265" s="87"/>
      <c r="K265" s="87"/>
      <c r="L265" s="87"/>
      <c r="M265" s="87" t="s">
        <v>25</v>
      </c>
      <c r="N265" s="31"/>
      <c r="O265" s="31"/>
      <c r="P265" s="31"/>
      <c r="Q265" s="31"/>
      <c r="R265" s="31"/>
      <c r="S265" s="31"/>
      <c r="T265" s="31">
        <v>1</v>
      </c>
      <c r="U265" s="41">
        <f>D265*E265</f>
        <v>34000000</v>
      </c>
    </row>
    <row r="266" spans="1:21" s="17" customFormat="1" ht="45" x14ac:dyDescent="0.25">
      <c r="A266" s="31">
        <v>2</v>
      </c>
      <c r="B266" s="32" t="s">
        <v>188</v>
      </c>
      <c r="C266" s="31" t="s">
        <v>55</v>
      </c>
      <c r="D266" s="31">
        <v>1</v>
      </c>
      <c r="E266" s="33">
        <v>9000000</v>
      </c>
      <c r="F266" s="31">
        <f t="shared" ref="F266" si="33">D266*E266</f>
        <v>9000000</v>
      </c>
      <c r="G266" s="84" t="s">
        <v>23</v>
      </c>
      <c r="H266" s="84" t="s">
        <v>396</v>
      </c>
      <c r="I266" s="31" t="s">
        <v>22</v>
      </c>
      <c r="J266" s="87"/>
      <c r="K266" s="87"/>
      <c r="L266" s="87"/>
      <c r="M266" s="87" t="s">
        <v>25</v>
      </c>
      <c r="N266" s="31"/>
      <c r="O266" s="31"/>
      <c r="P266" s="31"/>
      <c r="Q266" s="31"/>
      <c r="R266" s="31"/>
      <c r="S266" s="31"/>
      <c r="T266" s="31">
        <v>1</v>
      </c>
      <c r="U266" s="41">
        <f>D266*E266</f>
        <v>9000000</v>
      </c>
    </row>
    <row r="267" spans="1:21" s="17" customFormat="1" x14ac:dyDescent="0.25">
      <c r="A267" s="16"/>
      <c r="B267" s="54"/>
      <c r="C267" s="16"/>
      <c r="D267" s="16"/>
      <c r="E267" s="16"/>
      <c r="F267" s="16"/>
      <c r="G267" s="108"/>
      <c r="H267" s="108"/>
      <c r="I267" s="16"/>
      <c r="J267" s="99"/>
      <c r="K267" s="99"/>
      <c r="L267" s="99"/>
      <c r="M267" s="99"/>
      <c r="N267" s="16"/>
      <c r="O267" s="16"/>
      <c r="P267" s="16"/>
      <c r="Q267" s="16"/>
      <c r="R267" s="16"/>
      <c r="S267" s="16"/>
      <c r="T267" s="16"/>
      <c r="U267" s="49"/>
    </row>
    <row r="268" spans="1:21" s="17" customFormat="1" x14ac:dyDescent="0.25">
      <c r="A268" s="16"/>
      <c r="B268" s="54"/>
      <c r="C268" s="16"/>
      <c r="D268" s="16"/>
      <c r="E268" s="16"/>
      <c r="F268" s="16"/>
      <c r="G268" s="108"/>
      <c r="H268" s="108"/>
      <c r="I268" s="16"/>
      <c r="J268" s="99"/>
      <c r="K268" s="99"/>
      <c r="L268" s="99"/>
      <c r="M268" s="88" t="s">
        <v>25</v>
      </c>
      <c r="N268" s="1"/>
      <c r="O268" s="1"/>
      <c r="P268" s="1"/>
      <c r="Q268" s="1"/>
      <c r="R268" s="1"/>
      <c r="S268" s="1"/>
      <c r="T268" s="16"/>
      <c r="U268" s="49"/>
    </row>
    <row r="269" spans="1:21" s="17" customFormat="1" x14ac:dyDescent="0.25">
      <c r="A269" s="16"/>
      <c r="B269" s="16"/>
      <c r="C269" s="16"/>
      <c r="D269" s="16"/>
      <c r="E269" s="16"/>
      <c r="F269" s="50">
        <f>SUM(F265:F268)</f>
        <v>43000000</v>
      </c>
      <c r="G269" s="16"/>
      <c r="H269" s="16"/>
      <c r="I269" s="16"/>
      <c r="J269" s="16"/>
      <c r="K269" s="16"/>
      <c r="L269" s="16"/>
      <c r="M269" s="88" t="s">
        <v>25</v>
      </c>
      <c r="N269" s="1"/>
      <c r="O269" s="1"/>
      <c r="P269" s="1"/>
      <c r="Q269" s="1"/>
      <c r="R269" s="1"/>
      <c r="S269" s="1"/>
      <c r="T269" s="16"/>
      <c r="U269" s="49"/>
    </row>
    <row r="270" spans="1:21" s="17" customFormat="1" x14ac:dyDescent="0.25">
      <c r="A270" s="134" t="s">
        <v>452</v>
      </c>
      <c r="B270" s="135"/>
      <c r="C270" s="16"/>
      <c r="D270" s="16"/>
      <c r="E270" s="16"/>
      <c r="F270" s="16"/>
      <c r="G270" s="16"/>
      <c r="H270" s="16"/>
      <c r="I270" s="16"/>
      <c r="J270" s="1"/>
      <c r="K270" s="1"/>
      <c r="L270" s="1"/>
      <c r="M270" s="88" t="s">
        <v>25</v>
      </c>
      <c r="N270" s="16"/>
      <c r="O270" s="16"/>
      <c r="P270" s="16"/>
      <c r="Q270" s="16"/>
      <c r="R270" s="16"/>
      <c r="S270" s="16"/>
      <c r="T270" s="16"/>
      <c r="U270" s="49"/>
    </row>
    <row r="271" spans="1:21" s="17" customFormat="1" x14ac:dyDescent="0.25">
      <c r="A271" s="31">
        <v>1</v>
      </c>
      <c r="B271" s="31" t="s">
        <v>218</v>
      </c>
      <c r="C271" s="31" t="s">
        <v>145</v>
      </c>
      <c r="D271" s="31">
        <v>10</v>
      </c>
      <c r="E271" s="31">
        <v>5400</v>
      </c>
      <c r="F271" s="31">
        <f t="shared" ref="F271" si="34">D271*E271</f>
        <v>54000</v>
      </c>
      <c r="G271" s="84" t="s">
        <v>23</v>
      </c>
      <c r="H271" s="84" t="s">
        <v>28</v>
      </c>
      <c r="I271" s="31" t="s">
        <v>22</v>
      </c>
      <c r="J271" s="87"/>
      <c r="K271" s="87"/>
      <c r="L271" s="87"/>
      <c r="M271" s="87" t="s">
        <v>25</v>
      </c>
      <c r="N271" s="31"/>
      <c r="O271" s="31"/>
      <c r="P271" s="31"/>
      <c r="Q271" s="31"/>
      <c r="R271" s="31"/>
      <c r="S271" s="31"/>
      <c r="T271" s="31">
        <v>10</v>
      </c>
      <c r="U271" s="41">
        <f t="shared" ref="U271:U277" si="35">D271*E271</f>
        <v>54000</v>
      </c>
    </row>
    <row r="272" spans="1:21" s="17" customFormat="1" x14ac:dyDescent="0.25">
      <c r="A272" s="56"/>
      <c r="B272" s="98" t="s">
        <v>414</v>
      </c>
      <c r="C272" s="56" t="s">
        <v>145</v>
      </c>
      <c r="D272" s="110">
        <v>21</v>
      </c>
      <c r="E272" s="56">
        <v>5401</v>
      </c>
      <c r="F272" s="56">
        <f t="shared" ref="F272" si="36">D272*E272</f>
        <v>113421</v>
      </c>
      <c r="G272" s="56" t="s">
        <v>23</v>
      </c>
      <c r="H272" s="56" t="s">
        <v>28</v>
      </c>
      <c r="I272" s="56" t="s">
        <v>22</v>
      </c>
      <c r="J272" s="56"/>
      <c r="K272" s="56"/>
      <c r="L272" s="56"/>
      <c r="M272" s="86" t="s">
        <v>25</v>
      </c>
      <c r="N272" s="56"/>
      <c r="O272" s="56"/>
      <c r="P272" s="56"/>
      <c r="Q272" s="56"/>
      <c r="R272" s="56"/>
      <c r="S272" s="56"/>
      <c r="T272" s="56">
        <v>21</v>
      </c>
      <c r="U272" s="80">
        <f t="shared" si="35"/>
        <v>113421</v>
      </c>
    </row>
    <row r="273" spans="1:21" s="17" customFormat="1" x14ac:dyDescent="0.25">
      <c r="A273" s="16"/>
      <c r="B273" s="54"/>
      <c r="C273" s="16"/>
      <c r="D273" s="105"/>
      <c r="E273" s="16"/>
      <c r="F273" s="16"/>
      <c r="G273" s="16"/>
      <c r="H273" s="16"/>
      <c r="I273" s="16"/>
      <c r="J273" s="16"/>
      <c r="K273" s="16"/>
      <c r="L273" s="16"/>
      <c r="M273" s="99" t="s">
        <v>25</v>
      </c>
      <c r="N273" s="16"/>
      <c r="O273" s="16"/>
      <c r="P273" s="16"/>
      <c r="Q273" s="16"/>
      <c r="R273" s="16"/>
      <c r="S273" s="16"/>
      <c r="T273" s="16"/>
      <c r="U273" s="49"/>
    </row>
    <row r="274" spans="1:21" s="17" customFormat="1" x14ac:dyDescent="0.25">
      <c r="A274" s="16"/>
      <c r="B274" s="54"/>
      <c r="C274" s="16"/>
      <c r="D274" s="105"/>
      <c r="E274" s="16"/>
      <c r="F274" s="16"/>
      <c r="G274" s="16"/>
      <c r="H274" s="16"/>
      <c r="I274" s="16"/>
      <c r="J274" s="16"/>
      <c r="K274" s="16"/>
      <c r="L274" s="16"/>
      <c r="M274" s="88" t="s">
        <v>25</v>
      </c>
      <c r="N274" s="1"/>
      <c r="O274" s="1"/>
      <c r="P274" s="1"/>
      <c r="Q274" s="1"/>
      <c r="R274" s="1"/>
      <c r="S274" s="1"/>
      <c r="T274" s="1"/>
      <c r="U274" s="49"/>
    </row>
    <row r="275" spans="1:21" s="17" customFormat="1" x14ac:dyDescent="0.25">
      <c r="A275" s="16"/>
      <c r="B275" s="54"/>
      <c r="C275" s="16"/>
      <c r="D275" s="105"/>
      <c r="E275" s="16"/>
      <c r="F275" s="106">
        <f>SUM(F271:F274)</f>
        <v>167421</v>
      </c>
      <c r="G275" s="16"/>
      <c r="H275" s="16"/>
      <c r="I275" s="16"/>
      <c r="J275" s="16"/>
      <c r="K275" s="16"/>
      <c r="L275" s="16"/>
      <c r="M275" s="88" t="s">
        <v>25</v>
      </c>
      <c r="N275" s="1"/>
      <c r="O275" s="1"/>
      <c r="P275" s="1"/>
      <c r="Q275" s="1"/>
      <c r="R275" s="1"/>
      <c r="S275" s="1"/>
      <c r="T275" s="1"/>
      <c r="U275" s="49"/>
    </row>
    <row r="276" spans="1:21" s="17" customFormat="1" ht="15.75" x14ac:dyDescent="0.25">
      <c r="A276" s="132" t="s">
        <v>471</v>
      </c>
      <c r="B276" s="133"/>
      <c r="C276" s="16"/>
      <c r="D276" s="105"/>
      <c r="E276" s="16"/>
      <c r="F276" s="4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49"/>
    </row>
    <row r="277" spans="1:21" x14ac:dyDescent="0.25">
      <c r="A277" s="1">
        <v>1</v>
      </c>
      <c r="B277" s="1" t="s">
        <v>121</v>
      </c>
      <c r="C277" s="1" t="s">
        <v>145</v>
      </c>
      <c r="D277" s="1">
        <v>50</v>
      </c>
      <c r="E277" s="1">
        <v>15000</v>
      </c>
      <c r="F277" s="4">
        <f t="shared" ref="F277" si="37">D277*E277</f>
        <v>750000</v>
      </c>
      <c r="G277" s="1" t="s">
        <v>23</v>
      </c>
      <c r="H277" s="1" t="s">
        <v>28</v>
      </c>
      <c r="I277" s="1" t="s">
        <v>22</v>
      </c>
      <c r="J277" s="1"/>
      <c r="K277" s="1"/>
      <c r="L277" s="99"/>
      <c r="M277" s="88" t="s">
        <v>25</v>
      </c>
      <c r="N277" s="16"/>
      <c r="O277" s="16"/>
      <c r="P277" s="16"/>
      <c r="Q277" s="16"/>
      <c r="R277" s="16"/>
      <c r="S277" s="16"/>
      <c r="T277" s="16">
        <v>50</v>
      </c>
      <c r="U277" s="49">
        <f t="shared" si="35"/>
        <v>750000</v>
      </c>
    </row>
    <row r="278" spans="1:21" x14ac:dyDescent="0.25">
      <c r="A278" s="1"/>
      <c r="B278" s="1"/>
      <c r="C278" s="1"/>
      <c r="D278" s="1"/>
      <c r="E278" s="1"/>
      <c r="F278" s="4"/>
      <c r="G278" s="1"/>
      <c r="H278" s="1"/>
      <c r="I278" s="1"/>
      <c r="J278" s="1"/>
      <c r="K278" s="1"/>
      <c r="L278" s="99"/>
      <c r="M278" s="16"/>
      <c r="N278" s="16"/>
      <c r="O278" s="16"/>
      <c r="P278" s="16"/>
      <c r="Q278" s="16"/>
      <c r="R278" s="16"/>
      <c r="S278" s="16"/>
      <c r="T278" s="16"/>
      <c r="U278" s="49"/>
    </row>
    <row r="279" spans="1:21" x14ac:dyDescent="0.25">
      <c r="A279" s="1"/>
      <c r="B279" s="1"/>
      <c r="C279" s="1"/>
      <c r="D279" s="1"/>
      <c r="E279" s="1"/>
      <c r="F279" s="4"/>
      <c r="G279" s="1"/>
      <c r="H279" s="1"/>
      <c r="I279" s="1"/>
      <c r="J279" s="1"/>
      <c r="K279" s="1"/>
      <c r="L279" s="99"/>
      <c r="M279" s="16"/>
      <c r="N279" s="16"/>
      <c r="O279" s="16"/>
      <c r="P279" s="16"/>
      <c r="Q279" s="16"/>
      <c r="R279" s="16"/>
      <c r="S279" s="16"/>
      <c r="T279" s="16"/>
      <c r="U279" s="49"/>
    </row>
    <row r="280" spans="1:21" s="17" customFormat="1" x14ac:dyDescent="0.25">
      <c r="A280" s="1"/>
      <c r="B280" s="1"/>
      <c r="C280" s="1"/>
      <c r="D280" s="1"/>
      <c r="E280" s="4"/>
      <c r="F280" s="106">
        <f>SUM(F277:F279)</f>
        <v>750000</v>
      </c>
      <c r="G280" s="1"/>
      <c r="H280" s="1"/>
      <c r="I280" s="1"/>
      <c r="J280" s="1"/>
      <c r="K280" s="1"/>
      <c r="L280" s="16"/>
      <c r="M280" s="16"/>
      <c r="N280" s="16"/>
      <c r="O280" s="16"/>
      <c r="P280" s="16"/>
      <c r="Q280" s="16"/>
      <c r="R280" s="16"/>
      <c r="S280" s="16"/>
      <c r="T280" s="16"/>
      <c r="U280" s="49"/>
    </row>
    <row r="281" spans="1:21" x14ac:dyDescent="0.25">
      <c r="A281" s="1"/>
      <c r="B281" s="23"/>
      <c r="C281" s="1"/>
      <c r="D281" s="1"/>
      <c r="E281" s="1"/>
      <c r="F281" s="107"/>
      <c r="G281" s="1"/>
      <c r="H281" s="1"/>
      <c r="I281" s="1"/>
      <c r="J281" s="1"/>
      <c r="K281" s="1"/>
      <c r="L281" s="16"/>
      <c r="M281" s="16"/>
      <c r="N281" s="16"/>
      <c r="O281" s="16"/>
      <c r="P281" s="16"/>
      <c r="Q281" s="16"/>
      <c r="R281" s="16"/>
      <c r="S281" s="16"/>
      <c r="T281" s="16"/>
      <c r="U281" s="49"/>
    </row>
    <row r="282" spans="1:21" x14ac:dyDescent="0.25">
      <c r="A282" s="1"/>
      <c r="B282" s="23"/>
      <c r="C282" s="1"/>
      <c r="D282" s="1"/>
      <c r="E282" s="21"/>
      <c r="F282" s="21"/>
      <c r="G282" s="1"/>
      <c r="H282" s="1"/>
      <c r="I282" s="1"/>
      <c r="J282" s="1"/>
      <c r="K282" s="1"/>
      <c r="L282" s="16"/>
      <c r="M282" s="16"/>
      <c r="N282" s="16"/>
      <c r="O282" s="16"/>
      <c r="P282" s="16"/>
      <c r="Q282" s="16"/>
      <c r="R282" s="16"/>
      <c r="S282" s="16"/>
      <c r="T282" s="16"/>
      <c r="U282" s="49"/>
    </row>
    <row r="283" spans="1:21" s="17" customFormat="1" x14ac:dyDescent="0.25">
      <c r="A283" s="3" t="s">
        <v>478</v>
      </c>
      <c r="B283" s="23"/>
      <c r="C283" s="1"/>
      <c r="D283" s="1"/>
      <c r="E283" s="21"/>
      <c r="F283" s="21"/>
      <c r="G283" s="1"/>
      <c r="H283" s="1"/>
      <c r="I283" s="1"/>
      <c r="J283" s="1"/>
      <c r="K283" s="1"/>
      <c r="L283" s="16"/>
      <c r="M283" s="16"/>
      <c r="N283" s="16"/>
      <c r="O283" s="16"/>
      <c r="P283" s="16"/>
      <c r="Q283" s="16"/>
      <c r="R283" s="16"/>
      <c r="S283" s="16"/>
      <c r="T283" s="16"/>
      <c r="U283" s="49"/>
    </row>
    <row r="284" spans="1:21" x14ac:dyDescent="0.25">
      <c r="A284" s="1"/>
      <c r="B284" s="23" t="s">
        <v>480</v>
      </c>
      <c r="C284" s="1" t="s">
        <v>55</v>
      </c>
      <c r="D284" s="1">
        <v>1</v>
      </c>
      <c r="E284" s="16">
        <v>380000</v>
      </c>
      <c r="F284" s="21">
        <f t="shared" ref="F284:F291" si="38">D284*E284</f>
        <v>380000</v>
      </c>
      <c r="G284" s="1" t="s">
        <v>23</v>
      </c>
      <c r="H284" s="1" t="s">
        <v>28</v>
      </c>
      <c r="I284" s="1" t="s">
        <v>22</v>
      </c>
      <c r="J284" s="1"/>
      <c r="K284" s="1"/>
      <c r="L284" s="1"/>
      <c r="M284" s="88" t="s">
        <v>25</v>
      </c>
      <c r="N284" s="1"/>
      <c r="O284" s="1"/>
      <c r="P284" s="1"/>
      <c r="Q284" s="1"/>
      <c r="R284" s="1"/>
      <c r="S284" s="1"/>
      <c r="T284" s="1">
        <v>1</v>
      </c>
      <c r="U284" s="14">
        <f t="shared" ref="U284:U291" si="39">D284*E284</f>
        <v>380000</v>
      </c>
    </row>
    <row r="285" spans="1:21" x14ac:dyDescent="0.25">
      <c r="A285" s="1"/>
      <c r="B285" s="1" t="s">
        <v>85</v>
      </c>
      <c r="C285" s="1" t="s">
        <v>68</v>
      </c>
      <c r="D285" s="1">
        <v>2</v>
      </c>
      <c r="E285" s="4">
        <v>55000</v>
      </c>
      <c r="F285" s="4">
        <f t="shared" si="38"/>
        <v>110000</v>
      </c>
      <c r="G285" s="1" t="s">
        <v>23</v>
      </c>
      <c r="H285" s="1" t="s">
        <v>28</v>
      </c>
      <c r="I285" s="1" t="s">
        <v>22</v>
      </c>
      <c r="J285" s="1"/>
      <c r="K285" s="1"/>
      <c r="L285" s="1"/>
      <c r="M285" s="88" t="s">
        <v>25</v>
      </c>
      <c r="N285" s="1"/>
      <c r="O285" s="1"/>
      <c r="P285" s="1"/>
      <c r="Q285" s="1"/>
      <c r="R285" s="1"/>
      <c r="S285" s="1"/>
      <c r="T285" s="1">
        <v>2</v>
      </c>
      <c r="U285" s="14">
        <f t="shared" si="39"/>
        <v>110000</v>
      </c>
    </row>
    <row r="286" spans="1:21" x14ac:dyDescent="0.25">
      <c r="A286" s="1"/>
      <c r="B286" s="1" t="s">
        <v>86</v>
      </c>
      <c r="C286" s="1" t="s">
        <v>68</v>
      </c>
      <c r="D286" s="1">
        <v>2</v>
      </c>
      <c r="E286" s="4">
        <v>55000</v>
      </c>
      <c r="F286" s="4">
        <f t="shared" si="38"/>
        <v>110000</v>
      </c>
      <c r="G286" s="1" t="s">
        <v>23</v>
      </c>
      <c r="H286" s="1" t="s">
        <v>28</v>
      </c>
      <c r="I286" s="1" t="s">
        <v>22</v>
      </c>
      <c r="J286" s="1"/>
      <c r="K286" s="1"/>
      <c r="L286" s="1"/>
      <c r="M286" s="88" t="s">
        <v>25</v>
      </c>
      <c r="N286" s="1"/>
      <c r="O286" s="1"/>
      <c r="P286" s="1"/>
      <c r="Q286" s="1"/>
      <c r="R286" s="1"/>
      <c r="S286" s="1"/>
      <c r="T286" s="1">
        <v>2</v>
      </c>
      <c r="U286" s="14">
        <f t="shared" si="39"/>
        <v>110000</v>
      </c>
    </row>
    <row r="287" spans="1:21" x14ac:dyDescent="0.25">
      <c r="A287" s="1"/>
      <c r="B287" s="1" t="s">
        <v>87</v>
      </c>
      <c r="C287" s="1" t="s">
        <v>68</v>
      </c>
      <c r="D287" s="1">
        <v>2</v>
      </c>
      <c r="E287" s="4">
        <v>55000</v>
      </c>
      <c r="F287" s="4">
        <f t="shared" si="38"/>
        <v>110000</v>
      </c>
      <c r="G287" s="1" t="s">
        <v>23</v>
      </c>
      <c r="H287" s="1" t="s">
        <v>28</v>
      </c>
      <c r="I287" s="1" t="s">
        <v>22</v>
      </c>
      <c r="J287" s="1"/>
      <c r="K287" s="1"/>
      <c r="L287" s="1"/>
      <c r="M287" s="88" t="s">
        <v>25</v>
      </c>
      <c r="N287" s="1"/>
      <c r="O287" s="1"/>
      <c r="P287" s="1"/>
      <c r="Q287" s="1"/>
      <c r="R287" s="1"/>
      <c r="S287" s="1"/>
      <c r="T287" s="1">
        <v>2</v>
      </c>
      <c r="U287" s="14">
        <f t="shared" si="39"/>
        <v>110000</v>
      </c>
    </row>
    <row r="288" spans="1:21" x14ac:dyDescent="0.25">
      <c r="A288" s="1"/>
      <c r="B288" s="1" t="s">
        <v>88</v>
      </c>
      <c r="C288" s="1" t="s">
        <v>68</v>
      </c>
      <c r="D288" s="1">
        <v>2</v>
      </c>
      <c r="E288" s="4">
        <v>55000</v>
      </c>
      <c r="F288" s="4">
        <f t="shared" si="38"/>
        <v>110000</v>
      </c>
      <c r="G288" s="1" t="s">
        <v>23</v>
      </c>
      <c r="H288" s="1" t="s">
        <v>28</v>
      </c>
      <c r="I288" s="1" t="s">
        <v>22</v>
      </c>
      <c r="J288" s="1"/>
      <c r="K288" s="1"/>
      <c r="L288" s="1"/>
      <c r="M288" s="88" t="s">
        <v>25</v>
      </c>
      <c r="N288" s="1"/>
      <c r="O288" s="1"/>
      <c r="P288" s="1"/>
      <c r="Q288" s="1"/>
      <c r="R288" s="1"/>
      <c r="S288" s="1"/>
      <c r="T288" s="1">
        <v>2</v>
      </c>
      <c r="U288" s="14">
        <f t="shared" si="39"/>
        <v>110000</v>
      </c>
    </row>
    <row r="289" spans="1:21" ht="30" x14ac:dyDescent="0.25">
      <c r="A289" s="1"/>
      <c r="B289" s="23" t="s">
        <v>89</v>
      </c>
      <c r="C289" s="1" t="s">
        <v>68</v>
      </c>
      <c r="D289" s="1">
        <v>2</v>
      </c>
      <c r="E289" s="4">
        <v>178000</v>
      </c>
      <c r="F289" s="4">
        <f t="shared" si="38"/>
        <v>356000</v>
      </c>
      <c r="G289" s="1" t="s">
        <v>23</v>
      </c>
      <c r="H289" s="1" t="s">
        <v>28</v>
      </c>
      <c r="I289" s="1" t="s">
        <v>22</v>
      </c>
      <c r="J289" s="1"/>
      <c r="K289" s="1"/>
      <c r="L289" s="1"/>
      <c r="M289" s="88" t="s">
        <v>25</v>
      </c>
      <c r="N289" s="1"/>
      <c r="O289" s="1"/>
      <c r="P289" s="1"/>
      <c r="Q289" s="1"/>
      <c r="R289" s="1"/>
      <c r="S289" s="1"/>
      <c r="T289" s="1">
        <v>2</v>
      </c>
      <c r="U289" s="14">
        <f t="shared" si="39"/>
        <v>356000</v>
      </c>
    </row>
    <row r="290" spans="1:21" ht="30" x14ac:dyDescent="0.25">
      <c r="A290" s="1"/>
      <c r="B290" s="23" t="s">
        <v>90</v>
      </c>
      <c r="C290" s="1" t="s">
        <v>68</v>
      </c>
      <c r="D290" s="1">
        <v>2</v>
      </c>
      <c r="E290" s="4">
        <v>178000</v>
      </c>
      <c r="F290" s="4">
        <f t="shared" si="38"/>
        <v>356000</v>
      </c>
      <c r="G290" s="1" t="s">
        <v>23</v>
      </c>
      <c r="H290" s="1" t="s">
        <v>28</v>
      </c>
      <c r="I290" s="1" t="s">
        <v>22</v>
      </c>
      <c r="J290" s="1"/>
      <c r="K290" s="1"/>
      <c r="L290" s="1"/>
      <c r="M290" s="88" t="s">
        <v>25</v>
      </c>
      <c r="N290" s="1"/>
      <c r="O290" s="1"/>
      <c r="P290" s="1"/>
      <c r="Q290" s="1"/>
      <c r="R290" s="1"/>
      <c r="S290" s="1"/>
      <c r="T290" s="1">
        <v>2</v>
      </c>
      <c r="U290" s="14">
        <f t="shared" si="39"/>
        <v>356000</v>
      </c>
    </row>
    <row r="291" spans="1:21" x14ac:dyDescent="0.25">
      <c r="A291" s="1"/>
      <c r="B291" s="1" t="s">
        <v>77</v>
      </c>
      <c r="C291" s="1" t="s">
        <v>68</v>
      </c>
      <c r="D291" s="1">
        <v>3</v>
      </c>
      <c r="E291" s="4">
        <v>25000</v>
      </c>
      <c r="F291" s="4">
        <f t="shared" si="38"/>
        <v>75000</v>
      </c>
      <c r="G291" s="1" t="s">
        <v>23</v>
      </c>
      <c r="H291" s="1" t="s">
        <v>28</v>
      </c>
      <c r="I291" s="1" t="s">
        <v>22</v>
      </c>
      <c r="J291" s="1"/>
      <c r="K291" s="1"/>
      <c r="L291" s="1"/>
      <c r="M291" s="88" t="s">
        <v>25</v>
      </c>
      <c r="N291" s="1"/>
      <c r="O291" s="1"/>
      <c r="P291" s="1"/>
      <c r="Q291" s="1"/>
      <c r="R291" s="1"/>
      <c r="S291" s="1"/>
      <c r="T291" s="1">
        <v>3</v>
      </c>
      <c r="U291" s="14">
        <f t="shared" si="39"/>
        <v>75000</v>
      </c>
    </row>
    <row r="292" spans="1:21" x14ac:dyDescent="0.25">
      <c r="A292" s="1"/>
      <c r="B292" s="23"/>
      <c r="C292" s="1"/>
      <c r="D292" s="1"/>
      <c r="E292" s="16"/>
      <c r="F292" s="2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4"/>
    </row>
    <row r="293" spans="1:21" x14ac:dyDescent="0.25">
      <c r="A293" s="1"/>
      <c r="B293" s="23"/>
      <c r="C293" s="1"/>
      <c r="D293" s="1"/>
      <c r="E293" s="16"/>
      <c r="F293" s="2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4"/>
    </row>
    <row r="294" spans="1:21" x14ac:dyDescent="0.25">
      <c r="A294" s="1"/>
      <c r="B294" s="23"/>
      <c r="C294" s="1"/>
      <c r="D294" s="1"/>
      <c r="E294" s="16"/>
      <c r="F294" s="107">
        <f>SUM(F284:F293)</f>
        <v>1607000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4"/>
    </row>
    <row r="295" spans="1:21" x14ac:dyDescent="0.25">
      <c r="A295" s="1"/>
      <c r="B295" s="23"/>
      <c r="C295" s="1"/>
      <c r="D295" s="1"/>
      <c r="E295" s="16"/>
      <c r="F295" s="2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4"/>
    </row>
    <row r="296" spans="1:21" x14ac:dyDescent="0.25">
      <c r="A296" s="1"/>
      <c r="B296" s="23"/>
      <c r="C296" s="1"/>
      <c r="D296" s="1"/>
      <c r="E296" s="16"/>
      <c r="F296" s="2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4"/>
    </row>
    <row r="297" spans="1:21" x14ac:dyDescent="0.25">
      <c r="A297" s="1"/>
      <c r="B297" s="23"/>
      <c r="C297" s="1"/>
      <c r="D297" s="1"/>
      <c r="E297" s="16"/>
      <c r="F297" s="2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4"/>
    </row>
    <row r="298" spans="1:21" x14ac:dyDescent="0.25">
      <c r="A298" s="16"/>
      <c r="B298" s="16"/>
      <c r="C298" s="16"/>
      <c r="D298" s="16"/>
      <c r="E298" s="21"/>
      <c r="F298" s="21"/>
      <c r="G298" s="16"/>
      <c r="H298" s="16"/>
      <c r="I298" s="16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4">
        <f>D298*E298</f>
        <v>0</v>
      </c>
    </row>
    <row r="299" spans="1:21" x14ac:dyDescent="0.25">
      <c r="A299" s="16"/>
      <c r="B299" s="16"/>
      <c r="C299" s="16"/>
      <c r="D299" s="16"/>
      <c r="E299" s="16"/>
      <c r="F299" s="21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49"/>
    </row>
    <row r="300" spans="1:21" x14ac:dyDescent="0.25">
      <c r="A300" s="16"/>
      <c r="B300" s="16"/>
      <c r="C300" s="16"/>
      <c r="D300" s="16"/>
      <c r="E300" s="16"/>
      <c r="F300" s="109"/>
      <c r="G300" s="16"/>
      <c r="H300" s="16"/>
      <c r="I300" s="16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4"/>
    </row>
    <row r="301" spans="1:21" x14ac:dyDescent="0.25">
      <c r="A301" s="17"/>
      <c r="B301" s="17"/>
      <c r="C301" s="17"/>
      <c r="D301" s="17"/>
      <c r="E301" s="17"/>
      <c r="F301" s="46"/>
      <c r="G301" s="17"/>
      <c r="H301" s="17"/>
      <c r="I301" s="17"/>
      <c r="U301" s="85"/>
    </row>
    <row r="304" spans="1:21" x14ac:dyDescent="0.25">
      <c r="B304" s="158" t="s">
        <v>426</v>
      </c>
      <c r="C304" s="159"/>
      <c r="D304" s="160"/>
      <c r="E304" s="3" t="s">
        <v>469</v>
      </c>
    </row>
    <row r="305" spans="1:21" ht="15.75" x14ac:dyDescent="0.25">
      <c r="A305">
        <v>1</v>
      </c>
      <c r="B305" s="155" t="s">
        <v>427</v>
      </c>
      <c r="C305" s="155"/>
      <c r="D305" s="155"/>
      <c r="E305" s="106">
        <v>93300</v>
      </c>
    </row>
    <row r="306" spans="1:21" x14ac:dyDescent="0.25">
      <c r="A306">
        <v>2</v>
      </c>
      <c r="B306" s="156" t="s">
        <v>442</v>
      </c>
      <c r="C306" s="156"/>
      <c r="D306" s="156"/>
      <c r="E306" s="106">
        <v>3837800</v>
      </c>
    </row>
    <row r="307" spans="1:21" x14ac:dyDescent="0.25">
      <c r="A307">
        <v>3</v>
      </c>
      <c r="B307" s="100" t="s">
        <v>443</v>
      </c>
      <c r="C307" s="100"/>
      <c r="D307" s="100"/>
      <c r="E307" s="106">
        <v>112800</v>
      </c>
    </row>
    <row r="308" spans="1:21" x14ac:dyDescent="0.25">
      <c r="A308">
        <v>4</v>
      </c>
      <c r="B308" s="147" t="s">
        <v>444</v>
      </c>
      <c r="C308" s="147"/>
      <c r="D308" s="147"/>
      <c r="E308" s="106">
        <v>55500</v>
      </c>
    </row>
    <row r="309" spans="1:21" s="129" customFormat="1" x14ac:dyDescent="0.25">
      <c r="A309" s="129">
        <v>5</v>
      </c>
      <c r="B309" s="148" t="s">
        <v>445</v>
      </c>
      <c r="C309" s="148"/>
      <c r="D309" s="148"/>
      <c r="E309" s="111">
        <v>17193000</v>
      </c>
      <c r="F309" s="131">
        <v>7000000</v>
      </c>
    </row>
    <row r="310" spans="1:21" x14ac:dyDescent="0.25">
      <c r="A310">
        <v>6</v>
      </c>
      <c r="B310" s="101" t="s">
        <v>446</v>
      </c>
      <c r="C310" s="101"/>
      <c r="D310" s="101"/>
      <c r="E310" s="106">
        <v>930000</v>
      </c>
    </row>
    <row r="311" spans="1:21" x14ac:dyDescent="0.25">
      <c r="A311">
        <v>7</v>
      </c>
      <c r="B311" s="149" t="s">
        <v>453</v>
      </c>
      <c r="C311" s="150"/>
      <c r="D311" s="151"/>
      <c r="E311" s="106">
        <v>1487140</v>
      </c>
    </row>
    <row r="312" spans="1:21" s="17" customFormat="1" x14ac:dyDescent="0.25">
      <c r="A312">
        <v>8</v>
      </c>
      <c r="B312" s="149" t="s">
        <v>468</v>
      </c>
      <c r="C312" s="150"/>
      <c r="D312" s="151"/>
      <c r="E312" s="106">
        <v>404300</v>
      </c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</row>
    <row r="313" spans="1:21" x14ac:dyDescent="0.25">
      <c r="A313">
        <v>9</v>
      </c>
      <c r="B313" s="156" t="s">
        <v>454</v>
      </c>
      <c r="C313" s="156"/>
      <c r="D313" s="156"/>
      <c r="E313" s="106">
        <v>5432780</v>
      </c>
    </row>
    <row r="314" spans="1:21" x14ac:dyDescent="0.25">
      <c r="A314">
        <v>10</v>
      </c>
      <c r="B314" s="156" t="s">
        <v>455</v>
      </c>
      <c r="C314" s="156"/>
      <c r="D314" s="156"/>
      <c r="E314" s="106">
        <v>3408000</v>
      </c>
    </row>
    <row r="315" spans="1:21" x14ac:dyDescent="0.25">
      <c r="A315">
        <v>11</v>
      </c>
      <c r="B315" s="156" t="s">
        <v>456</v>
      </c>
      <c r="C315" s="156"/>
      <c r="D315" s="156"/>
      <c r="E315" s="106">
        <v>129000</v>
      </c>
    </row>
    <row r="316" spans="1:21" s="129" customFormat="1" x14ac:dyDescent="0.25">
      <c r="A316" s="129">
        <v>12</v>
      </c>
      <c r="B316" s="148" t="s">
        <v>457</v>
      </c>
      <c r="C316" s="148"/>
      <c r="D316" s="148"/>
      <c r="E316" s="111">
        <v>23500000</v>
      </c>
      <c r="F316" s="131">
        <v>10000000</v>
      </c>
    </row>
    <row r="317" spans="1:21" s="129" customFormat="1" x14ac:dyDescent="0.25">
      <c r="A317" s="129">
        <v>13</v>
      </c>
      <c r="B317" s="148" t="s">
        <v>458</v>
      </c>
      <c r="C317" s="148"/>
      <c r="D317" s="148"/>
      <c r="E317" s="111">
        <v>5088000</v>
      </c>
      <c r="F317" s="130">
        <v>2435990</v>
      </c>
    </row>
    <row r="318" spans="1:21" x14ac:dyDescent="0.25">
      <c r="A318">
        <v>14</v>
      </c>
      <c r="B318" s="156" t="s">
        <v>459</v>
      </c>
      <c r="C318" s="156"/>
      <c r="D318" s="156"/>
      <c r="E318" s="106">
        <v>80000</v>
      </c>
    </row>
    <row r="319" spans="1:21" x14ac:dyDescent="0.25">
      <c r="A319">
        <v>15</v>
      </c>
      <c r="B319" s="156" t="s">
        <v>460</v>
      </c>
      <c r="C319" s="156"/>
      <c r="D319" s="156"/>
      <c r="E319" s="106">
        <v>11391716</v>
      </c>
    </row>
    <row r="320" spans="1:21" x14ac:dyDescent="0.25">
      <c r="A320">
        <v>16</v>
      </c>
      <c r="B320" s="156" t="s">
        <v>461</v>
      </c>
      <c r="C320" s="156"/>
      <c r="D320" s="156"/>
      <c r="E320" s="106">
        <v>1929430</v>
      </c>
    </row>
    <row r="321" spans="1:5" x14ac:dyDescent="0.25">
      <c r="A321">
        <v>17</v>
      </c>
      <c r="B321" s="156" t="s">
        <v>462</v>
      </c>
      <c r="C321" s="156"/>
      <c r="D321" s="156"/>
      <c r="E321" s="106">
        <v>8000000</v>
      </c>
    </row>
    <row r="322" spans="1:5" x14ac:dyDescent="0.25">
      <c r="A322">
        <v>18</v>
      </c>
      <c r="B322" s="156" t="s">
        <v>463</v>
      </c>
      <c r="C322" s="156"/>
      <c r="D322" s="156"/>
      <c r="E322" s="106">
        <v>105000</v>
      </c>
    </row>
    <row r="323" spans="1:5" x14ac:dyDescent="0.25">
      <c r="A323">
        <v>19</v>
      </c>
      <c r="B323" s="156" t="s">
        <v>464</v>
      </c>
      <c r="C323" s="156"/>
      <c r="D323" s="156"/>
      <c r="E323" s="106">
        <v>236000</v>
      </c>
    </row>
    <row r="324" spans="1:5" x14ac:dyDescent="0.25">
      <c r="A324">
        <v>20</v>
      </c>
      <c r="B324" s="156" t="s">
        <v>465</v>
      </c>
      <c r="C324" s="156"/>
      <c r="D324" s="156"/>
      <c r="E324" s="106">
        <v>1145863</v>
      </c>
    </row>
    <row r="325" spans="1:5" x14ac:dyDescent="0.25">
      <c r="A325">
        <v>21</v>
      </c>
      <c r="B325" s="156" t="s">
        <v>466</v>
      </c>
      <c r="C325" s="156"/>
      <c r="D325" s="156"/>
      <c r="E325" s="106">
        <v>43000000</v>
      </c>
    </row>
    <row r="326" spans="1:5" x14ac:dyDescent="0.25">
      <c r="A326">
        <v>22</v>
      </c>
      <c r="B326" s="156" t="s">
        <v>467</v>
      </c>
      <c r="C326" s="156"/>
      <c r="D326" s="156"/>
      <c r="E326" s="106">
        <v>167421</v>
      </c>
    </row>
    <row r="327" spans="1:5" x14ac:dyDescent="0.25">
      <c r="A327">
        <v>23</v>
      </c>
      <c r="B327" s="149" t="s">
        <v>471</v>
      </c>
      <c r="C327" s="150"/>
      <c r="D327" s="151"/>
      <c r="E327" s="106">
        <v>750000</v>
      </c>
    </row>
    <row r="328" spans="1:5" x14ac:dyDescent="0.25">
      <c r="A328">
        <v>25</v>
      </c>
      <c r="B328" s="162" t="s">
        <v>479</v>
      </c>
      <c r="C328" s="163"/>
      <c r="D328" s="164"/>
      <c r="E328" s="106">
        <v>1607000</v>
      </c>
    </row>
    <row r="329" spans="1:5" x14ac:dyDescent="0.25">
      <c r="B329" s="161" t="s">
        <v>470</v>
      </c>
      <c r="C329" s="161"/>
      <c r="D329" s="161"/>
      <c r="E329" s="106">
        <f>SUM(E305:E328)</f>
        <v>130084050</v>
      </c>
    </row>
    <row r="333" spans="1:5" x14ac:dyDescent="0.25">
      <c r="B333" s="125" t="s">
        <v>532</v>
      </c>
    </row>
    <row r="334" spans="1:5" x14ac:dyDescent="0.25">
      <c r="B334" s="104" t="s">
        <v>446</v>
      </c>
      <c r="C334" s="104"/>
      <c r="D334" s="104"/>
      <c r="E334" s="106">
        <v>930000</v>
      </c>
    </row>
    <row r="335" spans="1:5" x14ac:dyDescent="0.25">
      <c r="B335" s="1" t="s">
        <v>458</v>
      </c>
      <c r="C335" s="1"/>
      <c r="D335" s="1"/>
      <c r="E335" s="3">
        <v>5088000</v>
      </c>
    </row>
    <row r="336" spans="1:5" x14ac:dyDescent="0.25">
      <c r="B336" s="1" t="s">
        <v>460</v>
      </c>
      <c r="C336" s="1"/>
      <c r="D336" s="1"/>
      <c r="E336" s="3">
        <v>11391716</v>
      </c>
    </row>
    <row r="337" spans="2:5" x14ac:dyDescent="0.25">
      <c r="B337" s="1" t="s">
        <v>461</v>
      </c>
      <c r="C337" s="1"/>
      <c r="D337" s="1"/>
      <c r="E337" s="3">
        <v>1929430</v>
      </c>
    </row>
    <row r="338" spans="2:5" x14ac:dyDescent="0.25">
      <c r="B338" s="1" t="s">
        <v>462</v>
      </c>
      <c r="C338" s="1"/>
      <c r="D338" s="1"/>
      <c r="E338" s="3">
        <v>8000000</v>
      </c>
    </row>
    <row r="339" spans="2:5" x14ac:dyDescent="0.25">
      <c r="B339" s="1" t="s">
        <v>463</v>
      </c>
      <c r="C339" s="1"/>
      <c r="D339" s="1"/>
      <c r="E339" s="3">
        <v>105000</v>
      </c>
    </row>
    <row r="340" spans="2:5" x14ac:dyDescent="0.25">
      <c r="B340" s="1" t="s">
        <v>464</v>
      </c>
      <c r="C340" s="1"/>
      <c r="D340" s="1"/>
      <c r="E340" s="3">
        <v>236000</v>
      </c>
    </row>
    <row r="341" spans="2:5" x14ac:dyDescent="0.25">
      <c r="B341" s="1"/>
      <c r="C341" s="1"/>
      <c r="D341" s="1"/>
      <c r="E341" s="126">
        <f>SUM(E334:E340)</f>
        <v>27680146</v>
      </c>
    </row>
    <row r="345" spans="2:5" x14ac:dyDescent="0.25">
      <c r="B345" s="127" t="s">
        <v>533</v>
      </c>
      <c r="E345" s="126">
        <v>27680146</v>
      </c>
    </row>
    <row r="346" spans="2:5" x14ac:dyDescent="0.25">
      <c r="B346" t="s">
        <v>534</v>
      </c>
      <c r="E346" s="128">
        <v>130084050</v>
      </c>
    </row>
    <row r="348" spans="2:5" x14ac:dyDescent="0.25">
      <c r="B348" t="s">
        <v>535</v>
      </c>
      <c r="E348" s="125">
        <f>E345/E346*100</f>
        <v>21.278662526266672</v>
      </c>
    </row>
  </sheetData>
  <mergeCells count="47">
    <mergeCell ref="B329:D329"/>
    <mergeCell ref="B323:D323"/>
    <mergeCell ref="B324:D324"/>
    <mergeCell ref="B325:D325"/>
    <mergeCell ref="B326:D326"/>
    <mergeCell ref="B327:D327"/>
    <mergeCell ref="B328:D328"/>
    <mergeCell ref="B318:D318"/>
    <mergeCell ref="B319:D319"/>
    <mergeCell ref="B320:D320"/>
    <mergeCell ref="B321:D321"/>
    <mergeCell ref="B322:D322"/>
    <mergeCell ref="B313:D313"/>
    <mergeCell ref="B314:D314"/>
    <mergeCell ref="B315:D315"/>
    <mergeCell ref="B316:D316"/>
    <mergeCell ref="B317:D317"/>
    <mergeCell ref="B308:D308"/>
    <mergeCell ref="B309:D309"/>
    <mergeCell ref="B312:D312"/>
    <mergeCell ref="B311:D311"/>
    <mergeCell ref="E1:H1"/>
    <mergeCell ref="A5:B5"/>
    <mergeCell ref="B305:D305"/>
    <mergeCell ref="B306:D306"/>
    <mergeCell ref="A99:B99"/>
    <mergeCell ref="A147:B147"/>
    <mergeCell ref="A156:B156"/>
    <mergeCell ref="A163:B163"/>
    <mergeCell ref="A180:B180"/>
    <mergeCell ref="A187:B187"/>
    <mergeCell ref="A270:B270"/>
    <mergeCell ref="B304:D304"/>
    <mergeCell ref="N2:U2"/>
    <mergeCell ref="A81:B81"/>
    <mergeCell ref="N3:O3"/>
    <mergeCell ref="P3:Q3"/>
    <mergeCell ref="R3:S3"/>
    <mergeCell ref="T3:U3"/>
    <mergeCell ref="A41:B41"/>
    <mergeCell ref="A35:B35"/>
    <mergeCell ref="A276:B276"/>
    <mergeCell ref="A215:B215"/>
    <mergeCell ref="A241:B241"/>
    <mergeCell ref="A245:B245"/>
    <mergeCell ref="A254:B254"/>
    <mergeCell ref="A264:B26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84"/>
  <sheetViews>
    <sheetView tabSelected="1" topLeftCell="A262" zoomScale="110" zoomScaleNormal="110" workbookViewId="0">
      <selection activeCell="E244" sqref="E244"/>
    </sheetView>
  </sheetViews>
  <sheetFormatPr defaultRowHeight="15" x14ac:dyDescent="0.25"/>
  <cols>
    <col min="1" max="1" width="15" customWidth="1"/>
    <col min="2" max="2" width="29.85546875" customWidth="1"/>
    <col min="3" max="3" width="7.85546875" customWidth="1"/>
    <col min="4" max="4" width="6.7109375" customWidth="1"/>
    <col min="5" max="5" width="16.7109375" customWidth="1"/>
    <col min="6" max="6" width="19.42578125" customWidth="1"/>
    <col min="7" max="7" width="10" customWidth="1"/>
    <col min="8" max="8" width="19.140625" customWidth="1"/>
    <col min="9" max="9" width="11.7109375" customWidth="1"/>
    <col min="15" max="15" width="12.140625" customWidth="1"/>
    <col min="17" max="17" width="11.140625" customWidth="1"/>
    <col min="19" max="19" width="11.7109375" customWidth="1"/>
    <col min="20" max="20" width="9.7109375" customWidth="1"/>
    <col min="21" max="21" width="16.140625" customWidth="1"/>
  </cols>
  <sheetData>
    <row r="1" spans="1:21" x14ac:dyDescent="0.25">
      <c r="E1" s="152" t="s">
        <v>472</v>
      </c>
      <c r="F1" s="152"/>
      <c r="G1" s="152"/>
      <c r="H1" s="152"/>
    </row>
    <row r="2" spans="1:21" ht="30" x14ac:dyDescent="0.25">
      <c r="A2" s="7"/>
      <c r="B2" s="8" t="s">
        <v>0</v>
      </c>
      <c r="C2" s="8" t="s">
        <v>42</v>
      </c>
      <c r="D2" s="9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9" t="s">
        <v>7</v>
      </c>
      <c r="K2" s="9" t="s">
        <v>8</v>
      </c>
      <c r="L2" s="9" t="s">
        <v>9</v>
      </c>
      <c r="M2" s="9" t="s">
        <v>16</v>
      </c>
      <c r="N2" s="138" t="s">
        <v>10</v>
      </c>
      <c r="O2" s="139"/>
      <c r="P2" s="139"/>
      <c r="Q2" s="139"/>
      <c r="R2" s="139"/>
      <c r="S2" s="139"/>
      <c r="T2" s="139"/>
      <c r="U2" s="140"/>
    </row>
    <row r="3" spans="1:21" x14ac:dyDescent="0.25">
      <c r="A3" s="7"/>
      <c r="B3" s="8"/>
      <c r="C3" s="8"/>
      <c r="D3" s="9"/>
      <c r="E3" s="8"/>
      <c r="F3" s="8"/>
      <c r="G3" s="8"/>
      <c r="H3" s="8"/>
      <c r="I3" s="8"/>
      <c r="J3" s="9"/>
      <c r="K3" s="9"/>
      <c r="L3" s="9"/>
      <c r="M3" s="9"/>
      <c r="N3" s="143" t="s">
        <v>11</v>
      </c>
      <c r="O3" s="144"/>
      <c r="P3" s="143" t="s">
        <v>12</v>
      </c>
      <c r="Q3" s="144"/>
      <c r="R3" s="143" t="s">
        <v>13</v>
      </c>
      <c r="S3" s="144"/>
      <c r="T3" s="143" t="s">
        <v>14</v>
      </c>
      <c r="U3" s="144"/>
    </row>
    <row r="4" spans="1:21" x14ac:dyDescent="0.25">
      <c r="A4" s="7"/>
      <c r="B4" s="8"/>
      <c r="C4" s="8"/>
      <c r="D4" s="9"/>
      <c r="E4" s="8"/>
      <c r="F4" s="8"/>
      <c r="G4" s="8"/>
      <c r="H4" s="8"/>
      <c r="I4" s="8"/>
      <c r="J4" s="9"/>
      <c r="K4" s="9"/>
      <c r="L4" s="9"/>
      <c r="M4" s="9"/>
      <c r="N4" t="s">
        <v>1</v>
      </c>
      <c r="O4" s="10" t="s">
        <v>15</v>
      </c>
      <c r="P4" t="s">
        <v>1</v>
      </c>
      <c r="Q4" s="1" t="s">
        <v>15</v>
      </c>
      <c r="R4" t="s">
        <v>1</v>
      </c>
      <c r="S4" s="1" t="s">
        <v>15</v>
      </c>
      <c r="T4" t="s">
        <v>1</v>
      </c>
      <c r="U4" s="1" t="s">
        <v>15</v>
      </c>
    </row>
    <row r="5" spans="1:21" x14ac:dyDescent="0.25">
      <c r="A5" s="3" t="s">
        <v>17</v>
      </c>
      <c r="B5" s="6"/>
      <c r="C5" s="6"/>
      <c r="D5" s="1"/>
      <c r="E5" s="4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">
        <v>1</v>
      </c>
      <c r="B6" s="1" t="s">
        <v>18</v>
      </c>
      <c r="C6" s="1"/>
      <c r="D6" s="1">
        <v>1</v>
      </c>
      <c r="E6" s="4">
        <v>10000</v>
      </c>
      <c r="F6" s="4">
        <f>D6*E6</f>
        <v>10000</v>
      </c>
      <c r="G6" s="1" t="s">
        <v>23</v>
      </c>
      <c r="H6" s="1" t="s">
        <v>24</v>
      </c>
      <c r="I6" s="1" t="s">
        <v>22</v>
      </c>
      <c r="J6" s="1"/>
      <c r="K6" s="1"/>
      <c r="L6" s="1"/>
      <c r="M6" s="12" t="s">
        <v>25</v>
      </c>
      <c r="N6" s="1"/>
      <c r="O6" s="1"/>
      <c r="P6" s="1"/>
      <c r="Q6" s="1"/>
      <c r="R6" s="1"/>
      <c r="S6" s="1"/>
      <c r="T6" s="1">
        <v>1</v>
      </c>
      <c r="U6" s="14">
        <f>D6*E6</f>
        <v>10000</v>
      </c>
    </row>
    <row r="7" spans="1:21" x14ac:dyDescent="0.25">
      <c r="A7" s="1">
        <v>2</v>
      </c>
      <c r="B7" s="1" t="s">
        <v>19</v>
      </c>
      <c r="C7" s="1"/>
      <c r="D7" s="1">
        <v>1</v>
      </c>
      <c r="E7" s="4">
        <v>10000</v>
      </c>
      <c r="F7" s="4">
        <f t="shared" ref="F7:F116" si="0">D7*E7</f>
        <v>10000</v>
      </c>
      <c r="G7" s="1" t="s">
        <v>23</v>
      </c>
      <c r="H7" s="1" t="s">
        <v>24</v>
      </c>
      <c r="I7" s="1" t="s">
        <v>22</v>
      </c>
      <c r="J7" s="1"/>
      <c r="K7" s="1"/>
      <c r="L7" s="1"/>
      <c r="M7" s="12" t="s">
        <v>25</v>
      </c>
      <c r="N7" s="1"/>
      <c r="O7" s="1"/>
      <c r="P7" s="1"/>
      <c r="Q7" s="1"/>
      <c r="R7" s="1"/>
      <c r="S7" s="1"/>
      <c r="T7" s="1">
        <v>1</v>
      </c>
      <c r="U7" s="14">
        <f t="shared" ref="U7:U116" si="1">D7*E7</f>
        <v>10000</v>
      </c>
    </row>
    <row r="8" spans="1:21" x14ac:dyDescent="0.25">
      <c r="A8" s="1">
        <v>3</v>
      </c>
      <c r="B8" s="1" t="s">
        <v>20</v>
      </c>
      <c r="C8" s="1"/>
      <c r="D8" s="1">
        <v>1</v>
      </c>
      <c r="E8" s="4">
        <v>50000</v>
      </c>
      <c r="F8" s="4">
        <f t="shared" si="0"/>
        <v>50000</v>
      </c>
      <c r="G8" s="1" t="s">
        <v>23</v>
      </c>
      <c r="H8" s="1" t="s">
        <v>24</v>
      </c>
      <c r="I8" s="1" t="s">
        <v>22</v>
      </c>
      <c r="J8" s="1"/>
      <c r="K8" s="1"/>
      <c r="L8" s="1"/>
      <c r="M8" s="12" t="s">
        <v>25</v>
      </c>
      <c r="N8" s="1"/>
      <c r="O8" s="1"/>
      <c r="P8" s="1"/>
      <c r="Q8" s="1"/>
      <c r="R8" s="1"/>
      <c r="S8" s="1"/>
      <c r="T8" s="1">
        <v>1</v>
      </c>
      <c r="U8" s="14">
        <f t="shared" si="1"/>
        <v>50000</v>
      </c>
    </row>
    <row r="9" spans="1:21" x14ac:dyDescent="0.25">
      <c r="A9" s="1">
        <v>4</v>
      </c>
      <c r="B9" s="1" t="s">
        <v>358</v>
      </c>
      <c r="C9" s="1"/>
      <c r="D9" s="1">
        <v>1</v>
      </c>
      <c r="E9" s="4">
        <v>10000</v>
      </c>
      <c r="F9" s="4">
        <f>D9*E9</f>
        <v>10000</v>
      </c>
      <c r="G9" s="1" t="s">
        <v>23</v>
      </c>
      <c r="H9" s="1" t="s">
        <v>24</v>
      </c>
      <c r="I9" s="1" t="s">
        <v>22</v>
      </c>
      <c r="J9" s="1"/>
      <c r="K9" s="1"/>
      <c r="L9" s="1"/>
      <c r="M9" s="12"/>
      <c r="N9" s="1"/>
      <c r="O9" s="1"/>
      <c r="P9" s="1"/>
      <c r="Q9" s="1"/>
      <c r="R9" s="1"/>
      <c r="S9" s="1"/>
      <c r="T9" s="1"/>
      <c r="U9" s="14"/>
    </row>
    <row r="10" spans="1:21" x14ac:dyDescent="0.25">
      <c r="A10" s="36">
        <v>5</v>
      </c>
      <c r="B10" s="36" t="s">
        <v>192</v>
      </c>
      <c r="C10" s="36"/>
      <c r="D10" s="36">
        <v>1</v>
      </c>
      <c r="E10" s="37"/>
      <c r="F10" s="37"/>
      <c r="G10" s="36" t="s">
        <v>23</v>
      </c>
      <c r="H10" s="36" t="s">
        <v>24</v>
      </c>
      <c r="I10" s="36" t="s">
        <v>22</v>
      </c>
      <c r="J10" s="36"/>
      <c r="K10" s="36"/>
      <c r="L10" s="36"/>
      <c r="M10" s="38" t="s">
        <v>25</v>
      </c>
      <c r="N10" s="1"/>
      <c r="O10" s="1"/>
      <c r="P10" s="1"/>
      <c r="Q10" s="1"/>
      <c r="R10" s="1"/>
      <c r="S10" s="1"/>
      <c r="T10" s="1"/>
      <c r="U10" s="14"/>
    </row>
    <row r="11" spans="1:21" x14ac:dyDescent="0.25">
      <c r="A11" s="1"/>
      <c r="B11" s="1"/>
      <c r="C11" s="1"/>
      <c r="D11" s="1"/>
      <c r="E11" s="4"/>
      <c r="F11" s="4"/>
      <c r="G11" s="1"/>
      <c r="H11" s="1"/>
      <c r="I11" s="1"/>
      <c r="J11" s="1"/>
      <c r="K11" s="1"/>
      <c r="L11" s="1"/>
      <c r="M11" s="12"/>
      <c r="N11" s="1"/>
      <c r="O11" s="1"/>
      <c r="P11" s="1"/>
      <c r="Q11" s="1"/>
      <c r="R11" s="1"/>
      <c r="S11" s="1"/>
      <c r="T11" s="1"/>
      <c r="U11" s="14"/>
    </row>
    <row r="12" spans="1:21" x14ac:dyDescent="0.25">
      <c r="A12" s="1"/>
      <c r="B12" s="1"/>
      <c r="C12" s="1"/>
      <c r="D12" s="1"/>
      <c r="E12" s="4"/>
      <c r="F12" s="4"/>
      <c r="G12" s="1"/>
      <c r="H12" s="1"/>
      <c r="I12" s="1"/>
      <c r="J12" s="1"/>
      <c r="K12" s="1"/>
      <c r="L12" s="1"/>
      <c r="M12" s="12"/>
      <c r="N12" s="1"/>
      <c r="O12" s="1"/>
      <c r="P12" s="1"/>
      <c r="Q12" s="1"/>
      <c r="R12" s="1"/>
      <c r="S12" s="1"/>
      <c r="T12" s="1"/>
      <c r="U12" s="14"/>
    </row>
    <row r="13" spans="1:21" x14ac:dyDescent="0.25">
      <c r="A13" s="3" t="s">
        <v>26</v>
      </c>
      <c r="B13" s="3"/>
      <c r="C13" s="3"/>
      <c r="D13" s="1"/>
      <c r="E13" s="4"/>
      <c r="F13" s="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4">
        <f t="shared" si="1"/>
        <v>0</v>
      </c>
    </row>
    <row r="14" spans="1:21" ht="63" x14ac:dyDescent="0.25">
      <c r="A14" s="1">
        <v>1</v>
      </c>
      <c r="B14" s="15" t="s">
        <v>303</v>
      </c>
      <c r="C14" s="1" t="s">
        <v>91</v>
      </c>
      <c r="D14" s="1">
        <v>0</v>
      </c>
      <c r="E14" s="4">
        <v>72000</v>
      </c>
      <c r="F14" s="4">
        <f t="shared" ref="F14:F35" si="2">D14*E14</f>
        <v>0</v>
      </c>
      <c r="G14" s="1"/>
      <c r="H14" s="1" t="s">
        <v>24</v>
      </c>
      <c r="I14" s="1" t="s">
        <v>22</v>
      </c>
      <c r="J14" s="1"/>
      <c r="K14" s="1"/>
      <c r="L14" s="1"/>
      <c r="M14" s="12" t="s">
        <v>25</v>
      </c>
      <c r="N14" s="1">
        <v>0</v>
      </c>
      <c r="O14" s="72">
        <f>E14*N14</f>
        <v>0</v>
      </c>
      <c r="P14" s="1"/>
      <c r="Q14" s="72">
        <f>E14*P14</f>
        <v>0</v>
      </c>
      <c r="R14" s="1"/>
      <c r="S14" s="72">
        <f>E14*R14</f>
        <v>0</v>
      </c>
      <c r="T14" s="1"/>
      <c r="U14" s="14">
        <f>E14*T14</f>
        <v>0</v>
      </c>
    </row>
    <row r="15" spans="1:21" ht="31.5" x14ac:dyDescent="0.25">
      <c r="A15" s="1">
        <v>2</v>
      </c>
      <c r="B15" s="15" t="s">
        <v>285</v>
      </c>
      <c r="C15" s="1" t="s">
        <v>61</v>
      </c>
      <c r="D15" s="1">
        <v>20</v>
      </c>
      <c r="E15" s="4">
        <v>3600</v>
      </c>
      <c r="F15" s="4">
        <f>D15*E15</f>
        <v>72000</v>
      </c>
      <c r="G15" s="1"/>
      <c r="H15" s="1" t="s">
        <v>28</v>
      </c>
      <c r="I15" s="1" t="s">
        <v>22</v>
      </c>
      <c r="J15" s="1"/>
      <c r="K15" s="1"/>
      <c r="L15" s="1"/>
      <c r="M15" s="1"/>
      <c r="N15" s="1">
        <v>10</v>
      </c>
      <c r="O15" s="72">
        <f t="shared" ref="O15:O35" si="3">E15*N15</f>
        <v>36000</v>
      </c>
      <c r="P15" s="1"/>
      <c r="Q15" s="72">
        <f>E15*P15</f>
        <v>0</v>
      </c>
      <c r="R15" s="1">
        <v>10</v>
      </c>
      <c r="S15" s="72">
        <f>E15*R15</f>
        <v>36000</v>
      </c>
      <c r="T15" s="1"/>
      <c r="U15" s="14">
        <f>E15*T15</f>
        <v>0</v>
      </c>
    </row>
    <row r="16" spans="1:21" ht="15.75" x14ac:dyDescent="0.25">
      <c r="A16" s="1">
        <v>3</v>
      </c>
      <c r="B16" s="15" t="s">
        <v>132</v>
      </c>
      <c r="C16" s="1" t="s">
        <v>135</v>
      </c>
      <c r="D16" s="1">
        <v>8</v>
      </c>
      <c r="E16" s="4">
        <v>600</v>
      </c>
      <c r="F16" s="4">
        <f t="shared" ref="F16:F18" si="4">D16*E16</f>
        <v>4800</v>
      </c>
      <c r="G16" s="1"/>
      <c r="H16" s="1" t="s">
        <v>28</v>
      </c>
      <c r="I16" s="1" t="s">
        <v>22</v>
      </c>
      <c r="J16" s="1"/>
      <c r="K16" s="1"/>
      <c r="L16" s="1"/>
      <c r="M16" s="1"/>
      <c r="N16" s="1">
        <v>2</v>
      </c>
      <c r="O16" s="72">
        <f t="shared" si="3"/>
        <v>1200</v>
      </c>
      <c r="P16" s="1">
        <v>2</v>
      </c>
      <c r="Q16" s="72">
        <f>E16*P16</f>
        <v>1200</v>
      </c>
      <c r="R16" s="1">
        <v>2</v>
      </c>
      <c r="S16" s="72">
        <f t="shared" ref="S16:S35" si="5">E16*R16</f>
        <v>1200</v>
      </c>
      <c r="T16" s="1">
        <v>2</v>
      </c>
      <c r="U16" s="14">
        <f>E16*T16</f>
        <v>1200</v>
      </c>
    </row>
    <row r="17" spans="1:21" ht="15.75" x14ac:dyDescent="0.25">
      <c r="A17" s="1">
        <v>4</v>
      </c>
      <c r="B17" s="15" t="s">
        <v>133</v>
      </c>
      <c r="C17" s="1" t="s">
        <v>136</v>
      </c>
      <c r="D17" s="1">
        <v>5</v>
      </c>
      <c r="E17" s="4">
        <v>3600</v>
      </c>
      <c r="F17" s="4">
        <f t="shared" si="4"/>
        <v>18000</v>
      </c>
      <c r="G17" s="1"/>
      <c r="H17" s="1" t="s">
        <v>28</v>
      </c>
      <c r="I17" s="1" t="s">
        <v>22</v>
      </c>
      <c r="J17" s="1"/>
      <c r="K17" s="1"/>
      <c r="L17" s="1"/>
      <c r="M17" s="1"/>
      <c r="N17" s="1">
        <v>2</v>
      </c>
      <c r="O17" s="72">
        <f t="shared" si="3"/>
        <v>7200</v>
      </c>
      <c r="P17" s="1"/>
      <c r="Q17" s="72">
        <f t="shared" ref="Q17:Q35" si="6">E17*P17</f>
        <v>0</v>
      </c>
      <c r="R17" s="1">
        <v>3</v>
      </c>
      <c r="S17" s="72">
        <f t="shared" si="5"/>
        <v>10800</v>
      </c>
      <c r="T17" s="1"/>
      <c r="U17" s="14">
        <f t="shared" ref="U17:U35" si="7">E17*T17</f>
        <v>0</v>
      </c>
    </row>
    <row r="18" spans="1:21" ht="15.75" x14ac:dyDescent="0.25">
      <c r="A18" s="1">
        <v>5</v>
      </c>
      <c r="B18" s="15" t="s">
        <v>134</v>
      </c>
      <c r="C18" s="1" t="s">
        <v>137</v>
      </c>
      <c r="D18" s="1">
        <v>8</v>
      </c>
      <c r="E18" s="4">
        <v>2600</v>
      </c>
      <c r="F18" s="4">
        <f t="shared" si="4"/>
        <v>20800</v>
      </c>
      <c r="G18" s="1"/>
      <c r="H18" s="1" t="s">
        <v>28</v>
      </c>
      <c r="I18" s="1" t="s">
        <v>22</v>
      </c>
      <c r="J18" s="1"/>
      <c r="K18" s="1"/>
      <c r="L18" s="1"/>
      <c r="M18" s="1"/>
      <c r="N18" s="1">
        <v>2</v>
      </c>
      <c r="O18" s="72">
        <f t="shared" si="3"/>
        <v>5200</v>
      </c>
      <c r="P18" s="1">
        <v>2</v>
      </c>
      <c r="Q18" s="72">
        <f t="shared" si="6"/>
        <v>5200</v>
      </c>
      <c r="R18" s="1">
        <v>2</v>
      </c>
      <c r="S18" s="72">
        <f t="shared" si="5"/>
        <v>5200</v>
      </c>
      <c r="T18" s="1">
        <v>2</v>
      </c>
      <c r="U18" s="14">
        <f t="shared" si="7"/>
        <v>5200</v>
      </c>
    </row>
    <row r="19" spans="1:21" ht="15.75" x14ac:dyDescent="0.25">
      <c r="A19" s="1">
        <v>6</v>
      </c>
      <c r="B19" s="15" t="s">
        <v>144</v>
      </c>
      <c r="C19" s="1" t="s">
        <v>71</v>
      </c>
      <c r="D19" s="1">
        <v>0</v>
      </c>
      <c r="E19" s="4">
        <v>1600</v>
      </c>
      <c r="F19" s="4">
        <f t="shared" si="2"/>
        <v>0</v>
      </c>
      <c r="G19" s="1"/>
      <c r="H19" s="1" t="s">
        <v>28</v>
      </c>
      <c r="I19" s="1" t="s">
        <v>22</v>
      </c>
      <c r="J19" s="1"/>
      <c r="K19" s="1"/>
      <c r="L19" s="1"/>
      <c r="M19" s="1"/>
      <c r="N19" s="1">
        <v>0</v>
      </c>
      <c r="O19" s="72">
        <f t="shared" si="3"/>
        <v>0</v>
      </c>
      <c r="P19" s="1"/>
      <c r="Q19" s="72">
        <f t="shared" si="6"/>
        <v>0</v>
      </c>
      <c r="R19" s="1"/>
      <c r="S19" s="72">
        <f t="shared" si="5"/>
        <v>0</v>
      </c>
      <c r="T19" s="1"/>
      <c r="U19" s="14">
        <f t="shared" si="7"/>
        <v>0</v>
      </c>
    </row>
    <row r="20" spans="1:21" ht="15.75" x14ac:dyDescent="0.25">
      <c r="A20" s="1">
        <v>7</v>
      </c>
      <c r="B20" s="15" t="s">
        <v>142</v>
      </c>
      <c r="C20" s="1" t="s">
        <v>71</v>
      </c>
      <c r="D20" s="1">
        <v>0</v>
      </c>
      <c r="E20" s="4">
        <v>1500</v>
      </c>
      <c r="F20" s="4">
        <f t="shared" si="2"/>
        <v>0</v>
      </c>
      <c r="G20" s="1"/>
      <c r="H20" s="1" t="s">
        <v>28</v>
      </c>
      <c r="I20" s="1" t="s">
        <v>22</v>
      </c>
      <c r="J20" s="1"/>
      <c r="K20" s="1"/>
      <c r="L20" s="1"/>
      <c r="M20" s="1"/>
      <c r="N20" s="1">
        <v>0</v>
      </c>
      <c r="O20" s="72">
        <f t="shared" si="3"/>
        <v>0</v>
      </c>
      <c r="P20" s="1"/>
      <c r="Q20" s="72">
        <f t="shared" si="6"/>
        <v>0</v>
      </c>
      <c r="R20" s="1"/>
      <c r="S20" s="72">
        <f t="shared" si="5"/>
        <v>0</v>
      </c>
      <c r="T20" s="1"/>
      <c r="U20" s="14">
        <f t="shared" si="7"/>
        <v>0</v>
      </c>
    </row>
    <row r="21" spans="1:21" ht="15.75" x14ac:dyDescent="0.25">
      <c r="A21" s="1">
        <v>8</v>
      </c>
      <c r="B21" s="15" t="s">
        <v>143</v>
      </c>
      <c r="C21" s="1" t="s">
        <v>71</v>
      </c>
      <c r="D21" s="1">
        <v>0</v>
      </c>
      <c r="E21" s="4">
        <v>1600</v>
      </c>
      <c r="F21" s="4">
        <f t="shared" si="2"/>
        <v>0</v>
      </c>
      <c r="G21" s="1"/>
      <c r="H21" s="1" t="s">
        <v>28</v>
      </c>
      <c r="I21" s="1" t="s">
        <v>22</v>
      </c>
      <c r="J21" s="1"/>
      <c r="K21" s="1"/>
      <c r="L21" s="1"/>
      <c r="M21" s="1"/>
      <c r="N21" s="1">
        <v>0</v>
      </c>
      <c r="O21" s="72">
        <f t="shared" si="3"/>
        <v>0</v>
      </c>
      <c r="P21" s="1"/>
      <c r="Q21" s="72">
        <f t="shared" si="6"/>
        <v>0</v>
      </c>
      <c r="R21" s="1"/>
      <c r="S21" s="72">
        <f t="shared" si="5"/>
        <v>0</v>
      </c>
      <c r="T21" s="1"/>
      <c r="U21" s="14">
        <f t="shared" si="7"/>
        <v>0</v>
      </c>
    </row>
    <row r="22" spans="1:21" ht="15.75" x14ac:dyDescent="0.25">
      <c r="A22" s="1">
        <v>9</v>
      </c>
      <c r="B22" s="15" t="s">
        <v>139</v>
      </c>
      <c r="C22" s="1" t="s">
        <v>71</v>
      </c>
      <c r="D22" s="1">
        <v>0</v>
      </c>
      <c r="E22" s="4">
        <v>8500</v>
      </c>
      <c r="F22" s="4">
        <f t="shared" si="2"/>
        <v>0</v>
      </c>
      <c r="G22" s="1"/>
      <c r="H22" s="1" t="s">
        <v>28</v>
      </c>
      <c r="I22" s="1" t="s">
        <v>22</v>
      </c>
      <c r="J22" s="1"/>
      <c r="K22" s="1"/>
      <c r="L22" s="1"/>
      <c r="M22" s="1"/>
      <c r="N22" s="1">
        <v>0</v>
      </c>
      <c r="O22" s="72">
        <f t="shared" si="3"/>
        <v>0</v>
      </c>
      <c r="P22" s="1"/>
      <c r="Q22" s="72">
        <f t="shared" si="6"/>
        <v>0</v>
      </c>
      <c r="R22" s="1"/>
      <c r="S22" s="72">
        <f t="shared" si="5"/>
        <v>0</v>
      </c>
      <c r="T22" s="1"/>
      <c r="U22" s="14">
        <f t="shared" si="7"/>
        <v>0</v>
      </c>
    </row>
    <row r="23" spans="1:21" ht="15.75" x14ac:dyDescent="0.25">
      <c r="A23" s="1">
        <v>10</v>
      </c>
      <c r="B23" s="15" t="s">
        <v>140</v>
      </c>
      <c r="C23" s="1" t="s">
        <v>71</v>
      </c>
      <c r="D23" s="1">
        <v>0</v>
      </c>
      <c r="E23" s="4">
        <v>5000</v>
      </c>
      <c r="F23" s="4">
        <f t="shared" si="2"/>
        <v>0</v>
      </c>
      <c r="G23" s="1"/>
      <c r="H23" s="1" t="s">
        <v>28</v>
      </c>
      <c r="I23" s="1" t="s">
        <v>22</v>
      </c>
      <c r="J23" s="1"/>
      <c r="K23" s="1"/>
      <c r="L23" s="1"/>
      <c r="M23" s="1"/>
      <c r="N23" s="1">
        <v>0</v>
      </c>
      <c r="O23" s="72">
        <f t="shared" si="3"/>
        <v>0</v>
      </c>
      <c r="P23" s="1"/>
      <c r="Q23" s="72">
        <f t="shared" si="6"/>
        <v>0</v>
      </c>
      <c r="R23" s="1"/>
      <c r="S23" s="72">
        <f t="shared" si="5"/>
        <v>0</v>
      </c>
      <c r="T23" s="1"/>
      <c r="U23" s="14">
        <f t="shared" si="7"/>
        <v>0</v>
      </c>
    </row>
    <row r="24" spans="1:21" ht="15.75" x14ac:dyDescent="0.25">
      <c r="A24" s="1">
        <v>11</v>
      </c>
      <c r="B24" s="15" t="s">
        <v>286</v>
      </c>
      <c r="C24" s="1" t="s">
        <v>287</v>
      </c>
      <c r="D24" s="1">
        <v>8</v>
      </c>
      <c r="E24" s="70">
        <v>1200</v>
      </c>
      <c r="F24" s="4">
        <f t="shared" si="2"/>
        <v>9600</v>
      </c>
      <c r="G24" s="1"/>
      <c r="H24" s="1" t="s">
        <v>28</v>
      </c>
      <c r="I24" s="1" t="s">
        <v>22</v>
      </c>
      <c r="J24" s="1"/>
      <c r="K24" s="1"/>
      <c r="L24" s="1"/>
      <c r="M24" s="1"/>
      <c r="N24" s="1">
        <v>2</v>
      </c>
      <c r="O24" s="72">
        <f t="shared" si="3"/>
        <v>2400</v>
      </c>
      <c r="P24" s="1">
        <v>2</v>
      </c>
      <c r="Q24" s="72">
        <f t="shared" si="6"/>
        <v>2400</v>
      </c>
      <c r="R24" s="1">
        <v>2</v>
      </c>
      <c r="S24" s="72">
        <f t="shared" si="5"/>
        <v>2400</v>
      </c>
      <c r="T24" s="1">
        <v>2</v>
      </c>
      <c r="U24" s="14">
        <f t="shared" si="7"/>
        <v>2400</v>
      </c>
    </row>
    <row r="25" spans="1:21" ht="15.75" x14ac:dyDescent="0.25">
      <c r="A25" s="1">
        <v>12</v>
      </c>
      <c r="B25" s="15" t="s">
        <v>288</v>
      </c>
      <c r="C25" s="1" t="s">
        <v>289</v>
      </c>
      <c r="D25" s="1">
        <v>8</v>
      </c>
      <c r="E25" s="70">
        <v>1200</v>
      </c>
      <c r="F25" s="4">
        <f t="shared" si="2"/>
        <v>9600</v>
      </c>
      <c r="G25" s="1"/>
      <c r="H25" s="1" t="s">
        <v>28</v>
      </c>
      <c r="I25" s="1" t="s">
        <v>22</v>
      </c>
      <c r="J25" s="1"/>
      <c r="K25" s="1"/>
      <c r="L25" s="1"/>
      <c r="M25" s="1"/>
      <c r="N25" s="1">
        <v>2</v>
      </c>
      <c r="O25" s="72">
        <f t="shared" si="3"/>
        <v>2400</v>
      </c>
      <c r="P25" s="1">
        <v>2</v>
      </c>
      <c r="Q25" s="72">
        <f t="shared" si="6"/>
        <v>2400</v>
      </c>
      <c r="R25" s="1">
        <v>2</v>
      </c>
      <c r="S25" s="72">
        <f t="shared" si="5"/>
        <v>2400</v>
      </c>
      <c r="T25" s="1">
        <v>2</v>
      </c>
      <c r="U25" s="14">
        <f t="shared" si="7"/>
        <v>2400</v>
      </c>
    </row>
    <row r="26" spans="1:21" ht="15.75" x14ac:dyDescent="0.25">
      <c r="A26" s="1">
        <v>13</v>
      </c>
      <c r="B26" s="15" t="s">
        <v>377</v>
      </c>
      <c r="C26" s="1" t="s">
        <v>290</v>
      </c>
      <c r="D26" s="1">
        <v>4</v>
      </c>
      <c r="E26" s="70">
        <v>1300</v>
      </c>
      <c r="F26" s="4">
        <f t="shared" si="2"/>
        <v>5200</v>
      </c>
      <c r="G26" s="1"/>
      <c r="H26" s="1" t="s">
        <v>28</v>
      </c>
      <c r="I26" s="1" t="s">
        <v>22</v>
      </c>
      <c r="J26" s="1"/>
      <c r="K26" s="1"/>
      <c r="L26" s="1"/>
      <c r="M26" s="1"/>
      <c r="N26" s="1">
        <v>2</v>
      </c>
      <c r="O26" s="72">
        <f t="shared" si="3"/>
        <v>2600</v>
      </c>
      <c r="P26" s="1"/>
      <c r="Q26" s="72">
        <f t="shared" si="6"/>
        <v>0</v>
      </c>
      <c r="R26" s="1">
        <v>2</v>
      </c>
      <c r="S26" s="72">
        <f t="shared" si="5"/>
        <v>2600</v>
      </c>
      <c r="T26" s="1"/>
      <c r="U26" s="14">
        <f t="shared" si="7"/>
        <v>0</v>
      </c>
    </row>
    <row r="27" spans="1:21" ht="15.75" x14ac:dyDescent="0.25">
      <c r="A27" s="1">
        <v>14</v>
      </c>
      <c r="B27" s="15" t="s">
        <v>291</v>
      </c>
      <c r="C27" s="1" t="s">
        <v>292</v>
      </c>
      <c r="D27" s="1">
        <v>12</v>
      </c>
      <c r="E27" s="70">
        <v>500</v>
      </c>
      <c r="F27" s="4">
        <f t="shared" si="2"/>
        <v>6000</v>
      </c>
      <c r="G27" s="1"/>
      <c r="H27" s="1" t="s">
        <v>28</v>
      </c>
      <c r="I27" s="1" t="s">
        <v>22</v>
      </c>
      <c r="J27" s="1"/>
      <c r="K27" s="1"/>
      <c r="L27" s="1"/>
      <c r="M27" s="1"/>
      <c r="N27" s="1">
        <v>3</v>
      </c>
      <c r="O27" s="72">
        <f t="shared" si="3"/>
        <v>1500</v>
      </c>
      <c r="P27" s="1">
        <v>3</v>
      </c>
      <c r="Q27" s="72">
        <f t="shared" si="6"/>
        <v>1500</v>
      </c>
      <c r="R27" s="1">
        <v>3</v>
      </c>
      <c r="S27" s="72">
        <f t="shared" si="5"/>
        <v>1500</v>
      </c>
      <c r="T27" s="1">
        <v>3</v>
      </c>
      <c r="U27" s="14">
        <f t="shared" si="7"/>
        <v>1500</v>
      </c>
    </row>
    <row r="28" spans="1:21" ht="15.75" x14ac:dyDescent="0.25">
      <c r="A28" s="1">
        <v>15</v>
      </c>
      <c r="B28" s="15" t="s">
        <v>293</v>
      </c>
      <c r="C28" s="1" t="s">
        <v>294</v>
      </c>
      <c r="D28" s="1">
        <v>8</v>
      </c>
      <c r="E28" s="70">
        <v>1400</v>
      </c>
      <c r="F28" s="4">
        <f t="shared" si="2"/>
        <v>11200</v>
      </c>
      <c r="G28" s="1"/>
      <c r="H28" s="1" t="s">
        <v>28</v>
      </c>
      <c r="I28" s="1" t="s">
        <v>22</v>
      </c>
      <c r="J28" s="1"/>
      <c r="K28" s="1"/>
      <c r="L28" s="1"/>
      <c r="M28" s="1"/>
      <c r="N28" s="1">
        <v>2</v>
      </c>
      <c r="O28" s="72">
        <f t="shared" si="3"/>
        <v>2800</v>
      </c>
      <c r="P28" s="1">
        <v>2</v>
      </c>
      <c r="Q28" s="72">
        <f t="shared" si="6"/>
        <v>2800</v>
      </c>
      <c r="R28" s="1">
        <v>2</v>
      </c>
      <c r="S28" s="72">
        <f t="shared" si="5"/>
        <v>2800</v>
      </c>
      <c r="T28" s="1">
        <v>2</v>
      </c>
      <c r="U28" s="14">
        <f t="shared" si="7"/>
        <v>2800</v>
      </c>
    </row>
    <row r="29" spans="1:21" ht="15.75" x14ac:dyDescent="0.25">
      <c r="A29" s="1">
        <v>16</v>
      </c>
      <c r="B29" s="15" t="s">
        <v>295</v>
      </c>
      <c r="C29" s="1" t="s">
        <v>296</v>
      </c>
      <c r="D29" s="1">
        <v>4</v>
      </c>
      <c r="E29" s="70">
        <v>400</v>
      </c>
      <c r="F29" s="4">
        <f t="shared" si="2"/>
        <v>1600</v>
      </c>
      <c r="G29" s="1"/>
      <c r="H29" s="1" t="s">
        <v>28</v>
      </c>
      <c r="I29" s="1" t="s">
        <v>22</v>
      </c>
      <c r="J29" s="1"/>
      <c r="K29" s="1"/>
      <c r="L29" s="1"/>
      <c r="M29" s="1"/>
      <c r="N29" s="1">
        <v>2</v>
      </c>
      <c r="O29" s="72">
        <f t="shared" si="3"/>
        <v>800</v>
      </c>
      <c r="P29" s="1"/>
      <c r="Q29" s="72">
        <f t="shared" si="6"/>
        <v>0</v>
      </c>
      <c r="R29" s="1">
        <v>2</v>
      </c>
      <c r="S29" s="72">
        <f t="shared" si="5"/>
        <v>800</v>
      </c>
      <c r="T29" s="1"/>
      <c r="U29" s="14">
        <f t="shared" si="7"/>
        <v>0</v>
      </c>
    </row>
    <row r="30" spans="1:21" ht="15.75" x14ac:dyDescent="0.25">
      <c r="A30" s="1">
        <v>17</v>
      </c>
      <c r="B30" s="15" t="s">
        <v>299</v>
      </c>
      <c r="C30" s="1" t="s">
        <v>297</v>
      </c>
      <c r="D30" s="1">
        <v>4</v>
      </c>
      <c r="E30" s="70">
        <v>3000</v>
      </c>
      <c r="F30" s="4">
        <f t="shared" si="2"/>
        <v>12000</v>
      </c>
      <c r="G30" s="1"/>
      <c r="H30" s="1" t="s">
        <v>28</v>
      </c>
      <c r="I30" s="1" t="s">
        <v>22</v>
      </c>
      <c r="J30" s="1"/>
      <c r="K30" s="1"/>
      <c r="L30" s="1"/>
      <c r="M30" s="1"/>
      <c r="N30" s="1">
        <v>1</v>
      </c>
      <c r="O30" s="72">
        <f t="shared" si="3"/>
        <v>3000</v>
      </c>
      <c r="P30" s="1">
        <v>1</v>
      </c>
      <c r="Q30" s="72">
        <f t="shared" si="6"/>
        <v>3000</v>
      </c>
      <c r="R30" s="1">
        <v>1</v>
      </c>
      <c r="S30" s="72">
        <f t="shared" si="5"/>
        <v>3000</v>
      </c>
      <c r="T30" s="1">
        <v>1</v>
      </c>
      <c r="U30" s="14">
        <f t="shared" si="7"/>
        <v>3000</v>
      </c>
    </row>
    <row r="31" spans="1:21" ht="15.75" x14ac:dyDescent="0.25">
      <c r="A31" s="1">
        <v>18</v>
      </c>
      <c r="B31" s="15" t="s">
        <v>298</v>
      </c>
      <c r="C31" s="1" t="s">
        <v>287</v>
      </c>
      <c r="D31" s="1">
        <v>4</v>
      </c>
      <c r="E31" s="70">
        <v>700</v>
      </c>
      <c r="F31" s="4">
        <f t="shared" si="2"/>
        <v>2800</v>
      </c>
      <c r="G31" s="1"/>
      <c r="H31" s="1" t="s">
        <v>28</v>
      </c>
      <c r="I31" s="1" t="s">
        <v>22</v>
      </c>
      <c r="J31" s="1"/>
      <c r="K31" s="1"/>
      <c r="L31" s="1"/>
      <c r="M31" s="1"/>
      <c r="N31" s="1">
        <v>1</v>
      </c>
      <c r="O31" s="72">
        <f t="shared" si="3"/>
        <v>700</v>
      </c>
      <c r="P31" s="1">
        <v>1</v>
      </c>
      <c r="Q31" s="72">
        <f t="shared" si="6"/>
        <v>700</v>
      </c>
      <c r="R31" s="1">
        <v>1</v>
      </c>
      <c r="S31" s="72">
        <f t="shared" si="5"/>
        <v>700</v>
      </c>
      <c r="T31" s="1">
        <v>1</v>
      </c>
      <c r="U31" s="14">
        <f t="shared" si="7"/>
        <v>700</v>
      </c>
    </row>
    <row r="32" spans="1:21" ht="15.75" x14ac:dyDescent="0.25">
      <c r="A32" s="1">
        <v>19</v>
      </c>
      <c r="B32" s="15" t="s">
        <v>300</v>
      </c>
      <c r="C32" s="1" t="s">
        <v>137</v>
      </c>
      <c r="D32" s="1">
        <v>8</v>
      </c>
      <c r="E32" s="70">
        <v>2800</v>
      </c>
      <c r="F32" s="4">
        <f t="shared" si="2"/>
        <v>22400</v>
      </c>
      <c r="G32" s="1"/>
      <c r="H32" s="1" t="s">
        <v>28</v>
      </c>
      <c r="I32" s="1" t="s">
        <v>22</v>
      </c>
      <c r="J32" s="1"/>
      <c r="K32" s="1"/>
      <c r="L32" s="1"/>
      <c r="M32" s="1"/>
      <c r="N32" s="1">
        <v>2</v>
      </c>
      <c r="O32" s="72">
        <f t="shared" si="3"/>
        <v>5600</v>
      </c>
      <c r="P32" s="1">
        <v>2</v>
      </c>
      <c r="Q32" s="72">
        <f t="shared" si="6"/>
        <v>5600</v>
      </c>
      <c r="R32" s="1">
        <v>2</v>
      </c>
      <c r="S32" s="72">
        <f t="shared" si="5"/>
        <v>5600</v>
      </c>
      <c r="T32" s="1">
        <v>2</v>
      </c>
      <c r="U32" s="14">
        <f t="shared" si="7"/>
        <v>5600</v>
      </c>
    </row>
    <row r="33" spans="1:21" ht="15.75" x14ac:dyDescent="0.25">
      <c r="A33" s="1">
        <v>20</v>
      </c>
      <c r="B33" s="15" t="s">
        <v>473</v>
      </c>
      <c r="C33" s="1" t="s">
        <v>287</v>
      </c>
      <c r="D33" s="1">
        <v>8</v>
      </c>
      <c r="E33" s="70">
        <v>700</v>
      </c>
      <c r="F33" s="4">
        <f t="shared" si="2"/>
        <v>5600</v>
      </c>
      <c r="G33" s="1"/>
      <c r="H33" s="1" t="s">
        <v>28</v>
      </c>
      <c r="I33" s="1" t="s">
        <v>22</v>
      </c>
      <c r="J33" s="1"/>
      <c r="K33" s="1"/>
      <c r="L33" s="1"/>
      <c r="M33" s="1"/>
      <c r="N33" s="1">
        <v>2</v>
      </c>
      <c r="O33" s="72">
        <f t="shared" si="3"/>
        <v>1400</v>
      </c>
      <c r="P33" s="1">
        <v>2</v>
      </c>
      <c r="Q33" s="72">
        <f t="shared" si="6"/>
        <v>1400</v>
      </c>
      <c r="R33" s="1">
        <v>2</v>
      </c>
      <c r="S33" s="72">
        <f t="shared" si="5"/>
        <v>1400</v>
      </c>
      <c r="T33" s="1">
        <v>2</v>
      </c>
      <c r="U33" s="14">
        <f t="shared" si="7"/>
        <v>1400</v>
      </c>
    </row>
    <row r="34" spans="1:21" ht="15.75" x14ac:dyDescent="0.25">
      <c r="A34" s="1">
        <v>21</v>
      </c>
      <c r="B34" s="15" t="s">
        <v>301</v>
      </c>
      <c r="C34" s="1" t="s">
        <v>91</v>
      </c>
      <c r="D34" s="1">
        <v>10</v>
      </c>
      <c r="E34" s="70">
        <v>2600</v>
      </c>
      <c r="F34" s="4">
        <f t="shared" si="2"/>
        <v>26000</v>
      </c>
      <c r="G34" s="1"/>
      <c r="H34" s="1" t="s">
        <v>28</v>
      </c>
      <c r="I34" s="1" t="s">
        <v>22</v>
      </c>
      <c r="J34" s="1"/>
      <c r="K34" s="1"/>
      <c r="L34" s="1"/>
      <c r="M34" s="1"/>
      <c r="N34" s="1">
        <v>5</v>
      </c>
      <c r="O34" s="72">
        <f t="shared" si="3"/>
        <v>13000</v>
      </c>
      <c r="P34" s="1"/>
      <c r="Q34" s="72">
        <f t="shared" si="6"/>
        <v>0</v>
      </c>
      <c r="R34" s="1">
        <v>5</v>
      </c>
      <c r="S34" s="72">
        <f t="shared" si="5"/>
        <v>13000</v>
      </c>
      <c r="T34" s="1"/>
      <c r="U34" s="14">
        <f t="shared" si="7"/>
        <v>0</v>
      </c>
    </row>
    <row r="35" spans="1:21" ht="15.75" x14ac:dyDescent="0.25">
      <c r="A35" s="1">
        <v>22</v>
      </c>
      <c r="B35" s="15" t="s">
        <v>302</v>
      </c>
      <c r="C35" s="1" t="s">
        <v>60</v>
      </c>
      <c r="D35" s="1">
        <v>10</v>
      </c>
      <c r="E35" s="70">
        <v>2600</v>
      </c>
      <c r="F35" s="4">
        <f t="shared" si="2"/>
        <v>26000</v>
      </c>
      <c r="G35" s="1"/>
      <c r="H35" s="1" t="s">
        <v>28</v>
      </c>
      <c r="I35" s="1" t="s">
        <v>22</v>
      </c>
      <c r="J35" s="1"/>
      <c r="K35" s="1"/>
      <c r="L35" s="1"/>
      <c r="M35" s="1"/>
      <c r="N35" s="1">
        <v>5</v>
      </c>
      <c r="O35" s="72">
        <f t="shared" si="3"/>
        <v>13000</v>
      </c>
      <c r="P35" s="1"/>
      <c r="Q35" s="72">
        <f t="shared" si="6"/>
        <v>0</v>
      </c>
      <c r="R35" s="1">
        <v>5</v>
      </c>
      <c r="S35" s="72">
        <f t="shared" si="5"/>
        <v>13000</v>
      </c>
      <c r="T35" s="1"/>
      <c r="U35" s="14">
        <f t="shared" si="7"/>
        <v>0</v>
      </c>
    </row>
    <row r="36" spans="1:21" ht="15.75" x14ac:dyDescent="0.25">
      <c r="A36" s="1"/>
      <c r="B36" s="15"/>
      <c r="C36" s="1"/>
      <c r="D36" s="1"/>
      <c r="E36" s="4"/>
      <c r="F36" s="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4"/>
    </row>
    <row r="37" spans="1:21" ht="15.75" x14ac:dyDescent="0.25">
      <c r="A37" s="1"/>
      <c r="B37" s="15"/>
      <c r="C37" s="1"/>
      <c r="D37" s="1"/>
      <c r="E37" s="4"/>
      <c r="F37" s="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4"/>
    </row>
    <row r="38" spans="1:21" x14ac:dyDescent="0.25">
      <c r="A38" s="1"/>
      <c r="B38" s="1"/>
      <c r="C38" s="1"/>
      <c r="D38" s="1"/>
      <c r="E38" s="4"/>
      <c r="F38" s="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4">
        <f t="shared" si="1"/>
        <v>0</v>
      </c>
    </row>
    <row r="39" spans="1:21" x14ac:dyDescent="0.25">
      <c r="A39" s="3" t="s">
        <v>515</v>
      </c>
      <c r="B39" s="3"/>
      <c r="C39" s="3"/>
      <c r="D39" s="1"/>
      <c r="E39" s="4"/>
      <c r="F39" s="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4">
        <f t="shared" si="1"/>
        <v>0</v>
      </c>
    </row>
    <row r="40" spans="1:21" x14ac:dyDescent="0.25">
      <c r="A40" s="1">
        <v>1</v>
      </c>
      <c r="B40" s="23" t="s">
        <v>474</v>
      </c>
      <c r="C40" s="1" t="s">
        <v>68</v>
      </c>
      <c r="D40" s="1">
        <v>3</v>
      </c>
      <c r="E40" s="4">
        <v>50000</v>
      </c>
      <c r="F40" s="4">
        <f t="shared" ref="F40:F43" si="8">D40*E40</f>
        <v>150000</v>
      </c>
      <c r="G40" s="1" t="s">
        <v>23</v>
      </c>
      <c r="H40" s="1" t="s">
        <v>28</v>
      </c>
      <c r="I40" s="1" t="s">
        <v>22</v>
      </c>
      <c r="J40" s="1"/>
      <c r="K40" s="1"/>
      <c r="L40" s="1"/>
      <c r="M40" s="12" t="s">
        <v>25</v>
      </c>
      <c r="N40" s="1">
        <v>3</v>
      </c>
      <c r="O40" s="72">
        <f t="shared" ref="O40:O47" si="9">E40*N40</f>
        <v>150000</v>
      </c>
      <c r="P40" s="1"/>
      <c r="Q40" s="72">
        <f t="shared" ref="Q40:Q47" si="10">E40*P40</f>
        <v>0</v>
      </c>
      <c r="R40" s="1"/>
      <c r="S40" s="72">
        <f t="shared" ref="S40:S47" si="11">E40*R40</f>
        <v>0</v>
      </c>
      <c r="T40" s="71"/>
      <c r="U40" s="14">
        <f t="shared" ref="U40:U47" si="12">E40*T40</f>
        <v>0</v>
      </c>
    </row>
    <row r="41" spans="1:21" ht="15.75" x14ac:dyDescent="0.25">
      <c r="A41" s="1">
        <v>2</v>
      </c>
      <c r="B41" s="15" t="s">
        <v>38</v>
      </c>
      <c r="C41" s="15" t="s">
        <v>68</v>
      </c>
      <c r="D41" s="1">
        <v>8</v>
      </c>
      <c r="E41" s="4">
        <v>20000</v>
      </c>
      <c r="F41" s="4">
        <f t="shared" si="8"/>
        <v>160000</v>
      </c>
      <c r="G41" s="1" t="s">
        <v>23</v>
      </c>
      <c r="H41" s="1" t="s">
        <v>28</v>
      </c>
      <c r="I41" s="1" t="s">
        <v>22</v>
      </c>
      <c r="J41" s="1"/>
      <c r="K41" s="1"/>
      <c r="L41" s="1"/>
      <c r="M41" s="12" t="s">
        <v>25</v>
      </c>
      <c r="N41" s="1">
        <v>8</v>
      </c>
      <c r="O41" s="72">
        <f t="shared" si="9"/>
        <v>160000</v>
      </c>
      <c r="P41" s="1"/>
      <c r="Q41" s="72">
        <f t="shared" si="10"/>
        <v>0</v>
      </c>
      <c r="R41" s="1"/>
      <c r="S41" s="72">
        <f t="shared" si="11"/>
        <v>0</v>
      </c>
      <c r="T41" s="71"/>
      <c r="U41" s="14">
        <f t="shared" si="12"/>
        <v>0</v>
      </c>
    </row>
    <row r="42" spans="1:21" x14ac:dyDescent="0.25">
      <c r="A42" s="1">
        <v>3</v>
      </c>
      <c r="B42" s="1" t="s">
        <v>158</v>
      </c>
      <c r="C42" s="1" t="s">
        <v>68</v>
      </c>
      <c r="D42" s="1">
        <v>10</v>
      </c>
      <c r="E42" s="4">
        <v>480</v>
      </c>
      <c r="F42" s="4">
        <f t="shared" si="8"/>
        <v>4800</v>
      </c>
      <c r="G42" s="1" t="s">
        <v>23</v>
      </c>
      <c r="H42" s="1" t="s">
        <v>28</v>
      </c>
      <c r="I42" s="1" t="s">
        <v>22</v>
      </c>
      <c r="J42" s="1"/>
      <c r="K42" s="1"/>
      <c r="L42" s="1"/>
      <c r="M42" s="1"/>
      <c r="N42" s="1">
        <v>10</v>
      </c>
      <c r="O42" s="72">
        <f t="shared" si="9"/>
        <v>4800</v>
      </c>
      <c r="P42" s="1"/>
      <c r="Q42" s="72">
        <f t="shared" si="10"/>
        <v>0</v>
      </c>
      <c r="R42" s="1"/>
      <c r="S42" s="72">
        <f t="shared" si="11"/>
        <v>0</v>
      </c>
      <c r="T42" s="71"/>
      <c r="U42" s="14">
        <f t="shared" si="12"/>
        <v>0</v>
      </c>
    </row>
    <row r="43" spans="1:21" x14ac:dyDescent="0.25">
      <c r="A43" s="1">
        <v>4</v>
      </c>
      <c r="B43" s="1" t="s">
        <v>157</v>
      </c>
      <c r="C43" s="1" t="s">
        <v>44</v>
      </c>
      <c r="D43" s="1">
        <v>10</v>
      </c>
      <c r="E43" s="4">
        <v>1600</v>
      </c>
      <c r="F43" s="4">
        <f t="shared" si="8"/>
        <v>16000</v>
      </c>
      <c r="G43" s="1" t="s">
        <v>23</v>
      </c>
      <c r="H43" s="1" t="s">
        <v>28</v>
      </c>
      <c r="I43" s="1" t="s">
        <v>22</v>
      </c>
      <c r="J43" s="1"/>
      <c r="K43" s="1"/>
      <c r="L43" s="1"/>
      <c r="M43" s="1"/>
      <c r="N43" s="1">
        <v>10</v>
      </c>
      <c r="O43" s="72">
        <f t="shared" si="9"/>
        <v>16000</v>
      </c>
      <c r="P43" s="1"/>
      <c r="Q43" s="72">
        <f t="shared" si="10"/>
        <v>0</v>
      </c>
      <c r="R43" s="1"/>
      <c r="S43" s="72">
        <f t="shared" si="11"/>
        <v>0</v>
      </c>
      <c r="T43" s="71"/>
      <c r="U43" s="14">
        <f t="shared" si="12"/>
        <v>0</v>
      </c>
    </row>
    <row r="44" spans="1:21" x14ac:dyDescent="0.25">
      <c r="A44" s="1">
        <v>5</v>
      </c>
      <c r="B44" s="1" t="s">
        <v>224</v>
      </c>
      <c r="C44" s="1" t="s">
        <v>145</v>
      </c>
      <c r="D44" s="1">
        <v>5</v>
      </c>
      <c r="E44" s="4">
        <v>45000</v>
      </c>
      <c r="F44" s="4">
        <v>0</v>
      </c>
      <c r="G44" s="1" t="s">
        <v>23</v>
      </c>
      <c r="H44" s="1"/>
      <c r="I44" s="1" t="s">
        <v>22</v>
      </c>
      <c r="J44" s="1"/>
      <c r="K44" s="1"/>
      <c r="L44" s="1"/>
      <c r="M44" s="1"/>
      <c r="N44" s="1">
        <v>5</v>
      </c>
      <c r="O44" s="72">
        <f t="shared" si="9"/>
        <v>225000</v>
      </c>
      <c r="P44" s="1"/>
      <c r="Q44" s="72">
        <f t="shared" si="10"/>
        <v>0</v>
      </c>
      <c r="R44" s="1"/>
      <c r="S44" s="72">
        <f t="shared" si="11"/>
        <v>0</v>
      </c>
      <c r="T44" s="5"/>
      <c r="U44" s="14">
        <f t="shared" si="12"/>
        <v>0</v>
      </c>
    </row>
    <row r="45" spans="1:21" s="17" customFormat="1" x14ac:dyDescent="0.25">
      <c r="A45" s="73">
        <v>6</v>
      </c>
      <c r="B45" s="54" t="s">
        <v>475</v>
      </c>
      <c r="C45" s="73" t="s">
        <v>145</v>
      </c>
      <c r="D45" s="16">
        <v>1</v>
      </c>
      <c r="E45" s="21">
        <v>550000</v>
      </c>
      <c r="F45" s="21">
        <f t="shared" ref="F45:F48" si="13">D45*E45</f>
        <v>550000</v>
      </c>
      <c r="G45" s="1" t="s">
        <v>23</v>
      </c>
      <c r="H45" s="16"/>
      <c r="I45" s="1" t="s">
        <v>22</v>
      </c>
      <c r="J45" s="16"/>
      <c r="K45" s="16"/>
      <c r="L45" s="16"/>
      <c r="M45" s="16"/>
      <c r="N45" s="16">
        <v>1</v>
      </c>
      <c r="O45" s="72">
        <f t="shared" si="9"/>
        <v>550000</v>
      </c>
      <c r="P45" s="16"/>
      <c r="Q45" s="72">
        <f t="shared" si="10"/>
        <v>0</v>
      </c>
      <c r="R45" s="16"/>
      <c r="S45" s="72">
        <f t="shared" si="11"/>
        <v>0</v>
      </c>
      <c r="T45" s="16"/>
      <c r="U45" s="14">
        <f t="shared" si="12"/>
        <v>0</v>
      </c>
    </row>
    <row r="46" spans="1:21" ht="15.75" x14ac:dyDescent="0.25">
      <c r="A46" s="1">
        <v>7</v>
      </c>
      <c r="B46" s="15" t="s">
        <v>476</v>
      </c>
      <c r="C46" s="1" t="s">
        <v>55</v>
      </c>
      <c r="D46" s="1">
        <v>3</v>
      </c>
      <c r="E46" s="4">
        <v>30000</v>
      </c>
      <c r="F46" s="4">
        <f t="shared" si="13"/>
        <v>90000</v>
      </c>
      <c r="G46" s="1" t="s">
        <v>23</v>
      </c>
      <c r="H46" s="1" t="s">
        <v>28</v>
      </c>
      <c r="I46" s="1" t="s">
        <v>22</v>
      </c>
      <c r="J46" s="1"/>
      <c r="K46" s="1"/>
      <c r="L46" s="1"/>
      <c r="M46" s="1"/>
      <c r="N46" s="1">
        <v>3</v>
      </c>
      <c r="O46" s="72">
        <f t="shared" si="9"/>
        <v>90000</v>
      </c>
      <c r="P46" s="1"/>
      <c r="Q46" s="72">
        <f t="shared" si="10"/>
        <v>0</v>
      </c>
      <c r="R46" s="1"/>
      <c r="S46" s="72">
        <f t="shared" si="11"/>
        <v>0</v>
      </c>
      <c r="T46" s="1"/>
      <c r="U46" s="14">
        <f t="shared" si="12"/>
        <v>0</v>
      </c>
    </row>
    <row r="47" spans="1:21" ht="15.75" x14ac:dyDescent="0.25">
      <c r="A47" s="1">
        <v>8</v>
      </c>
      <c r="B47" s="15" t="s">
        <v>141</v>
      </c>
      <c r="C47" s="1" t="s">
        <v>145</v>
      </c>
      <c r="D47" s="1">
        <v>0</v>
      </c>
      <c r="E47" s="4">
        <v>9200</v>
      </c>
      <c r="F47" s="4">
        <f t="shared" si="13"/>
        <v>0</v>
      </c>
      <c r="G47" s="1" t="s">
        <v>23</v>
      </c>
      <c r="H47" s="1" t="s">
        <v>28</v>
      </c>
      <c r="I47" s="1" t="s">
        <v>22</v>
      </c>
      <c r="J47" s="1"/>
      <c r="K47" s="1"/>
      <c r="L47" s="1"/>
      <c r="M47" s="1"/>
      <c r="N47" s="1">
        <v>0</v>
      </c>
      <c r="O47" s="72">
        <f t="shared" si="9"/>
        <v>0</v>
      </c>
      <c r="P47" s="1"/>
      <c r="Q47" s="72">
        <f t="shared" si="10"/>
        <v>0</v>
      </c>
      <c r="R47" s="1"/>
      <c r="S47" s="72">
        <f t="shared" si="11"/>
        <v>0</v>
      </c>
      <c r="T47" s="1"/>
      <c r="U47" s="14">
        <f t="shared" si="12"/>
        <v>0</v>
      </c>
    </row>
    <row r="48" spans="1:21" ht="15.75" x14ac:dyDescent="0.25">
      <c r="A48" s="1">
        <v>9</v>
      </c>
      <c r="B48" s="121" t="s">
        <v>506</v>
      </c>
      <c r="C48" s="117" t="s">
        <v>145</v>
      </c>
      <c r="D48" s="117">
        <v>1</v>
      </c>
      <c r="E48" s="123">
        <v>50000</v>
      </c>
      <c r="F48" s="120">
        <f t="shared" si="13"/>
        <v>50000</v>
      </c>
      <c r="G48" s="117" t="s">
        <v>23</v>
      </c>
      <c r="H48" s="56" t="s">
        <v>28</v>
      </c>
      <c r="I48" s="56" t="s">
        <v>22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5"/>
      <c r="U48" s="14">
        <f t="shared" ref="U48" si="14">D48*E48</f>
        <v>50000</v>
      </c>
    </row>
    <row r="49" spans="1:21" ht="15.75" x14ac:dyDescent="0.25">
      <c r="A49" s="1"/>
      <c r="B49" s="121"/>
      <c r="C49" s="117"/>
      <c r="D49" s="117"/>
      <c r="E49" s="123"/>
      <c r="F49" s="120"/>
      <c r="G49" s="117"/>
      <c r="H49" s="56"/>
      <c r="I49" s="56"/>
      <c r="J49" s="1"/>
      <c r="K49" s="1"/>
      <c r="L49" s="1"/>
      <c r="M49" s="1"/>
      <c r="N49" s="1"/>
      <c r="O49" s="1"/>
      <c r="P49" s="1"/>
      <c r="Q49" s="1"/>
      <c r="R49" s="1"/>
      <c r="S49" s="1"/>
      <c r="T49" s="5"/>
      <c r="U49" s="14"/>
    </row>
    <row r="50" spans="1:21" ht="15.75" x14ac:dyDescent="0.25">
      <c r="A50" s="1"/>
      <c r="B50" s="27"/>
      <c r="C50" s="28"/>
      <c r="D50" s="28"/>
      <c r="E50" s="29"/>
      <c r="F50" s="114"/>
      <c r="G50" s="28"/>
      <c r="H50" s="16"/>
      <c r="I50" s="16"/>
      <c r="J50" s="1"/>
      <c r="K50" s="1"/>
      <c r="L50" s="1"/>
      <c r="M50" s="1"/>
      <c r="N50" s="1"/>
      <c r="O50" s="1"/>
      <c r="P50" s="1"/>
      <c r="Q50" s="1"/>
      <c r="R50" s="1"/>
      <c r="S50" s="1"/>
      <c r="T50" s="5"/>
      <c r="U50" s="14"/>
    </row>
    <row r="51" spans="1:21" x14ac:dyDescent="0.25">
      <c r="A51" s="145" t="s">
        <v>521</v>
      </c>
      <c r="B51" s="146"/>
      <c r="C51" s="1"/>
      <c r="D51" s="1"/>
      <c r="E51" s="4"/>
      <c r="F51" s="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4"/>
    </row>
    <row r="52" spans="1:21" x14ac:dyDescent="0.25">
      <c r="A52" s="1">
        <v>1</v>
      </c>
      <c r="B52" s="1" t="s">
        <v>522</v>
      </c>
      <c r="C52" s="1" t="s">
        <v>145</v>
      </c>
      <c r="D52" s="1">
        <v>100</v>
      </c>
      <c r="E52" s="4">
        <v>4500</v>
      </c>
      <c r="F52" s="4">
        <f t="shared" ref="F52:F56" si="15">D52*E52</f>
        <v>450000</v>
      </c>
      <c r="G52" s="1" t="s">
        <v>23</v>
      </c>
      <c r="H52" s="1"/>
      <c r="I52" s="1" t="s">
        <v>22</v>
      </c>
      <c r="J52" s="1"/>
      <c r="K52" s="1"/>
      <c r="L52" s="1"/>
      <c r="M52" s="1"/>
      <c r="N52" s="1">
        <v>100</v>
      </c>
      <c r="O52" s="72">
        <f>E52*N52</f>
        <v>450000</v>
      </c>
      <c r="P52" s="1"/>
      <c r="Q52" s="72">
        <f>E52*P52</f>
        <v>0</v>
      </c>
      <c r="R52" s="1"/>
      <c r="S52" s="1"/>
      <c r="T52" s="1"/>
      <c r="U52" s="14"/>
    </row>
    <row r="53" spans="1:21" x14ac:dyDescent="0.25">
      <c r="A53" s="1">
        <v>2</v>
      </c>
      <c r="B53" s="1" t="s">
        <v>523</v>
      </c>
      <c r="C53" s="1" t="s">
        <v>524</v>
      </c>
      <c r="D53" s="1">
        <v>200</v>
      </c>
      <c r="E53" s="4">
        <v>700</v>
      </c>
      <c r="F53" s="4">
        <f t="shared" si="15"/>
        <v>140000</v>
      </c>
      <c r="G53" s="1" t="s">
        <v>23</v>
      </c>
      <c r="H53" s="1"/>
      <c r="I53" s="1" t="s">
        <v>22</v>
      </c>
      <c r="J53" s="1"/>
      <c r="K53" s="1"/>
      <c r="L53" s="1"/>
      <c r="M53" s="1"/>
      <c r="N53" s="1">
        <v>200</v>
      </c>
      <c r="O53" s="72">
        <f t="shared" ref="O53:O55" si="16">E53*N53</f>
        <v>140000</v>
      </c>
      <c r="P53" s="1"/>
      <c r="Q53" s="1"/>
      <c r="R53" s="1"/>
      <c r="S53" s="1"/>
      <c r="T53" s="1"/>
      <c r="U53" s="14"/>
    </row>
    <row r="54" spans="1:21" x14ac:dyDescent="0.25">
      <c r="A54" s="1">
        <v>3</v>
      </c>
      <c r="B54" s="1" t="s">
        <v>525</v>
      </c>
      <c r="C54" s="1" t="s">
        <v>145</v>
      </c>
      <c r="D54" s="1">
        <v>100</v>
      </c>
      <c r="E54" s="4">
        <v>200</v>
      </c>
      <c r="F54" s="4">
        <f t="shared" si="15"/>
        <v>20000</v>
      </c>
      <c r="G54" s="1" t="s">
        <v>23</v>
      </c>
      <c r="H54" s="1"/>
      <c r="I54" s="1" t="s">
        <v>22</v>
      </c>
      <c r="J54" s="1"/>
      <c r="K54" s="1"/>
      <c r="L54" s="1"/>
      <c r="M54" s="1"/>
      <c r="N54" s="1">
        <v>100</v>
      </c>
      <c r="O54" s="72">
        <f t="shared" si="16"/>
        <v>20000</v>
      </c>
      <c r="P54" s="1"/>
      <c r="Q54" s="1"/>
      <c r="R54" s="1"/>
      <c r="S54" s="1"/>
      <c r="T54" s="1"/>
      <c r="U54" s="14"/>
    </row>
    <row r="55" spans="1:21" x14ac:dyDescent="0.25">
      <c r="A55" s="1">
        <v>4</v>
      </c>
      <c r="B55" s="1" t="s">
        <v>379</v>
      </c>
      <c r="C55" s="1" t="s">
        <v>380</v>
      </c>
      <c r="D55" s="1">
        <v>1600</v>
      </c>
      <c r="E55" s="4">
        <v>120</v>
      </c>
      <c r="F55" s="4">
        <f t="shared" si="15"/>
        <v>192000</v>
      </c>
      <c r="G55" s="1" t="s">
        <v>23</v>
      </c>
      <c r="H55" s="1"/>
      <c r="I55" s="1" t="s">
        <v>22</v>
      </c>
      <c r="J55" s="1"/>
      <c r="K55" s="1"/>
      <c r="L55" s="1"/>
      <c r="M55" s="1"/>
      <c r="N55" s="1">
        <v>400</v>
      </c>
      <c r="O55" s="72">
        <f t="shared" si="16"/>
        <v>48000</v>
      </c>
      <c r="P55" s="1">
        <v>400</v>
      </c>
      <c r="Q55" s="72">
        <f>E55*P55</f>
        <v>48000</v>
      </c>
      <c r="R55" s="1">
        <v>400</v>
      </c>
      <c r="S55" s="1"/>
      <c r="T55" s="1">
        <v>400</v>
      </c>
      <c r="U55" s="14"/>
    </row>
    <row r="56" spans="1:21" x14ac:dyDescent="0.25">
      <c r="A56" s="1">
        <v>5</v>
      </c>
      <c r="B56" s="1" t="s">
        <v>527</v>
      </c>
      <c r="C56" s="1" t="s">
        <v>528</v>
      </c>
      <c r="D56" s="1">
        <v>40</v>
      </c>
      <c r="E56" s="4">
        <v>750</v>
      </c>
      <c r="F56" s="4">
        <f t="shared" si="15"/>
        <v>30000</v>
      </c>
      <c r="G56" s="1"/>
      <c r="H56" s="1"/>
      <c r="I56" s="1"/>
      <c r="J56" s="1"/>
      <c r="K56" s="1"/>
      <c r="L56" s="1"/>
      <c r="M56" s="1"/>
      <c r="N56" s="1"/>
      <c r="O56" s="72"/>
      <c r="P56" s="1"/>
      <c r="Q56" s="72"/>
      <c r="R56" s="1"/>
      <c r="S56" s="1"/>
      <c r="T56" s="1"/>
      <c r="U56" s="14"/>
    </row>
    <row r="57" spans="1:21" x14ac:dyDescent="0.25">
      <c r="A57" s="1"/>
      <c r="B57" s="1"/>
      <c r="C57" s="1"/>
      <c r="D57" s="1"/>
      <c r="E57" s="4"/>
      <c r="F57" s="4"/>
      <c r="G57" s="1"/>
      <c r="H57" s="1"/>
      <c r="I57" s="1"/>
      <c r="J57" s="1"/>
      <c r="K57" s="1"/>
      <c r="L57" s="1"/>
      <c r="M57" s="1"/>
      <c r="N57" s="1"/>
      <c r="O57" s="72"/>
      <c r="P57" s="1"/>
      <c r="Q57" s="72"/>
      <c r="R57" s="1"/>
      <c r="S57" s="1"/>
      <c r="T57" s="1"/>
      <c r="U57" s="14"/>
    </row>
    <row r="58" spans="1:21" x14ac:dyDescent="0.25">
      <c r="A58" s="1"/>
      <c r="B58" s="1"/>
      <c r="C58" s="1"/>
      <c r="D58" s="1"/>
      <c r="E58" s="4"/>
      <c r="F58" s="4"/>
      <c r="G58" s="1"/>
      <c r="H58" s="1"/>
      <c r="I58" s="1"/>
      <c r="J58" s="1"/>
      <c r="K58" s="1"/>
      <c r="L58" s="1"/>
      <c r="M58" s="1"/>
      <c r="N58" s="1"/>
      <c r="O58" s="72"/>
      <c r="P58" s="1"/>
      <c r="Q58" s="72"/>
      <c r="R58" s="1"/>
      <c r="S58" s="1"/>
      <c r="T58" s="1"/>
      <c r="U58" s="14"/>
    </row>
    <row r="59" spans="1:21" x14ac:dyDescent="0.25">
      <c r="A59" s="1"/>
      <c r="B59" s="1"/>
      <c r="C59" s="1"/>
      <c r="D59" s="1"/>
      <c r="E59" s="4"/>
      <c r="F59" s="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4"/>
    </row>
    <row r="60" spans="1:21" x14ac:dyDescent="0.25">
      <c r="A60" s="145" t="s">
        <v>526</v>
      </c>
      <c r="B60" s="146"/>
      <c r="C60" s="1"/>
      <c r="D60" s="1"/>
      <c r="E60" s="4"/>
      <c r="F60" s="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4"/>
    </row>
    <row r="61" spans="1:21" x14ac:dyDescent="0.25">
      <c r="A61" s="74">
        <v>1</v>
      </c>
      <c r="B61" s="75" t="s">
        <v>389</v>
      </c>
      <c r="C61" s="1" t="s">
        <v>390</v>
      </c>
      <c r="D61" s="1">
        <v>36</v>
      </c>
      <c r="E61" s="4">
        <v>4000</v>
      </c>
      <c r="F61" s="4">
        <f>D61*E61</f>
        <v>144000</v>
      </c>
      <c r="G61" s="1" t="s">
        <v>23</v>
      </c>
      <c r="H61" s="1"/>
      <c r="I61" s="1" t="s">
        <v>22</v>
      </c>
      <c r="J61" s="1"/>
      <c r="K61" s="1"/>
      <c r="L61" s="1"/>
      <c r="M61" s="1"/>
      <c r="N61" s="1">
        <v>9</v>
      </c>
      <c r="O61" s="72">
        <f t="shared" ref="O61:O63" si="17">E61*N61</f>
        <v>36000</v>
      </c>
      <c r="P61" s="1"/>
      <c r="Q61" s="1"/>
      <c r="R61" s="1"/>
      <c r="S61" s="1"/>
      <c r="T61" s="1"/>
      <c r="U61" s="14"/>
    </row>
    <row r="62" spans="1:21" x14ac:dyDescent="0.25">
      <c r="A62" s="74">
        <v>2</v>
      </c>
      <c r="B62" s="75" t="s">
        <v>391</v>
      </c>
      <c r="C62" s="1" t="s">
        <v>390</v>
      </c>
      <c r="D62" s="1">
        <v>12</v>
      </c>
      <c r="E62" s="4">
        <v>8000</v>
      </c>
      <c r="F62" s="4">
        <f t="shared" ref="F62:F63" si="18">D62*E62</f>
        <v>96000</v>
      </c>
      <c r="G62" s="1" t="s">
        <v>23</v>
      </c>
      <c r="H62" s="1"/>
      <c r="I62" s="1" t="s">
        <v>22</v>
      </c>
      <c r="J62" s="1"/>
      <c r="K62" s="1"/>
      <c r="L62" s="1"/>
      <c r="M62" s="1"/>
      <c r="N62" s="1">
        <v>3</v>
      </c>
      <c r="O62" s="72">
        <f t="shared" si="17"/>
        <v>24000</v>
      </c>
      <c r="P62" s="1"/>
      <c r="Q62" s="1"/>
      <c r="R62" s="1"/>
      <c r="S62" s="1"/>
      <c r="T62" s="1"/>
      <c r="U62" s="14"/>
    </row>
    <row r="63" spans="1:21" x14ac:dyDescent="0.25">
      <c r="A63" s="103">
        <v>3</v>
      </c>
      <c r="B63" s="75" t="s">
        <v>392</v>
      </c>
      <c r="C63" s="1" t="s">
        <v>145</v>
      </c>
      <c r="D63" s="1">
        <v>3600</v>
      </c>
      <c r="E63" s="4">
        <v>50</v>
      </c>
      <c r="F63" s="4">
        <f t="shared" si="18"/>
        <v>180000</v>
      </c>
      <c r="G63" s="1" t="s">
        <v>23</v>
      </c>
      <c r="H63" s="1"/>
      <c r="I63" s="1" t="s">
        <v>22</v>
      </c>
      <c r="J63" s="1"/>
      <c r="K63" s="1"/>
      <c r="L63" s="1"/>
      <c r="M63" s="1"/>
      <c r="N63" s="1">
        <v>900</v>
      </c>
      <c r="O63" s="72">
        <f t="shared" si="17"/>
        <v>45000</v>
      </c>
      <c r="P63" s="1"/>
      <c r="Q63" s="1"/>
      <c r="R63" s="1"/>
      <c r="S63" s="1"/>
      <c r="T63" s="1"/>
      <c r="U63" s="14"/>
    </row>
    <row r="64" spans="1:21" ht="15.75" x14ac:dyDescent="0.25">
      <c r="A64" s="1"/>
      <c r="B64" s="27"/>
      <c r="C64" s="28"/>
      <c r="D64" s="28"/>
      <c r="E64" s="29"/>
      <c r="F64" s="114"/>
      <c r="G64" s="28"/>
      <c r="H64" s="16"/>
      <c r="I64" s="16"/>
      <c r="J64" s="1"/>
      <c r="K64" s="1"/>
      <c r="L64" s="1"/>
      <c r="M64" s="1"/>
      <c r="N64" s="1"/>
      <c r="O64" s="1"/>
      <c r="P64" s="1"/>
      <c r="Q64" s="1"/>
      <c r="R64" s="1"/>
      <c r="S64" s="1"/>
      <c r="T64" s="5"/>
      <c r="U64" s="14"/>
    </row>
    <row r="65" spans="1:21" ht="15.75" x14ac:dyDescent="0.25">
      <c r="A65" s="1"/>
      <c r="B65" s="27"/>
      <c r="C65" s="28"/>
      <c r="D65" s="28"/>
      <c r="E65" s="29"/>
      <c r="F65" s="114"/>
      <c r="G65" s="28"/>
      <c r="H65" s="16"/>
      <c r="I65" s="16"/>
      <c r="J65" s="1"/>
      <c r="K65" s="1"/>
      <c r="L65" s="1"/>
      <c r="M65" s="1"/>
      <c r="N65" s="1"/>
      <c r="O65" s="1"/>
      <c r="P65" s="1"/>
      <c r="Q65" s="1"/>
      <c r="R65" s="1"/>
      <c r="S65" s="1"/>
      <c r="T65" s="5"/>
      <c r="U65" s="14"/>
    </row>
    <row r="66" spans="1:21" ht="15.75" x14ac:dyDescent="0.25">
      <c r="A66" s="1"/>
      <c r="B66" s="27"/>
      <c r="C66" s="28"/>
      <c r="D66" s="28"/>
      <c r="E66" s="29"/>
      <c r="F66" s="114"/>
      <c r="G66" s="28"/>
      <c r="H66" s="16"/>
      <c r="I66" s="16"/>
      <c r="J66" s="1"/>
      <c r="K66" s="1"/>
      <c r="L66" s="1"/>
      <c r="M66" s="1"/>
      <c r="N66" s="1"/>
      <c r="O66" s="1"/>
      <c r="P66" s="1"/>
      <c r="Q66" s="1"/>
      <c r="R66" s="1"/>
      <c r="S66" s="1"/>
      <c r="T66" s="5"/>
      <c r="U66" s="14"/>
    </row>
    <row r="67" spans="1:21" ht="15.75" x14ac:dyDescent="0.25">
      <c r="A67" s="1"/>
      <c r="B67" s="27"/>
      <c r="C67" s="28"/>
      <c r="D67" s="28"/>
      <c r="E67" s="29"/>
      <c r="F67" s="114"/>
      <c r="G67" s="28"/>
      <c r="H67" s="16"/>
      <c r="I67" s="16"/>
      <c r="J67" s="1"/>
      <c r="K67" s="1"/>
      <c r="L67" s="1"/>
      <c r="M67" s="1"/>
      <c r="N67" s="1"/>
      <c r="O67" s="1"/>
      <c r="P67" s="1"/>
      <c r="Q67" s="1"/>
      <c r="R67" s="1"/>
      <c r="S67" s="1"/>
      <c r="T67" s="5"/>
      <c r="U67" s="14"/>
    </row>
    <row r="68" spans="1:21" ht="15.75" x14ac:dyDescent="0.25">
      <c r="A68" s="1"/>
      <c r="B68" s="27"/>
      <c r="C68" s="28"/>
      <c r="D68" s="28"/>
      <c r="E68" s="29"/>
      <c r="F68" s="114"/>
      <c r="G68" s="28"/>
      <c r="H68" s="16"/>
      <c r="I68" s="16"/>
      <c r="J68" s="1"/>
      <c r="K68" s="1"/>
      <c r="L68" s="1"/>
      <c r="M68" s="1"/>
      <c r="N68" s="1"/>
      <c r="O68" s="1"/>
      <c r="P68" s="1"/>
      <c r="Q68" s="1"/>
      <c r="R68" s="1"/>
      <c r="S68" s="1"/>
      <c r="T68" s="5"/>
      <c r="U68" s="14"/>
    </row>
    <row r="69" spans="1:21" ht="15.75" x14ac:dyDescent="0.25">
      <c r="A69" s="1"/>
      <c r="B69" s="27"/>
      <c r="C69" s="28"/>
      <c r="D69" s="28"/>
      <c r="E69" s="29"/>
      <c r="F69" s="114"/>
      <c r="G69" s="28"/>
      <c r="H69" s="16"/>
      <c r="I69" s="16"/>
      <c r="J69" s="1"/>
      <c r="K69" s="1"/>
      <c r="L69" s="1"/>
      <c r="M69" s="1"/>
      <c r="N69" s="1"/>
      <c r="O69" s="1"/>
      <c r="P69" s="1"/>
      <c r="Q69" s="1"/>
      <c r="R69" s="1"/>
      <c r="S69" s="1"/>
      <c r="T69" s="5"/>
      <c r="U69" s="14"/>
    </row>
    <row r="70" spans="1:21" x14ac:dyDescent="0.25">
      <c r="A70" s="1"/>
      <c r="B70" s="1"/>
      <c r="C70" s="1"/>
      <c r="D70" s="1"/>
      <c r="E70" s="4"/>
      <c r="F70" s="4">
        <f t="shared" si="0"/>
        <v>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4">
        <f t="shared" si="1"/>
        <v>0</v>
      </c>
    </row>
    <row r="71" spans="1:21" x14ac:dyDescent="0.25">
      <c r="A71" s="1"/>
      <c r="B71" s="1"/>
      <c r="C71" s="1"/>
      <c r="D71" s="1"/>
      <c r="E71" s="4"/>
      <c r="F71" s="4">
        <f t="shared" si="0"/>
        <v>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4">
        <f t="shared" si="1"/>
        <v>0</v>
      </c>
    </row>
    <row r="72" spans="1:21" x14ac:dyDescent="0.25">
      <c r="A72" s="1"/>
      <c r="B72" s="1"/>
      <c r="C72" s="1"/>
      <c r="D72" s="1"/>
      <c r="E72" s="4"/>
      <c r="F72" s="4">
        <f t="shared" si="0"/>
        <v>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4">
        <f t="shared" si="1"/>
        <v>0</v>
      </c>
    </row>
    <row r="73" spans="1:21" x14ac:dyDescent="0.25">
      <c r="A73" s="1"/>
      <c r="B73" s="1"/>
      <c r="C73" s="1"/>
      <c r="D73" s="1"/>
      <c r="E73" s="4"/>
      <c r="F73" s="4">
        <f t="shared" si="0"/>
        <v>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4">
        <f t="shared" si="1"/>
        <v>0</v>
      </c>
    </row>
    <row r="74" spans="1:21" x14ac:dyDescent="0.25">
      <c r="A74" s="1"/>
      <c r="B74" s="1"/>
      <c r="C74" s="1"/>
      <c r="D74" s="1"/>
      <c r="E74" s="4"/>
      <c r="F74" s="4">
        <f t="shared" si="0"/>
        <v>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4">
        <f t="shared" si="1"/>
        <v>0</v>
      </c>
    </row>
    <row r="75" spans="1:21" x14ac:dyDescent="0.25">
      <c r="A75" s="1"/>
      <c r="B75" s="1"/>
      <c r="C75" s="1"/>
      <c r="D75" s="1"/>
      <c r="E75" s="4"/>
      <c r="F75" s="4">
        <f t="shared" si="0"/>
        <v>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4">
        <f t="shared" si="1"/>
        <v>0</v>
      </c>
    </row>
    <row r="76" spans="1:21" x14ac:dyDescent="0.25">
      <c r="A76" s="3" t="s">
        <v>27</v>
      </c>
      <c r="B76" s="3"/>
      <c r="C76" s="3"/>
      <c r="D76" s="1"/>
      <c r="E76" s="4"/>
      <c r="F76" s="4">
        <f t="shared" si="0"/>
        <v>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4">
        <f t="shared" si="1"/>
        <v>0</v>
      </c>
    </row>
    <row r="77" spans="1:21" x14ac:dyDescent="0.25">
      <c r="A77" s="1"/>
      <c r="B77" s="1"/>
      <c r="C77" s="1"/>
      <c r="D77" s="1"/>
      <c r="E77" s="4"/>
      <c r="F77" s="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5"/>
      <c r="U77" s="14">
        <f t="shared" si="1"/>
        <v>0</v>
      </c>
    </row>
    <row r="78" spans="1:21" x14ac:dyDescent="0.25">
      <c r="A78" s="1"/>
      <c r="B78" s="1"/>
      <c r="C78" s="1"/>
      <c r="D78" s="1"/>
      <c r="E78" s="4"/>
      <c r="F78" s="4">
        <f t="shared" si="0"/>
        <v>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5"/>
      <c r="U78" s="14">
        <f t="shared" si="1"/>
        <v>0</v>
      </c>
    </row>
    <row r="79" spans="1:21" x14ac:dyDescent="0.25">
      <c r="A79" s="1"/>
      <c r="B79" s="1"/>
      <c r="C79" s="1"/>
      <c r="D79" s="1"/>
      <c r="E79" s="4"/>
      <c r="F79" s="4">
        <f t="shared" si="0"/>
        <v>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5"/>
      <c r="U79" s="14">
        <f t="shared" si="1"/>
        <v>0</v>
      </c>
    </row>
    <row r="80" spans="1:21" x14ac:dyDescent="0.25">
      <c r="A80" s="1"/>
      <c r="B80" s="1"/>
      <c r="C80" s="1"/>
      <c r="D80" s="1"/>
      <c r="E80" s="4"/>
      <c r="F80" s="4">
        <f t="shared" si="0"/>
        <v>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5"/>
      <c r="U80" s="14">
        <f t="shared" si="1"/>
        <v>0</v>
      </c>
    </row>
    <row r="81" spans="1:21" x14ac:dyDescent="0.25">
      <c r="A81" s="1"/>
      <c r="B81" s="1"/>
      <c r="C81" s="1"/>
      <c r="D81" s="1"/>
      <c r="E81" s="4"/>
      <c r="F81" s="4">
        <f t="shared" si="0"/>
        <v>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5"/>
      <c r="U81" s="14">
        <f t="shared" si="1"/>
        <v>0</v>
      </c>
    </row>
    <row r="82" spans="1:21" x14ac:dyDescent="0.25">
      <c r="A82" s="1"/>
      <c r="B82" s="1"/>
      <c r="C82" s="1"/>
      <c r="D82" s="1"/>
      <c r="E82" s="4"/>
      <c r="F82" s="4">
        <f t="shared" si="0"/>
        <v>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4">
        <f t="shared" si="1"/>
        <v>0</v>
      </c>
    </row>
    <row r="83" spans="1:21" x14ac:dyDescent="0.25">
      <c r="A83" s="1"/>
      <c r="B83" s="1"/>
      <c r="C83" s="1"/>
      <c r="D83" s="1"/>
      <c r="E83" s="4"/>
      <c r="F83" s="4">
        <f t="shared" si="0"/>
        <v>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4">
        <f t="shared" si="1"/>
        <v>0</v>
      </c>
    </row>
    <row r="84" spans="1:21" x14ac:dyDescent="0.25">
      <c r="A84" s="1"/>
      <c r="B84" s="1"/>
      <c r="C84" s="1"/>
      <c r="D84" s="1"/>
      <c r="E84" s="4"/>
      <c r="F84" s="4">
        <f t="shared" si="0"/>
        <v>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4">
        <f t="shared" si="1"/>
        <v>0</v>
      </c>
    </row>
    <row r="85" spans="1:21" x14ac:dyDescent="0.25">
      <c r="A85" s="1"/>
      <c r="B85" s="1"/>
      <c r="C85" s="1"/>
      <c r="D85" s="1"/>
      <c r="E85" s="4"/>
      <c r="F85" s="4">
        <f t="shared" si="0"/>
        <v>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4">
        <f t="shared" si="1"/>
        <v>0</v>
      </c>
    </row>
    <row r="86" spans="1:21" x14ac:dyDescent="0.25">
      <c r="A86" s="3" t="s">
        <v>29</v>
      </c>
      <c r="B86" s="3"/>
      <c r="C86" s="3"/>
      <c r="D86" s="1"/>
      <c r="E86" s="4"/>
      <c r="F86" s="4">
        <f t="shared" si="0"/>
        <v>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4">
        <f t="shared" si="1"/>
        <v>0</v>
      </c>
    </row>
    <row r="87" spans="1:21" ht="31.5" x14ac:dyDescent="0.25">
      <c r="A87" s="1">
        <v>1</v>
      </c>
      <c r="B87" s="61" t="s">
        <v>359</v>
      </c>
      <c r="C87" s="61" t="s">
        <v>81</v>
      </c>
      <c r="D87" s="60"/>
      <c r="E87" s="62">
        <v>200</v>
      </c>
      <c r="F87" s="62">
        <f t="shared" si="0"/>
        <v>0</v>
      </c>
      <c r="G87" s="1" t="s">
        <v>23</v>
      </c>
      <c r="H87" s="1" t="s">
        <v>28</v>
      </c>
      <c r="I87" s="1" t="s">
        <v>22</v>
      </c>
      <c r="J87" s="1"/>
      <c r="K87" s="1"/>
      <c r="L87" s="1"/>
      <c r="M87" s="12" t="s">
        <v>25</v>
      </c>
      <c r="N87" s="1"/>
      <c r="O87" s="1"/>
      <c r="P87" s="1"/>
      <c r="Q87" s="1"/>
      <c r="R87" s="1"/>
      <c r="S87" s="1"/>
      <c r="T87" s="1">
        <v>3000</v>
      </c>
      <c r="U87" s="14">
        <f t="shared" si="1"/>
        <v>0</v>
      </c>
    </row>
    <row r="88" spans="1:21" x14ac:dyDescent="0.25">
      <c r="A88" s="1">
        <v>2</v>
      </c>
      <c r="B88" s="60" t="s">
        <v>30</v>
      </c>
      <c r="C88" s="60" t="s">
        <v>55</v>
      </c>
      <c r="D88" s="60"/>
      <c r="E88" s="62"/>
      <c r="F88" s="62">
        <f t="shared" si="0"/>
        <v>0</v>
      </c>
      <c r="G88" s="1" t="s">
        <v>23</v>
      </c>
      <c r="H88" s="1" t="s">
        <v>28</v>
      </c>
      <c r="I88" s="1" t="s">
        <v>22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4">
        <f t="shared" si="1"/>
        <v>0</v>
      </c>
    </row>
    <row r="89" spans="1:21" x14ac:dyDescent="0.25">
      <c r="A89" s="31">
        <v>3</v>
      </c>
      <c r="B89" s="31" t="s">
        <v>229</v>
      </c>
      <c r="C89" s="31" t="s">
        <v>81</v>
      </c>
      <c r="D89" s="31">
        <v>53720</v>
      </c>
      <c r="E89" s="40">
        <v>200</v>
      </c>
      <c r="F89" s="40">
        <f t="shared" si="0"/>
        <v>10744000</v>
      </c>
      <c r="G89" s="1" t="s">
        <v>23</v>
      </c>
      <c r="H89" s="1" t="s">
        <v>28</v>
      </c>
      <c r="I89" s="1" t="s">
        <v>22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>
        <v>53720</v>
      </c>
      <c r="U89" s="14">
        <f t="shared" si="1"/>
        <v>10744000</v>
      </c>
    </row>
    <row r="90" spans="1:21" x14ac:dyDescent="0.25">
      <c r="A90" s="31">
        <v>4</v>
      </c>
      <c r="B90" s="31" t="s">
        <v>230</v>
      </c>
      <c r="C90" s="31" t="s">
        <v>231</v>
      </c>
      <c r="D90" s="31">
        <v>1</v>
      </c>
      <c r="E90" s="40">
        <v>3500000</v>
      </c>
      <c r="F90" s="40">
        <f t="shared" si="0"/>
        <v>3500000</v>
      </c>
      <c r="G90" s="1" t="s">
        <v>23</v>
      </c>
      <c r="H90" s="1" t="s">
        <v>28</v>
      </c>
      <c r="I90" s="1" t="s">
        <v>22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>
        <v>1</v>
      </c>
      <c r="U90" s="14">
        <f t="shared" si="1"/>
        <v>3500000</v>
      </c>
    </row>
    <row r="91" spans="1:21" x14ac:dyDescent="0.25">
      <c r="A91" s="1"/>
      <c r="B91" s="1"/>
      <c r="C91" s="1"/>
      <c r="D91" s="1"/>
      <c r="E91" s="4"/>
      <c r="F91" s="4">
        <f t="shared" si="0"/>
        <v>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4">
        <f t="shared" si="1"/>
        <v>0</v>
      </c>
    </row>
    <row r="92" spans="1:21" x14ac:dyDescent="0.25">
      <c r="A92" s="1"/>
      <c r="B92" s="1"/>
      <c r="C92" s="1"/>
      <c r="D92" s="1"/>
      <c r="E92" s="4"/>
      <c r="F92" s="4">
        <f t="shared" si="0"/>
        <v>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4">
        <f t="shared" si="1"/>
        <v>0</v>
      </c>
    </row>
    <row r="93" spans="1:21" x14ac:dyDescent="0.25">
      <c r="A93" s="1"/>
      <c r="B93" s="1"/>
      <c r="C93" s="1"/>
      <c r="D93" s="1"/>
      <c r="E93" s="4"/>
      <c r="F93" s="4">
        <f t="shared" si="0"/>
        <v>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4">
        <f t="shared" si="1"/>
        <v>0</v>
      </c>
    </row>
    <row r="94" spans="1:21" x14ac:dyDescent="0.25">
      <c r="A94" s="1"/>
      <c r="B94" s="1"/>
      <c r="C94" s="1"/>
      <c r="D94" s="1"/>
      <c r="E94" s="4"/>
      <c r="F94" s="4">
        <f t="shared" si="0"/>
        <v>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4">
        <f t="shared" si="1"/>
        <v>0</v>
      </c>
    </row>
    <row r="95" spans="1:21" x14ac:dyDescent="0.25">
      <c r="A95" s="1"/>
      <c r="B95" s="1"/>
      <c r="C95" s="1"/>
      <c r="D95" s="1"/>
      <c r="E95" s="4"/>
      <c r="F95" s="4">
        <f t="shared" si="0"/>
        <v>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4">
        <f t="shared" si="1"/>
        <v>0</v>
      </c>
    </row>
    <row r="96" spans="1:21" x14ac:dyDescent="0.25">
      <c r="A96" s="3" t="s">
        <v>31</v>
      </c>
      <c r="B96" s="3"/>
      <c r="C96" s="3"/>
      <c r="D96" s="1"/>
      <c r="E96" s="4"/>
      <c r="F96" s="4">
        <f t="shared" si="0"/>
        <v>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4">
        <f t="shared" si="1"/>
        <v>0</v>
      </c>
    </row>
    <row r="97" spans="1:21" x14ac:dyDescent="0.25">
      <c r="A97" s="1"/>
      <c r="B97" s="1"/>
      <c r="C97" s="1"/>
      <c r="D97" s="1"/>
      <c r="E97" s="4"/>
      <c r="F97" s="4">
        <f t="shared" si="0"/>
        <v>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4">
        <f t="shared" si="1"/>
        <v>0</v>
      </c>
    </row>
    <row r="98" spans="1:21" x14ac:dyDescent="0.25">
      <c r="A98" s="3" t="s">
        <v>37</v>
      </c>
      <c r="B98" s="3"/>
      <c r="C98" s="3"/>
      <c r="D98" s="1"/>
      <c r="E98" s="4"/>
      <c r="F98" s="4">
        <f t="shared" si="0"/>
        <v>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4">
        <f t="shared" si="1"/>
        <v>0</v>
      </c>
    </row>
    <row r="99" spans="1:21" ht="15" customHeight="1" x14ac:dyDescent="0.25">
      <c r="A99" s="63">
        <v>3</v>
      </c>
      <c r="B99" s="64" t="s">
        <v>151</v>
      </c>
      <c r="C99" s="63" t="s">
        <v>68</v>
      </c>
      <c r="D99" s="63">
        <v>10</v>
      </c>
      <c r="E99" s="65">
        <v>1400</v>
      </c>
      <c r="F99" s="65">
        <f t="shared" si="0"/>
        <v>14000</v>
      </c>
      <c r="G99" s="63" t="s">
        <v>23</v>
      </c>
      <c r="H99" s="63" t="s">
        <v>28</v>
      </c>
      <c r="I99" s="63" t="s">
        <v>22</v>
      </c>
      <c r="J99" s="63"/>
      <c r="K99" s="63"/>
      <c r="L99" s="63"/>
      <c r="M99" s="1"/>
      <c r="N99" s="1"/>
      <c r="O99" s="1"/>
      <c r="P99" s="1"/>
      <c r="Q99" s="1"/>
      <c r="R99" s="1"/>
      <c r="S99" s="1"/>
      <c r="T99" s="1">
        <v>10</v>
      </c>
      <c r="U99" s="14">
        <f t="shared" si="1"/>
        <v>14000</v>
      </c>
    </row>
    <row r="100" spans="1:21" ht="15.75" x14ac:dyDescent="0.25">
      <c r="A100" s="63">
        <v>4</v>
      </c>
      <c r="B100" s="64" t="s">
        <v>152</v>
      </c>
      <c r="C100" s="63" t="s">
        <v>68</v>
      </c>
      <c r="D100" s="63">
        <v>10</v>
      </c>
      <c r="E100" s="65">
        <v>1500</v>
      </c>
      <c r="F100" s="65">
        <f t="shared" si="0"/>
        <v>15000</v>
      </c>
      <c r="G100" s="63" t="s">
        <v>23</v>
      </c>
      <c r="H100" s="63" t="s">
        <v>28</v>
      </c>
      <c r="I100" s="63" t="s">
        <v>22</v>
      </c>
      <c r="J100" s="63"/>
      <c r="K100" s="63"/>
      <c r="L100" s="63"/>
      <c r="M100" s="1"/>
      <c r="N100" s="1"/>
      <c r="O100" s="1"/>
      <c r="P100" s="1"/>
      <c r="Q100" s="1"/>
      <c r="R100" s="1"/>
      <c r="S100" s="1"/>
      <c r="T100" s="1">
        <v>10</v>
      </c>
      <c r="U100" s="14">
        <f t="shared" si="1"/>
        <v>15000</v>
      </c>
    </row>
    <row r="101" spans="1:21" ht="15.75" x14ac:dyDescent="0.25">
      <c r="A101" s="63">
        <v>5</v>
      </c>
      <c r="B101" s="64" t="s">
        <v>153</v>
      </c>
      <c r="C101" s="63" t="s">
        <v>68</v>
      </c>
      <c r="D101" s="63">
        <v>15</v>
      </c>
      <c r="E101" s="65">
        <v>1600</v>
      </c>
      <c r="F101" s="65">
        <f t="shared" si="0"/>
        <v>24000</v>
      </c>
      <c r="G101" s="63" t="s">
        <v>23</v>
      </c>
      <c r="H101" s="63" t="s">
        <v>28</v>
      </c>
      <c r="I101" s="63" t="s">
        <v>22</v>
      </c>
      <c r="J101" s="63"/>
      <c r="K101" s="63"/>
      <c r="L101" s="63"/>
      <c r="M101" s="1"/>
      <c r="N101" s="1"/>
      <c r="O101" s="1"/>
      <c r="P101" s="1"/>
      <c r="Q101" s="1"/>
      <c r="R101" s="1"/>
      <c r="S101" s="1"/>
      <c r="T101" s="1">
        <v>15</v>
      </c>
      <c r="U101" s="14">
        <f t="shared" si="1"/>
        <v>24000</v>
      </c>
    </row>
    <row r="102" spans="1:21" ht="15.75" x14ac:dyDescent="0.25">
      <c r="A102" s="63">
        <v>6</v>
      </c>
      <c r="B102" s="64" t="s">
        <v>154</v>
      </c>
      <c r="C102" s="63" t="s">
        <v>68</v>
      </c>
      <c r="D102" s="63">
        <v>15</v>
      </c>
      <c r="E102" s="65">
        <v>1850</v>
      </c>
      <c r="F102" s="65">
        <f t="shared" si="0"/>
        <v>27750</v>
      </c>
      <c r="G102" s="63" t="s">
        <v>23</v>
      </c>
      <c r="H102" s="63" t="s">
        <v>28</v>
      </c>
      <c r="I102" s="63" t="s">
        <v>22</v>
      </c>
      <c r="J102" s="63"/>
      <c r="K102" s="63"/>
      <c r="L102" s="63"/>
      <c r="M102" s="1"/>
      <c r="N102" s="1"/>
      <c r="O102" s="1"/>
      <c r="P102" s="1"/>
      <c r="Q102" s="1"/>
      <c r="R102" s="1"/>
      <c r="S102" s="1"/>
      <c r="T102" s="1">
        <v>15</v>
      </c>
      <c r="U102" s="14">
        <f t="shared" si="1"/>
        <v>27750</v>
      </c>
    </row>
    <row r="103" spans="1:21" ht="15.75" x14ac:dyDescent="0.25">
      <c r="A103" s="63">
        <v>7</v>
      </c>
      <c r="B103" s="64" t="s">
        <v>155</v>
      </c>
      <c r="C103" s="63" t="s">
        <v>68</v>
      </c>
      <c r="D103" s="63">
        <v>15</v>
      </c>
      <c r="E103" s="65">
        <v>2100</v>
      </c>
      <c r="F103" s="65">
        <f t="shared" si="0"/>
        <v>31500</v>
      </c>
      <c r="G103" s="63" t="s">
        <v>23</v>
      </c>
      <c r="H103" s="63" t="s">
        <v>28</v>
      </c>
      <c r="I103" s="63" t="s">
        <v>22</v>
      </c>
      <c r="J103" s="63"/>
      <c r="K103" s="63"/>
      <c r="L103" s="63"/>
      <c r="M103" s="1"/>
      <c r="N103" s="1"/>
      <c r="O103" s="1"/>
      <c r="P103" s="1"/>
      <c r="Q103" s="1"/>
      <c r="R103" s="1"/>
      <c r="S103" s="1"/>
      <c r="T103" s="1">
        <v>15</v>
      </c>
      <c r="U103" s="14">
        <f t="shared" si="1"/>
        <v>31500</v>
      </c>
    </row>
    <row r="104" spans="1:21" ht="15.75" x14ac:dyDescent="0.25">
      <c r="A104" s="63">
        <v>8</v>
      </c>
      <c r="B104" s="64" t="s">
        <v>156</v>
      </c>
      <c r="C104" s="63" t="s">
        <v>68</v>
      </c>
      <c r="D104" s="63">
        <v>20</v>
      </c>
      <c r="E104" s="65">
        <v>2400</v>
      </c>
      <c r="F104" s="65">
        <f t="shared" si="0"/>
        <v>48000</v>
      </c>
      <c r="G104" s="63" t="s">
        <v>23</v>
      </c>
      <c r="H104" s="63" t="s">
        <v>28</v>
      </c>
      <c r="I104" s="63" t="s">
        <v>22</v>
      </c>
      <c r="J104" s="63"/>
      <c r="K104" s="63"/>
      <c r="L104" s="63"/>
      <c r="M104" s="1"/>
      <c r="N104" s="1"/>
      <c r="O104" s="1"/>
      <c r="P104" s="1"/>
      <c r="Q104" s="1"/>
      <c r="R104" s="1"/>
      <c r="S104" s="1"/>
      <c r="T104" s="1">
        <v>20</v>
      </c>
      <c r="U104" s="14">
        <f t="shared" si="1"/>
        <v>48000</v>
      </c>
    </row>
    <row r="105" spans="1:21" ht="15.75" x14ac:dyDescent="0.25">
      <c r="A105" s="63">
        <v>9</v>
      </c>
      <c r="B105" s="64" t="s">
        <v>146</v>
      </c>
      <c r="C105" s="63" t="s">
        <v>68</v>
      </c>
      <c r="D105" s="63">
        <v>10</v>
      </c>
      <c r="E105" s="65">
        <v>1380</v>
      </c>
      <c r="F105" s="65">
        <f t="shared" si="0"/>
        <v>13800</v>
      </c>
      <c r="G105" s="63" t="s">
        <v>23</v>
      </c>
      <c r="H105" s="63" t="s">
        <v>28</v>
      </c>
      <c r="I105" s="63" t="s">
        <v>22</v>
      </c>
      <c r="J105" s="63"/>
      <c r="K105" s="63"/>
      <c r="L105" s="63"/>
      <c r="M105" s="1"/>
      <c r="N105" s="1"/>
      <c r="O105" s="1"/>
      <c r="P105" s="1"/>
      <c r="Q105" s="1"/>
      <c r="R105" s="1"/>
      <c r="S105" s="1"/>
      <c r="T105" s="1">
        <v>10</v>
      </c>
      <c r="U105" s="14">
        <f t="shared" si="1"/>
        <v>13800</v>
      </c>
    </row>
    <row r="106" spans="1:21" ht="15.75" x14ac:dyDescent="0.25">
      <c r="A106" s="63">
        <v>10</v>
      </c>
      <c r="B106" s="64" t="s">
        <v>147</v>
      </c>
      <c r="C106" s="63" t="s">
        <v>68</v>
      </c>
      <c r="D106" s="63">
        <v>15</v>
      </c>
      <c r="E106" s="65">
        <v>1480</v>
      </c>
      <c r="F106" s="65">
        <f t="shared" si="0"/>
        <v>22200</v>
      </c>
      <c r="G106" s="63" t="s">
        <v>23</v>
      </c>
      <c r="H106" s="63" t="s">
        <v>28</v>
      </c>
      <c r="I106" s="63" t="s">
        <v>22</v>
      </c>
      <c r="J106" s="63"/>
      <c r="K106" s="63"/>
      <c r="L106" s="63"/>
      <c r="M106" s="1"/>
      <c r="N106" s="1"/>
      <c r="O106" s="1"/>
      <c r="P106" s="1"/>
      <c r="Q106" s="1"/>
      <c r="R106" s="1"/>
      <c r="S106" s="1"/>
      <c r="T106" s="1">
        <v>15</v>
      </c>
      <c r="U106" s="14">
        <f t="shared" si="1"/>
        <v>22200</v>
      </c>
    </row>
    <row r="107" spans="1:21" ht="15.75" x14ac:dyDescent="0.25">
      <c r="A107" s="63">
        <v>11</v>
      </c>
      <c r="B107" s="64" t="s">
        <v>148</v>
      </c>
      <c r="C107" s="63" t="s">
        <v>68</v>
      </c>
      <c r="D107" s="63">
        <v>15</v>
      </c>
      <c r="E107" s="65">
        <v>1590</v>
      </c>
      <c r="F107" s="65">
        <f t="shared" si="0"/>
        <v>23850</v>
      </c>
      <c r="G107" s="63" t="s">
        <v>23</v>
      </c>
      <c r="H107" s="63" t="s">
        <v>28</v>
      </c>
      <c r="I107" s="63" t="s">
        <v>22</v>
      </c>
      <c r="J107" s="63"/>
      <c r="K107" s="63"/>
      <c r="L107" s="63"/>
      <c r="M107" s="1"/>
      <c r="N107" s="1"/>
      <c r="O107" s="1"/>
      <c r="P107" s="1"/>
      <c r="Q107" s="1"/>
      <c r="R107" s="1"/>
      <c r="S107" s="1"/>
      <c r="T107" s="1">
        <v>15</v>
      </c>
      <c r="U107" s="14">
        <f t="shared" si="1"/>
        <v>23850</v>
      </c>
    </row>
    <row r="108" spans="1:21" ht="15.75" x14ac:dyDescent="0.25">
      <c r="A108" s="63">
        <v>12</v>
      </c>
      <c r="B108" s="64" t="s">
        <v>149</v>
      </c>
      <c r="C108" s="63" t="s">
        <v>68</v>
      </c>
      <c r="D108" s="63">
        <v>10</v>
      </c>
      <c r="E108" s="65">
        <v>1700</v>
      </c>
      <c r="F108" s="65">
        <f t="shared" si="0"/>
        <v>17000</v>
      </c>
      <c r="G108" s="63" t="s">
        <v>23</v>
      </c>
      <c r="H108" s="63" t="s">
        <v>28</v>
      </c>
      <c r="I108" s="63" t="s">
        <v>22</v>
      </c>
      <c r="J108" s="63"/>
      <c r="K108" s="63"/>
      <c r="L108" s="63"/>
      <c r="M108" s="1"/>
      <c r="N108" s="1"/>
      <c r="O108" s="1"/>
      <c r="P108" s="1"/>
      <c r="Q108" s="1"/>
      <c r="R108" s="1"/>
      <c r="S108" s="1"/>
      <c r="T108" s="1">
        <v>10</v>
      </c>
      <c r="U108" s="14">
        <f t="shared" si="1"/>
        <v>17000</v>
      </c>
    </row>
    <row r="109" spans="1:21" ht="15.75" x14ac:dyDescent="0.25">
      <c r="A109" s="63">
        <v>13</v>
      </c>
      <c r="B109" s="64" t="s">
        <v>150</v>
      </c>
      <c r="C109" s="63" t="s">
        <v>68</v>
      </c>
      <c r="D109" s="63">
        <v>10</v>
      </c>
      <c r="E109" s="65">
        <v>2400</v>
      </c>
      <c r="F109" s="65">
        <f t="shared" si="0"/>
        <v>24000</v>
      </c>
      <c r="G109" s="63" t="s">
        <v>23</v>
      </c>
      <c r="H109" s="63" t="s">
        <v>28</v>
      </c>
      <c r="I109" s="63" t="s">
        <v>22</v>
      </c>
      <c r="J109" s="63"/>
      <c r="K109" s="63"/>
      <c r="L109" s="63"/>
      <c r="M109" s="1"/>
      <c r="N109" s="1"/>
      <c r="O109" s="1"/>
      <c r="P109" s="1"/>
      <c r="Q109" s="1"/>
      <c r="R109" s="1"/>
      <c r="S109" s="1"/>
      <c r="T109" s="1">
        <v>10</v>
      </c>
      <c r="U109" s="14">
        <f t="shared" si="1"/>
        <v>24000</v>
      </c>
    </row>
    <row r="110" spans="1:21" x14ac:dyDescent="0.25">
      <c r="A110" s="60"/>
      <c r="B110" s="60" t="s">
        <v>529</v>
      </c>
      <c r="C110" s="60" t="s">
        <v>530</v>
      </c>
      <c r="D110" s="60">
        <v>2000</v>
      </c>
      <c r="E110" s="62">
        <v>250</v>
      </c>
      <c r="F110" s="62">
        <f t="shared" si="0"/>
        <v>500000</v>
      </c>
      <c r="G110" s="60"/>
      <c r="H110" s="60"/>
      <c r="I110" s="60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5"/>
      <c r="U110" s="14">
        <f t="shared" si="1"/>
        <v>500000</v>
      </c>
    </row>
    <row r="111" spans="1:21" x14ac:dyDescent="0.25">
      <c r="A111" s="1"/>
      <c r="B111" s="1"/>
      <c r="C111" s="1"/>
      <c r="D111" s="1"/>
      <c r="E111" s="4"/>
      <c r="F111" s="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5"/>
      <c r="U111" s="14"/>
    </row>
    <row r="112" spans="1:21" x14ac:dyDescent="0.25">
      <c r="A112" s="1"/>
      <c r="B112" s="1"/>
      <c r="C112" s="1"/>
      <c r="D112" s="1"/>
      <c r="E112" s="4"/>
      <c r="F112" s="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5"/>
      <c r="U112" s="14"/>
    </row>
    <row r="113" spans="1:21" x14ac:dyDescent="0.25">
      <c r="A113" s="1"/>
      <c r="B113" s="1"/>
      <c r="C113" s="1"/>
      <c r="D113" s="1"/>
      <c r="E113" s="4"/>
      <c r="F113" s="4">
        <f t="shared" si="0"/>
        <v>0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5"/>
      <c r="U113" s="14">
        <f t="shared" si="1"/>
        <v>0</v>
      </c>
    </row>
    <row r="114" spans="1:21" x14ac:dyDescent="0.25">
      <c r="A114" s="1"/>
      <c r="B114" s="1"/>
      <c r="C114" s="1"/>
      <c r="D114" s="1"/>
      <c r="E114" s="4"/>
      <c r="F114" s="4">
        <f t="shared" si="0"/>
        <v>0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5"/>
      <c r="U114" s="14">
        <f t="shared" si="1"/>
        <v>0</v>
      </c>
    </row>
    <row r="115" spans="1:21" x14ac:dyDescent="0.25">
      <c r="A115" s="1"/>
      <c r="B115" s="1"/>
      <c r="C115" s="1"/>
      <c r="D115" s="1"/>
      <c r="E115" s="4"/>
      <c r="F115" s="4">
        <f t="shared" si="0"/>
        <v>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5"/>
      <c r="U115" s="14">
        <f t="shared" si="1"/>
        <v>0</v>
      </c>
    </row>
    <row r="116" spans="1:21" x14ac:dyDescent="0.25">
      <c r="A116" s="141" t="s">
        <v>207</v>
      </c>
      <c r="B116" s="142"/>
      <c r="C116" s="58"/>
      <c r="D116" s="1"/>
      <c r="E116" s="4"/>
      <c r="F116" s="4">
        <f t="shared" si="0"/>
        <v>0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5"/>
      <c r="U116" s="14">
        <f t="shared" si="1"/>
        <v>0</v>
      </c>
    </row>
    <row r="117" spans="1:21" ht="15.75" x14ac:dyDescent="0.25">
      <c r="A117" s="1">
        <v>1</v>
      </c>
      <c r="B117" s="15" t="s">
        <v>203</v>
      </c>
      <c r="C117" s="1" t="s">
        <v>53</v>
      </c>
      <c r="D117" s="1">
        <v>700</v>
      </c>
      <c r="E117" s="4">
        <v>50</v>
      </c>
      <c r="F117" s="4">
        <f t="shared" ref="F117:F221" si="19">D117*E117</f>
        <v>35000</v>
      </c>
      <c r="G117" s="1" t="s">
        <v>23</v>
      </c>
      <c r="H117" s="1" t="s">
        <v>28</v>
      </c>
      <c r="I117" s="1" t="s">
        <v>22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>
        <v>1000</v>
      </c>
      <c r="U117" s="14">
        <f t="shared" ref="U117:U127" si="20">D117*E117</f>
        <v>35000</v>
      </c>
    </row>
    <row r="118" spans="1:21" x14ac:dyDescent="0.25">
      <c r="A118" s="1">
        <v>2</v>
      </c>
      <c r="B118" s="1" t="s">
        <v>204</v>
      </c>
      <c r="C118" s="1" t="s">
        <v>53</v>
      </c>
      <c r="D118" s="1">
        <v>700</v>
      </c>
      <c r="E118" s="4">
        <v>55</v>
      </c>
      <c r="F118" s="4">
        <f t="shared" si="19"/>
        <v>38500</v>
      </c>
      <c r="G118" s="1" t="s">
        <v>23</v>
      </c>
      <c r="H118" s="1" t="s">
        <v>28</v>
      </c>
      <c r="I118" s="1" t="s">
        <v>22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>
        <v>1000</v>
      </c>
      <c r="U118" s="14">
        <f t="shared" si="20"/>
        <v>38500</v>
      </c>
    </row>
    <row r="119" spans="1:21" x14ac:dyDescent="0.25">
      <c r="A119" s="1">
        <v>3</v>
      </c>
      <c r="B119" s="1" t="s">
        <v>205</v>
      </c>
      <c r="C119" s="1" t="s">
        <v>53</v>
      </c>
      <c r="D119" s="1">
        <v>700</v>
      </c>
      <c r="E119" s="4">
        <v>60</v>
      </c>
      <c r="F119" s="4">
        <f t="shared" si="19"/>
        <v>42000</v>
      </c>
      <c r="G119" s="1" t="s">
        <v>23</v>
      </c>
      <c r="H119" s="1" t="s">
        <v>28</v>
      </c>
      <c r="I119" s="1" t="s">
        <v>22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>
        <v>1000</v>
      </c>
      <c r="U119" s="14">
        <f t="shared" si="20"/>
        <v>42000</v>
      </c>
    </row>
    <row r="120" spans="1:21" x14ac:dyDescent="0.25">
      <c r="A120" s="1">
        <v>4</v>
      </c>
      <c r="B120" s="1" t="s">
        <v>206</v>
      </c>
      <c r="C120" s="1" t="s">
        <v>53</v>
      </c>
      <c r="D120" s="1">
        <v>400</v>
      </c>
      <c r="E120" s="4">
        <v>70</v>
      </c>
      <c r="F120" s="4">
        <f t="shared" si="19"/>
        <v>28000</v>
      </c>
      <c r="G120" s="1" t="s">
        <v>23</v>
      </c>
      <c r="H120" s="1" t="s">
        <v>28</v>
      </c>
      <c r="I120" s="1" t="s">
        <v>22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>
        <v>500</v>
      </c>
      <c r="U120" s="14">
        <f t="shared" si="20"/>
        <v>28000</v>
      </c>
    </row>
    <row r="121" spans="1:21" ht="15.75" x14ac:dyDescent="0.25">
      <c r="A121" s="1">
        <v>5</v>
      </c>
      <c r="B121" s="15" t="s">
        <v>58</v>
      </c>
      <c r="C121" s="1" t="s">
        <v>60</v>
      </c>
      <c r="D121" s="1">
        <v>4</v>
      </c>
      <c r="E121" s="4">
        <v>6500</v>
      </c>
      <c r="F121" s="4">
        <f t="shared" si="19"/>
        <v>26000</v>
      </c>
      <c r="G121" s="1" t="s">
        <v>23</v>
      </c>
      <c r="H121" s="1" t="s">
        <v>28</v>
      </c>
      <c r="I121" s="1" t="s">
        <v>22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>
        <v>6</v>
      </c>
      <c r="U121" s="14">
        <f t="shared" si="20"/>
        <v>26000</v>
      </c>
    </row>
    <row r="122" spans="1:21" ht="15.75" x14ac:dyDescent="0.25">
      <c r="A122" s="1">
        <v>6</v>
      </c>
      <c r="B122" s="15" t="s">
        <v>202</v>
      </c>
      <c r="C122" s="1" t="s">
        <v>61</v>
      </c>
      <c r="D122" s="1">
        <v>2</v>
      </c>
      <c r="E122" s="4">
        <v>35000</v>
      </c>
      <c r="F122" s="4">
        <f t="shared" si="19"/>
        <v>70000</v>
      </c>
      <c r="G122" s="1" t="s">
        <v>23</v>
      </c>
      <c r="H122" s="1" t="s">
        <v>28</v>
      </c>
      <c r="I122" s="1" t="s">
        <v>22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>
        <v>3</v>
      </c>
      <c r="U122" s="14">
        <f t="shared" si="20"/>
        <v>70000</v>
      </c>
    </row>
    <row r="123" spans="1:21" ht="15.75" x14ac:dyDescent="0.25">
      <c r="A123" s="1">
        <v>7</v>
      </c>
      <c r="B123" s="15" t="s">
        <v>62</v>
      </c>
      <c r="C123" s="1" t="s">
        <v>60</v>
      </c>
      <c r="D123" s="1">
        <v>15</v>
      </c>
      <c r="E123" s="4">
        <v>2400</v>
      </c>
      <c r="F123" s="4">
        <f t="shared" si="19"/>
        <v>36000</v>
      </c>
      <c r="G123" s="1" t="s">
        <v>23</v>
      </c>
      <c r="H123" s="1" t="s">
        <v>28</v>
      </c>
      <c r="I123" s="1" t="s">
        <v>22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>
        <v>20</v>
      </c>
      <c r="U123" s="14">
        <f t="shared" si="20"/>
        <v>36000</v>
      </c>
    </row>
    <row r="124" spans="1:21" ht="15.75" x14ac:dyDescent="0.25">
      <c r="A124" s="1">
        <v>8</v>
      </c>
      <c r="B124" s="15" t="s">
        <v>78</v>
      </c>
      <c r="C124" s="1" t="s">
        <v>60</v>
      </c>
      <c r="D124" s="1">
        <v>15</v>
      </c>
      <c r="E124" s="4">
        <v>2800</v>
      </c>
      <c r="F124" s="4">
        <f t="shared" si="19"/>
        <v>42000</v>
      </c>
      <c r="G124" s="1" t="s">
        <v>23</v>
      </c>
      <c r="H124" s="1" t="s">
        <v>28</v>
      </c>
      <c r="I124" s="1" t="s">
        <v>22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>
        <v>20</v>
      </c>
      <c r="U124" s="14">
        <f t="shared" si="20"/>
        <v>42000</v>
      </c>
    </row>
    <row r="125" spans="1:21" ht="15.75" x14ac:dyDescent="0.25">
      <c r="A125" s="1">
        <v>9</v>
      </c>
      <c r="B125" s="15" t="s">
        <v>199</v>
      </c>
      <c r="C125" s="1" t="s">
        <v>61</v>
      </c>
      <c r="D125" s="1">
        <v>2</v>
      </c>
      <c r="E125" s="4">
        <v>15800</v>
      </c>
      <c r="F125" s="4">
        <f t="shared" si="19"/>
        <v>31600</v>
      </c>
      <c r="G125" s="1" t="s">
        <v>23</v>
      </c>
      <c r="H125" s="1" t="s">
        <v>28</v>
      </c>
      <c r="I125" s="1" t="s">
        <v>22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>
        <v>3</v>
      </c>
      <c r="U125" s="14">
        <f t="shared" si="20"/>
        <v>31600</v>
      </c>
    </row>
    <row r="126" spans="1:21" ht="15.75" x14ac:dyDescent="0.25">
      <c r="A126" s="1">
        <v>10</v>
      </c>
      <c r="B126" s="15" t="s">
        <v>200</v>
      </c>
      <c r="C126" s="1" t="s">
        <v>61</v>
      </c>
      <c r="D126" s="1">
        <v>2</v>
      </c>
      <c r="E126" s="4">
        <v>14800</v>
      </c>
      <c r="F126" s="4">
        <f t="shared" si="19"/>
        <v>29600</v>
      </c>
      <c r="G126" s="1" t="s">
        <v>23</v>
      </c>
      <c r="H126" s="1" t="s">
        <v>28</v>
      </c>
      <c r="I126" s="1" t="s">
        <v>22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>
        <v>3</v>
      </c>
      <c r="U126" s="14">
        <f t="shared" si="20"/>
        <v>29600</v>
      </c>
    </row>
    <row r="127" spans="1:21" x14ac:dyDescent="0.25">
      <c r="A127" s="1">
        <v>11</v>
      </c>
      <c r="B127" s="16" t="s">
        <v>201</v>
      </c>
      <c r="C127" s="1" t="s">
        <v>61</v>
      </c>
      <c r="D127" s="1">
        <v>2</v>
      </c>
      <c r="E127" s="4">
        <v>15800</v>
      </c>
      <c r="F127" s="4">
        <f t="shared" si="19"/>
        <v>31600</v>
      </c>
      <c r="G127" s="1" t="s">
        <v>23</v>
      </c>
      <c r="H127" s="1" t="s">
        <v>28</v>
      </c>
      <c r="I127" s="1" t="s">
        <v>22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>
        <v>3</v>
      </c>
      <c r="U127" s="14">
        <f t="shared" si="20"/>
        <v>31600</v>
      </c>
    </row>
    <row r="128" spans="1:21" ht="60.75" customHeight="1" x14ac:dyDescent="0.25">
      <c r="A128" s="1">
        <v>12</v>
      </c>
      <c r="B128" s="15" t="s">
        <v>67</v>
      </c>
      <c r="C128" s="19" t="s">
        <v>55</v>
      </c>
      <c r="D128" s="22">
        <v>2</v>
      </c>
      <c r="E128" s="4">
        <v>78000</v>
      </c>
      <c r="F128" s="4">
        <f>D128*E128</f>
        <v>156000</v>
      </c>
      <c r="G128" s="1" t="s">
        <v>23</v>
      </c>
      <c r="H128" s="1" t="s">
        <v>28</v>
      </c>
      <c r="I128" s="1" t="s">
        <v>22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22">
        <v>4</v>
      </c>
      <c r="U128" s="14">
        <f>D128*E128</f>
        <v>156000</v>
      </c>
    </row>
    <row r="129" spans="1:21" ht="31.5" x14ac:dyDescent="0.25">
      <c r="A129" s="1">
        <v>13</v>
      </c>
      <c r="B129" s="15" t="s">
        <v>197</v>
      </c>
      <c r="C129" s="23" t="s">
        <v>198</v>
      </c>
      <c r="D129" s="23">
        <v>3</v>
      </c>
      <c r="E129" s="4">
        <v>38000</v>
      </c>
      <c r="F129" s="4">
        <f>D129*E129</f>
        <v>114000</v>
      </c>
      <c r="G129" s="1" t="s">
        <v>23</v>
      </c>
      <c r="H129" s="1" t="s">
        <v>28</v>
      </c>
      <c r="I129" s="1" t="s">
        <v>22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23"/>
      <c r="U129" s="14">
        <f t="shared" ref="U129:U130" si="21">D129*E129</f>
        <v>114000</v>
      </c>
    </row>
    <row r="130" spans="1:21" ht="15.75" x14ac:dyDescent="0.25">
      <c r="A130" s="1">
        <v>15</v>
      </c>
      <c r="B130" s="15" t="s">
        <v>119</v>
      </c>
      <c r="C130" s="23" t="s">
        <v>71</v>
      </c>
      <c r="D130" s="23">
        <v>2</v>
      </c>
      <c r="E130" s="4">
        <v>24000</v>
      </c>
      <c r="F130" s="4">
        <f>D130*E130</f>
        <v>48000</v>
      </c>
      <c r="G130" s="1" t="s">
        <v>23</v>
      </c>
      <c r="H130" s="1" t="s">
        <v>28</v>
      </c>
      <c r="I130" s="1" t="s">
        <v>22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23"/>
      <c r="U130" s="14">
        <f t="shared" si="21"/>
        <v>48000</v>
      </c>
    </row>
    <row r="131" spans="1:21" ht="15.75" x14ac:dyDescent="0.25">
      <c r="A131" s="1">
        <v>16</v>
      </c>
      <c r="B131" s="20" t="s">
        <v>99</v>
      </c>
      <c r="C131" s="1" t="s">
        <v>100</v>
      </c>
      <c r="D131" s="1">
        <v>3</v>
      </c>
      <c r="E131" s="4">
        <v>6200</v>
      </c>
      <c r="F131" s="4">
        <f>D131*E131</f>
        <v>18600</v>
      </c>
      <c r="G131" s="1" t="s">
        <v>23</v>
      </c>
      <c r="H131" s="1" t="s">
        <v>28</v>
      </c>
      <c r="I131" s="1" t="s">
        <v>22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>
        <v>5</v>
      </c>
      <c r="U131" s="14">
        <f>D131*E131</f>
        <v>18600</v>
      </c>
    </row>
    <row r="132" spans="1:21" x14ac:dyDescent="0.25">
      <c r="A132" s="1"/>
      <c r="B132" s="1" t="s">
        <v>516</v>
      </c>
      <c r="C132" s="1" t="s">
        <v>517</v>
      </c>
      <c r="D132" s="1">
        <v>12</v>
      </c>
      <c r="E132" s="4">
        <v>8500</v>
      </c>
      <c r="F132" s="4">
        <f t="shared" ref="F132:F134" si="22">D132*E132</f>
        <v>102000</v>
      </c>
      <c r="G132" s="1"/>
      <c r="H132" s="1"/>
      <c r="I132" s="1"/>
      <c r="J132" s="88"/>
      <c r="K132" s="88"/>
      <c r="L132" s="88"/>
      <c r="M132" s="99"/>
      <c r="N132" s="1"/>
      <c r="O132" s="1"/>
      <c r="P132" s="1"/>
      <c r="Q132" s="1"/>
      <c r="R132" s="1"/>
      <c r="S132" s="1"/>
      <c r="T132" s="1"/>
      <c r="U132" s="14">
        <f t="shared" ref="U132:U134" si="23">D132*E132</f>
        <v>102000</v>
      </c>
    </row>
    <row r="133" spans="1:21" x14ac:dyDescent="0.25">
      <c r="A133" s="1"/>
      <c r="B133" s="1" t="s">
        <v>518</v>
      </c>
      <c r="C133" s="1" t="s">
        <v>517</v>
      </c>
      <c r="D133" s="1">
        <v>8</v>
      </c>
      <c r="E133" s="4">
        <v>1640</v>
      </c>
      <c r="F133" s="4">
        <f t="shared" si="22"/>
        <v>13120</v>
      </c>
      <c r="G133" s="1"/>
      <c r="H133" s="1"/>
      <c r="I133" s="1"/>
      <c r="J133" s="88"/>
      <c r="K133" s="88"/>
      <c r="L133" s="88"/>
      <c r="M133" s="99"/>
      <c r="N133" s="1"/>
      <c r="O133" s="1"/>
      <c r="P133" s="1"/>
      <c r="Q133" s="1"/>
      <c r="R133" s="1"/>
      <c r="S133" s="1"/>
      <c r="T133" s="1"/>
      <c r="U133" s="14">
        <f t="shared" si="23"/>
        <v>13120</v>
      </c>
    </row>
    <row r="134" spans="1:21" x14ac:dyDescent="0.25">
      <c r="A134" s="1"/>
      <c r="B134" s="1" t="s">
        <v>519</v>
      </c>
      <c r="C134" s="1" t="s">
        <v>198</v>
      </c>
      <c r="D134" s="1">
        <v>4</v>
      </c>
      <c r="E134" s="4">
        <v>5760</v>
      </c>
      <c r="F134" s="4">
        <f t="shared" si="22"/>
        <v>23040</v>
      </c>
      <c r="G134" s="1"/>
      <c r="H134" s="1"/>
      <c r="I134" s="1"/>
      <c r="J134" s="88"/>
      <c r="K134" s="88"/>
      <c r="L134" s="88"/>
      <c r="M134" s="99"/>
      <c r="N134" s="1"/>
      <c r="O134" s="1"/>
      <c r="P134" s="1"/>
      <c r="Q134" s="1"/>
      <c r="R134" s="1"/>
      <c r="S134" s="1"/>
      <c r="T134" s="1"/>
      <c r="U134" s="14">
        <f t="shared" si="23"/>
        <v>23040</v>
      </c>
    </row>
    <row r="135" spans="1:21" ht="15.75" x14ac:dyDescent="0.25">
      <c r="A135" s="1"/>
      <c r="B135" s="15"/>
      <c r="C135" s="23"/>
      <c r="D135" s="23"/>
      <c r="E135" s="4"/>
      <c r="F135" s="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5"/>
      <c r="U135" s="14"/>
    </row>
    <row r="136" spans="1:21" ht="15.75" x14ac:dyDescent="0.25">
      <c r="A136" s="1"/>
      <c r="B136" s="15"/>
      <c r="C136" s="23"/>
      <c r="D136" s="23"/>
      <c r="E136" s="4"/>
      <c r="F136" s="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5"/>
      <c r="U136" s="14"/>
    </row>
    <row r="137" spans="1:21" ht="15.75" x14ac:dyDescent="0.25">
      <c r="A137" s="1"/>
      <c r="B137" s="15"/>
      <c r="C137" s="23"/>
      <c r="D137" s="23"/>
      <c r="E137" s="4"/>
      <c r="F137" s="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5"/>
      <c r="U137" s="14"/>
    </row>
    <row r="138" spans="1:21" ht="15.75" x14ac:dyDescent="0.25">
      <c r="A138" s="1"/>
      <c r="B138" s="15"/>
      <c r="C138" s="1"/>
      <c r="D138" s="1"/>
      <c r="E138" s="4"/>
      <c r="F138" s="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5"/>
      <c r="U138" s="14"/>
    </row>
    <row r="139" spans="1:21" ht="15.75" x14ac:dyDescent="0.25">
      <c r="A139" s="1"/>
      <c r="B139" s="15"/>
      <c r="C139" s="1"/>
      <c r="D139" s="1"/>
      <c r="E139" s="4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5"/>
      <c r="U139" s="14"/>
    </row>
    <row r="140" spans="1:21" x14ac:dyDescent="0.25">
      <c r="A140" s="1"/>
      <c r="B140" s="1"/>
      <c r="C140" s="1"/>
      <c r="D140" s="1"/>
      <c r="E140" s="4"/>
      <c r="F140" s="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5"/>
      <c r="U140" s="14"/>
    </row>
    <row r="141" spans="1:21" x14ac:dyDescent="0.25">
      <c r="A141" s="1" t="s">
        <v>208</v>
      </c>
      <c r="B141" s="1"/>
      <c r="C141" s="1"/>
      <c r="D141" s="1"/>
      <c r="E141" s="4"/>
      <c r="F141" s="4">
        <f>C140*E141</f>
        <v>0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5"/>
      <c r="U141" s="14">
        <f>C140*E141</f>
        <v>0</v>
      </c>
    </row>
    <row r="142" spans="1:21" ht="15.75" x14ac:dyDescent="0.25">
      <c r="A142" s="1">
        <v>1</v>
      </c>
      <c r="B142" s="15" t="s">
        <v>172</v>
      </c>
      <c r="C142" s="1" t="s">
        <v>66</v>
      </c>
      <c r="D142" s="1">
        <v>4</v>
      </c>
      <c r="E142" s="4">
        <v>18900</v>
      </c>
      <c r="F142" s="4">
        <f>D142*E142</f>
        <v>75600</v>
      </c>
      <c r="G142" s="1" t="s">
        <v>23</v>
      </c>
      <c r="H142" s="1" t="s">
        <v>28</v>
      </c>
      <c r="I142" s="1" t="s">
        <v>22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4"/>
    </row>
    <row r="143" spans="1:21" x14ac:dyDescent="0.25">
      <c r="A143" s="1">
        <v>2</v>
      </c>
      <c r="B143" s="1" t="s">
        <v>304</v>
      </c>
      <c r="C143" s="1"/>
      <c r="D143" s="1">
        <v>2</v>
      </c>
      <c r="E143" s="4">
        <v>6500</v>
      </c>
      <c r="F143" s="4">
        <f t="shared" ref="F143:F163" si="24">D143*E143</f>
        <v>13000</v>
      </c>
      <c r="G143" s="1" t="s">
        <v>23</v>
      </c>
      <c r="H143" s="1" t="s">
        <v>28</v>
      </c>
      <c r="I143" s="1" t="s">
        <v>22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4"/>
    </row>
    <row r="144" spans="1:21" x14ac:dyDescent="0.25">
      <c r="A144" s="1">
        <v>5</v>
      </c>
      <c r="B144" s="1" t="s">
        <v>50</v>
      </c>
      <c r="C144" s="1"/>
      <c r="D144" s="1">
        <v>2</v>
      </c>
      <c r="E144" s="4">
        <v>54600</v>
      </c>
      <c r="F144" s="4">
        <f t="shared" si="24"/>
        <v>109200</v>
      </c>
      <c r="G144" s="1" t="s">
        <v>23</v>
      </c>
      <c r="H144" s="1" t="s">
        <v>28</v>
      </c>
      <c r="I144" s="1" t="s">
        <v>22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4"/>
    </row>
    <row r="145" spans="1:21" x14ac:dyDescent="0.25">
      <c r="A145" s="1">
        <v>6</v>
      </c>
      <c r="B145" s="1" t="s">
        <v>51</v>
      </c>
      <c r="C145" s="1"/>
      <c r="D145" s="1">
        <v>2</v>
      </c>
      <c r="E145" s="4">
        <v>6500</v>
      </c>
      <c r="F145" s="4">
        <f t="shared" si="24"/>
        <v>13000</v>
      </c>
      <c r="G145" s="1" t="s">
        <v>23</v>
      </c>
      <c r="H145" s="1" t="s">
        <v>28</v>
      </c>
      <c r="I145" s="1" t="s">
        <v>22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4"/>
    </row>
    <row r="146" spans="1:21" x14ac:dyDescent="0.25">
      <c r="A146" s="1">
        <v>7</v>
      </c>
      <c r="B146" s="1" t="s">
        <v>241</v>
      </c>
      <c r="C146" s="1"/>
      <c r="D146" s="1">
        <v>2</v>
      </c>
      <c r="E146" s="4">
        <v>38800</v>
      </c>
      <c r="F146" s="4">
        <f t="shared" si="24"/>
        <v>77600</v>
      </c>
      <c r="G146" s="1" t="s">
        <v>23</v>
      </c>
      <c r="H146" s="1" t="s">
        <v>28</v>
      </c>
      <c r="I146" s="1" t="s">
        <v>22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4"/>
    </row>
    <row r="147" spans="1:21" x14ac:dyDescent="0.25">
      <c r="A147" s="1">
        <v>8</v>
      </c>
      <c r="B147" s="1" t="s">
        <v>242</v>
      </c>
      <c r="C147" s="1"/>
      <c r="D147" s="1">
        <v>2</v>
      </c>
      <c r="E147" s="4">
        <v>28600</v>
      </c>
      <c r="F147" s="4">
        <f t="shared" si="24"/>
        <v>57200</v>
      </c>
      <c r="G147" s="1" t="s">
        <v>23</v>
      </c>
      <c r="H147" s="1" t="s">
        <v>28</v>
      </c>
      <c r="I147" s="1" t="s">
        <v>22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4"/>
    </row>
    <row r="148" spans="1:21" ht="19.5" customHeight="1" x14ac:dyDescent="0.25">
      <c r="A148" s="1">
        <v>9</v>
      </c>
      <c r="B148" s="1" t="s">
        <v>52</v>
      </c>
      <c r="C148" s="1"/>
      <c r="D148" s="1">
        <v>2</v>
      </c>
      <c r="E148" s="4">
        <v>5800</v>
      </c>
      <c r="F148" s="4">
        <f t="shared" si="24"/>
        <v>11600</v>
      </c>
      <c r="G148" s="1" t="s">
        <v>23</v>
      </c>
      <c r="H148" s="1" t="s">
        <v>28</v>
      </c>
      <c r="I148" s="1" t="s">
        <v>22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4"/>
    </row>
    <row r="149" spans="1:21" ht="15.75" x14ac:dyDescent="0.25">
      <c r="A149" s="1">
        <v>10</v>
      </c>
      <c r="B149" s="20" t="s">
        <v>243</v>
      </c>
      <c r="C149" s="1" t="s">
        <v>59</v>
      </c>
      <c r="D149" s="1">
        <v>5</v>
      </c>
      <c r="E149" s="4">
        <v>65500</v>
      </c>
      <c r="F149" s="4">
        <f t="shared" si="24"/>
        <v>327500</v>
      </c>
      <c r="G149" s="1" t="s">
        <v>23</v>
      </c>
      <c r="H149" s="1" t="s">
        <v>28</v>
      </c>
      <c r="I149" s="1" t="s">
        <v>22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4"/>
    </row>
    <row r="150" spans="1:21" ht="15.75" x14ac:dyDescent="0.25">
      <c r="A150" s="1">
        <v>11</v>
      </c>
      <c r="B150" s="20" t="s">
        <v>56</v>
      </c>
      <c r="C150" s="1" t="s">
        <v>59</v>
      </c>
      <c r="D150" s="1">
        <v>5</v>
      </c>
      <c r="E150" s="4">
        <v>6500</v>
      </c>
      <c r="F150" s="4">
        <f t="shared" si="24"/>
        <v>32500</v>
      </c>
      <c r="G150" s="1" t="s">
        <v>23</v>
      </c>
      <c r="H150" s="1" t="s">
        <v>28</v>
      </c>
      <c r="I150" s="1" t="s">
        <v>22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4"/>
    </row>
    <row r="151" spans="1:21" ht="15.75" x14ac:dyDescent="0.25">
      <c r="A151" s="1">
        <v>12</v>
      </c>
      <c r="B151" s="20" t="s">
        <v>57</v>
      </c>
      <c r="C151" s="1" t="s">
        <v>59</v>
      </c>
      <c r="D151" s="1">
        <v>5</v>
      </c>
      <c r="E151" s="4">
        <v>4800</v>
      </c>
      <c r="F151" s="4">
        <f t="shared" si="24"/>
        <v>24000</v>
      </c>
      <c r="G151" s="1" t="s">
        <v>23</v>
      </c>
      <c r="H151" s="1" t="s">
        <v>28</v>
      </c>
      <c r="I151" s="1" t="s">
        <v>22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4"/>
    </row>
    <row r="152" spans="1:21" ht="15.75" x14ac:dyDescent="0.25">
      <c r="A152" s="1">
        <v>13</v>
      </c>
      <c r="B152" s="15" t="s">
        <v>63</v>
      </c>
      <c r="C152" s="1" t="s">
        <v>66</v>
      </c>
      <c r="D152" s="1">
        <v>2</v>
      </c>
      <c r="E152" s="4">
        <v>24800</v>
      </c>
      <c r="F152" s="4">
        <f t="shared" si="24"/>
        <v>49600</v>
      </c>
      <c r="G152" s="1" t="s">
        <v>23</v>
      </c>
      <c r="H152" s="1" t="s">
        <v>28</v>
      </c>
      <c r="I152" s="1" t="s">
        <v>22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4"/>
    </row>
    <row r="153" spans="1:21" ht="15.75" x14ac:dyDescent="0.25">
      <c r="A153" s="1">
        <v>14</v>
      </c>
      <c r="B153" s="15" t="s">
        <v>64</v>
      </c>
      <c r="C153" s="1" t="s">
        <v>66</v>
      </c>
      <c r="D153" s="1">
        <v>2</v>
      </c>
      <c r="E153" s="47">
        <v>26800</v>
      </c>
      <c r="F153" s="4">
        <f t="shared" si="24"/>
        <v>53600</v>
      </c>
      <c r="G153" s="1" t="s">
        <v>23</v>
      </c>
      <c r="H153" s="1" t="s">
        <v>28</v>
      </c>
      <c r="I153" s="1" t="s">
        <v>22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4"/>
    </row>
    <row r="154" spans="1:21" ht="15.75" x14ac:dyDescent="0.25">
      <c r="A154" s="1">
        <v>15</v>
      </c>
      <c r="B154" s="15" t="s">
        <v>65</v>
      </c>
      <c r="C154" s="1" t="s">
        <v>66</v>
      </c>
      <c r="D154" s="1">
        <v>2</v>
      </c>
      <c r="E154" s="4">
        <v>26800</v>
      </c>
      <c r="F154" s="4">
        <f t="shared" si="24"/>
        <v>53600</v>
      </c>
      <c r="G154" s="1" t="s">
        <v>23</v>
      </c>
      <c r="H154" s="1" t="s">
        <v>28</v>
      </c>
      <c r="I154" s="1" t="s">
        <v>22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4"/>
    </row>
    <row r="155" spans="1:21" ht="15.75" x14ac:dyDescent="0.25">
      <c r="A155" s="1">
        <v>16</v>
      </c>
      <c r="B155" s="20" t="s">
        <v>244</v>
      </c>
      <c r="C155" s="1" t="s">
        <v>59</v>
      </c>
      <c r="D155" s="1">
        <v>5</v>
      </c>
      <c r="E155" s="4">
        <v>3500</v>
      </c>
      <c r="F155" s="4">
        <f t="shared" si="24"/>
        <v>17500</v>
      </c>
      <c r="G155" s="1" t="s">
        <v>23</v>
      </c>
      <c r="H155" s="1" t="s">
        <v>28</v>
      </c>
      <c r="I155" s="1" t="s">
        <v>22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4"/>
    </row>
    <row r="156" spans="1:21" ht="15.75" x14ac:dyDescent="0.25">
      <c r="A156" s="1">
        <v>17</v>
      </c>
      <c r="B156" s="20" t="s">
        <v>245</v>
      </c>
      <c r="C156" s="1" t="s">
        <v>59</v>
      </c>
      <c r="D156" s="1">
        <v>5</v>
      </c>
      <c r="E156" s="4">
        <v>4500</v>
      </c>
      <c r="F156" s="4">
        <f t="shared" si="24"/>
        <v>22500</v>
      </c>
      <c r="G156" s="1" t="s">
        <v>23</v>
      </c>
      <c r="H156" s="1" t="s">
        <v>28</v>
      </c>
      <c r="I156" s="1" t="s">
        <v>22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4"/>
    </row>
    <row r="157" spans="1:21" ht="31.5" x14ac:dyDescent="0.25">
      <c r="A157" s="1">
        <v>18</v>
      </c>
      <c r="B157" s="20" t="s">
        <v>246</v>
      </c>
      <c r="C157" s="1" t="s">
        <v>59</v>
      </c>
      <c r="D157" s="1">
        <v>5</v>
      </c>
      <c r="E157" s="4">
        <v>4500</v>
      </c>
      <c r="F157" s="4">
        <f t="shared" si="24"/>
        <v>22500</v>
      </c>
      <c r="G157" s="1" t="s">
        <v>23</v>
      </c>
      <c r="H157" s="1" t="s">
        <v>28</v>
      </c>
      <c r="I157" s="1" t="s">
        <v>22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4"/>
    </row>
    <row r="158" spans="1:21" ht="15.75" x14ac:dyDescent="0.25">
      <c r="A158" s="1">
        <v>19</v>
      </c>
      <c r="B158" s="20" t="s">
        <v>247</v>
      </c>
      <c r="C158" s="1" t="s">
        <v>59</v>
      </c>
      <c r="D158" s="1">
        <v>10</v>
      </c>
      <c r="E158" s="4">
        <v>18200</v>
      </c>
      <c r="F158" s="4">
        <f t="shared" si="24"/>
        <v>182000</v>
      </c>
      <c r="G158" s="1" t="s">
        <v>23</v>
      </c>
      <c r="H158" s="1" t="s">
        <v>28</v>
      </c>
      <c r="I158" s="1" t="s">
        <v>22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4"/>
    </row>
    <row r="159" spans="1:21" ht="15.75" x14ac:dyDescent="0.25">
      <c r="A159" s="1">
        <v>20</v>
      </c>
      <c r="B159" s="20" t="s">
        <v>72</v>
      </c>
      <c r="C159" s="1" t="s">
        <v>310</v>
      </c>
      <c r="D159" s="1">
        <v>2</v>
      </c>
      <c r="E159" s="4">
        <v>150</v>
      </c>
      <c r="F159" s="4">
        <f t="shared" si="24"/>
        <v>300</v>
      </c>
      <c r="G159" s="1" t="s">
        <v>23</v>
      </c>
      <c r="H159" s="1" t="s">
        <v>28</v>
      </c>
      <c r="I159" s="1" t="s">
        <v>22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4"/>
    </row>
    <row r="160" spans="1:21" ht="47.25" x14ac:dyDescent="0.25">
      <c r="A160" s="1">
        <v>21</v>
      </c>
      <c r="B160" s="20" t="s">
        <v>345</v>
      </c>
      <c r="C160" s="1" t="s">
        <v>334</v>
      </c>
      <c r="D160" s="1">
        <v>2</v>
      </c>
      <c r="E160" s="4">
        <v>48000</v>
      </c>
      <c r="F160" s="4">
        <f t="shared" si="24"/>
        <v>96000</v>
      </c>
      <c r="G160" s="1" t="s">
        <v>23</v>
      </c>
      <c r="H160" s="1" t="s">
        <v>28</v>
      </c>
      <c r="I160" s="1" t="s">
        <v>22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4"/>
    </row>
    <row r="161" spans="1:21" ht="15.75" x14ac:dyDescent="0.25">
      <c r="A161" s="1">
        <v>22</v>
      </c>
      <c r="B161" s="20" t="s">
        <v>74</v>
      </c>
      <c r="C161" s="1" t="s">
        <v>59</v>
      </c>
      <c r="D161" s="1">
        <v>2</v>
      </c>
      <c r="E161" s="4">
        <v>50580</v>
      </c>
      <c r="F161" s="4">
        <f t="shared" si="24"/>
        <v>101160</v>
      </c>
      <c r="G161" s="1" t="s">
        <v>23</v>
      </c>
      <c r="H161" s="1" t="s">
        <v>28</v>
      </c>
      <c r="I161" s="1" t="s">
        <v>22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4"/>
    </row>
    <row r="162" spans="1:21" ht="15.75" x14ac:dyDescent="0.25">
      <c r="A162" s="1">
        <v>23</v>
      </c>
      <c r="B162" s="20" t="s">
        <v>75</v>
      </c>
      <c r="C162" s="1" t="s">
        <v>66</v>
      </c>
      <c r="D162" s="1">
        <v>2</v>
      </c>
      <c r="E162" s="4">
        <v>22200</v>
      </c>
      <c r="F162" s="4">
        <f t="shared" si="24"/>
        <v>44400</v>
      </c>
      <c r="G162" s="1" t="s">
        <v>23</v>
      </c>
      <c r="H162" s="1" t="s">
        <v>28</v>
      </c>
      <c r="I162" s="1" t="s">
        <v>22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4"/>
    </row>
    <row r="163" spans="1:21" ht="15.75" x14ac:dyDescent="0.25">
      <c r="A163" s="1">
        <v>24</v>
      </c>
      <c r="B163" s="20" t="s">
        <v>76</v>
      </c>
      <c r="C163" s="1"/>
      <c r="D163" s="1">
        <v>2</v>
      </c>
      <c r="E163" s="4">
        <v>9000</v>
      </c>
      <c r="F163" s="4">
        <f t="shared" si="24"/>
        <v>18000</v>
      </c>
      <c r="G163" s="1" t="s">
        <v>23</v>
      </c>
      <c r="H163" s="1" t="s">
        <v>28</v>
      </c>
      <c r="I163" s="1" t="s">
        <v>22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4"/>
    </row>
    <row r="164" spans="1:21" ht="15.75" x14ac:dyDescent="0.25">
      <c r="A164" s="1">
        <v>26</v>
      </c>
      <c r="B164" s="15" t="s">
        <v>101</v>
      </c>
      <c r="C164" s="1" t="s">
        <v>59</v>
      </c>
      <c r="D164" s="1">
        <v>3</v>
      </c>
      <c r="E164" s="4">
        <v>71500</v>
      </c>
      <c r="F164" s="4">
        <f t="shared" si="19"/>
        <v>214500</v>
      </c>
      <c r="G164" s="1" t="s">
        <v>23</v>
      </c>
      <c r="H164" s="1" t="s">
        <v>28</v>
      </c>
      <c r="I164" s="1" t="s">
        <v>22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4"/>
    </row>
    <row r="165" spans="1:21" ht="15.75" x14ac:dyDescent="0.25">
      <c r="A165" s="1">
        <v>27</v>
      </c>
      <c r="B165" s="20" t="s">
        <v>102</v>
      </c>
      <c r="C165" s="1" t="s">
        <v>81</v>
      </c>
      <c r="D165" s="1">
        <v>3</v>
      </c>
      <c r="E165" s="4">
        <v>26000</v>
      </c>
      <c r="F165" s="4">
        <f t="shared" si="19"/>
        <v>78000</v>
      </c>
      <c r="G165" s="1" t="s">
        <v>23</v>
      </c>
      <c r="H165" s="1" t="s">
        <v>28</v>
      </c>
      <c r="I165" s="1" t="s">
        <v>22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4"/>
    </row>
    <row r="166" spans="1:21" ht="15.75" x14ac:dyDescent="0.25">
      <c r="A166" s="1">
        <v>28</v>
      </c>
      <c r="B166" s="20" t="s">
        <v>103</v>
      </c>
      <c r="C166" s="1" t="s">
        <v>59</v>
      </c>
      <c r="D166" s="1">
        <v>3</v>
      </c>
      <c r="E166" s="4">
        <v>62200</v>
      </c>
      <c r="F166" s="4">
        <f t="shared" si="19"/>
        <v>186600</v>
      </c>
      <c r="G166" s="1" t="s">
        <v>23</v>
      </c>
      <c r="H166" s="1" t="s">
        <v>28</v>
      </c>
      <c r="I166" s="1" t="s">
        <v>22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4"/>
    </row>
    <row r="167" spans="1:21" ht="15.75" x14ac:dyDescent="0.25">
      <c r="A167" s="1">
        <v>29</v>
      </c>
      <c r="B167" s="20" t="s">
        <v>98</v>
      </c>
      <c r="C167" s="1" t="s">
        <v>59</v>
      </c>
      <c r="D167" s="1">
        <v>4</v>
      </c>
      <c r="E167" s="4">
        <v>16500</v>
      </c>
      <c r="F167" s="4">
        <f t="shared" si="19"/>
        <v>66000</v>
      </c>
      <c r="G167" s="1" t="s">
        <v>23</v>
      </c>
      <c r="H167" s="1" t="s">
        <v>28</v>
      </c>
      <c r="I167" s="1" t="s">
        <v>22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4"/>
    </row>
    <row r="168" spans="1:21" ht="15.75" x14ac:dyDescent="0.25">
      <c r="A168" s="1">
        <v>31</v>
      </c>
      <c r="B168" s="20" t="s">
        <v>96</v>
      </c>
      <c r="C168" s="1" t="s">
        <v>59</v>
      </c>
      <c r="D168" s="1">
        <v>12</v>
      </c>
      <c r="E168" s="4">
        <v>65000</v>
      </c>
      <c r="F168" s="4">
        <f t="shared" si="19"/>
        <v>780000</v>
      </c>
      <c r="G168" s="1" t="s">
        <v>23</v>
      </c>
      <c r="H168" s="1" t="s">
        <v>28</v>
      </c>
      <c r="I168" s="1" t="s">
        <v>22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4"/>
    </row>
    <row r="169" spans="1:21" ht="15.75" x14ac:dyDescent="0.25">
      <c r="A169" s="1">
        <v>32</v>
      </c>
      <c r="B169" s="20" t="s">
        <v>104</v>
      </c>
      <c r="C169" s="1" t="s">
        <v>105</v>
      </c>
      <c r="D169" s="1">
        <v>3</v>
      </c>
      <c r="E169" s="4">
        <v>43800</v>
      </c>
      <c r="F169" s="4">
        <f t="shared" si="19"/>
        <v>131400</v>
      </c>
      <c r="G169" s="1" t="s">
        <v>23</v>
      </c>
      <c r="H169" s="1" t="s">
        <v>28</v>
      </c>
      <c r="I169" s="1" t="s">
        <v>22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4"/>
    </row>
    <row r="170" spans="1:21" ht="15.75" x14ac:dyDescent="0.25">
      <c r="A170" s="1">
        <v>33</v>
      </c>
      <c r="B170" s="59" t="s">
        <v>344</v>
      </c>
      <c r="D170" s="1">
        <v>3</v>
      </c>
      <c r="E170" s="4">
        <v>2000000</v>
      </c>
      <c r="F170" s="4">
        <f t="shared" si="19"/>
        <v>6000000</v>
      </c>
      <c r="G170" s="1" t="s">
        <v>23</v>
      </c>
      <c r="H170" s="1" t="s">
        <v>28</v>
      </c>
      <c r="I170" s="1" t="s">
        <v>22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U170" s="14"/>
    </row>
    <row r="171" spans="1:21" ht="15.75" x14ac:dyDescent="0.25">
      <c r="A171" s="1">
        <v>34</v>
      </c>
      <c r="B171" s="20" t="s">
        <v>347</v>
      </c>
      <c r="C171" s="1" t="s">
        <v>346</v>
      </c>
      <c r="D171" s="1">
        <v>5</v>
      </c>
      <c r="E171" s="4">
        <v>2500</v>
      </c>
      <c r="F171" s="4">
        <f t="shared" si="19"/>
        <v>12500</v>
      </c>
      <c r="G171" s="1" t="s">
        <v>23</v>
      </c>
      <c r="H171" s="1" t="s">
        <v>28</v>
      </c>
      <c r="I171" s="1" t="s">
        <v>22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4"/>
    </row>
    <row r="172" spans="1:21" ht="15.75" x14ac:dyDescent="0.25">
      <c r="A172" s="1">
        <v>35</v>
      </c>
      <c r="B172" s="20" t="s">
        <v>350</v>
      </c>
      <c r="C172" s="1" t="s">
        <v>346</v>
      </c>
      <c r="D172" s="1">
        <v>5</v>
      </c>
      <c r="E172" s="4">
        <v>1500</v>
      </c>
      <c r="F172" s="4">
        <f t="shared" si="19"/>
        <v>7500</v>
      </c>
      <c r="G172" s="1" t="s">
        <v>23</v>
      </c>
      <c r="H172" s="1" t="s">
        <v>28</v>
      </c>
      <c r="I172" s="1" t="s">
        <v>22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4"/>
    </row>
    <row r="173" spans="1:21" ht="15.75" x14ac:dyDescent="0.25">
      <c r="A173" s="1">
        <v>36</v>
      </c>
      <c r="B173" s="20" t="s">
        <v>349</v>
      </c>
      <c r="C173" s="1" t="s">
        <v>346</v>
      </c>
      <c r="D173" s="1">
        <v>5</v>
      </c>
      <c r="E173" s="4">
        <v>1100</v>
      </c>
      <c r="F173" s="4">
        <f t="shared" si="19"/>
        <v>5500</v>
      </c>
      <c r="G173" s="1" t="s">
        <v>23</v>
      </c>
      <c r="H173" s="1" t="s">
        <v>28</v>
      </c>
      <c r="I173" s="1" t="s">
        <v>22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4"/>
    </row>
    <row r="174" spans="1:21" ht="31.5" x14ac:dyDescent="0.25">
      <c r="A174" s="1">
        <v>37</v>
      </c>
      <c r="B174" s="20" t="s">
        <v>93</v>
      </c>
      <c r="C174" s="1"/>
      <c r="D174" s="1">
        <v>2</v>
      </c>
      <c r="E174" s="4">
        <v>33250</v>
      </c>
      <c r="F174" s="4">
        <f t="shared" si="19"/>
        <v>66500</v>
      </c>
      <c r="G174" s="1" t="s">
        <v>23</v>
      </c>
      <c r="H174" s="1" t="s">
        <v>28</v>
      </c>
      <c r="I174" s="1" t="s">
        <v>22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4"/>
    </row>
    <row r="175" spans="1:21" ht="15.75" x14ac:dyDescent="0.25">
      <c r="A175" s="1">
        <v>38</v>
      </c>
      <c r="B175" s="20" t="s">
        <v>94</v>
      </c>
      <c r="C175" s="1" t="s">
        <v>346</v>
      </c>
      <c r="D175" s="1">
        <v>1</v>
      </c>
      <c r="E175" s="4">
        <v>107100</v>
      </c>
      <c r="F175" s="4">
        <f t="shared" si="19"/>
        <v>107100</v>
      </c>
      <c r="G175" s="1" t="s">
        <v>23</v>
      </c>
      <c r="H175" s="1" t="s">
        <v>28</v>
      </c>
      <c r="I175" s="1" t="s">
        <v>22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4"/>
    </row>
    <row r="176" spans="1:21" ht="15.75" x14ac:dyDescent="0.25">
      <c r="A176" s="1">
        <v>39</v>
      </c>
      <c r="B176" s="20" t="s">
        <v>356</v>
      </c>
      <c r="C176" s="1"/>
      <c r="D176" s="1">
        <v>2</v>
      </c>
      <c r="E176" s="4">
        <v>44050</v>
      </c>
      <c r="F176" s="4">
        <f t="shared" si="19"/>
        <v>88100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4"/>
    </row>
    <row r="177" spans="1:21" ht="15.75" x14ac:dyDescent="0.25">
      <c r="A177" s="1">
        <v>40</v>
      </c>
      <c r="B177" s="20" t="s">
        <v>107</v>
      </c>
      <c r="C177" s="1" t="s">
        <v>106</v>
      </c>
      <c r="D177" s="1">
        <v>3</v>
      </c>
      <c r="E177" s="4">
        <v>18000</v>
      </c>
      <c r="F177" s="4">
        <f t="shared" si="19"/>
        <v>54000</v>
      </c>
      <c r="G177" s="1" t="s">
        <v>23</v>
      </c>
      <c r="H177" s="1" t="s">
        <v>28</v>
      </c>
      <c r="I177" s="1" t="s">
        <v>22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4"/>
    </row>
    <row r="178" spans="1:21" ht="31.5" x14ac:dyDescent="0.25">
      <c r="A178" s="1">
        <v>41</v>
      </c>
      <c r="B178" s="20" t="s">
        <v>108</v>
      </c>
      <c r="C178" s="1" t="s">
        <v>106</v>
      </c>
      <c r="D178" s="1">
        <v>3</v>
      </c>
      <c r="E178" s="4">
        <v>78600</v>
      </c>
      <c r="F178" s="4">
        <f t="shared" si="19"/>
        <v>235800</v>
      </c>
      <c r="G178" s="1" t="s">
        <v>23</v>
      </c>
      <c r="H178" s="1" t="s">
        <v>28</v>
      </c>
      <c r="I178" s="1" t="s">
        <v>22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4"/>
    </row>
    <row r="179" spans="1:21" ht="15.75" x14ac:dyDescent="0.25">
      <c r="A179" s="1">
        <v>42</v>
      </c>
      <c r="B179" s="20" t="s">
        <v>340</v>
      </c>
      <c r="C179" s="1" t="s">
        <v>339</v>
      </c>
      <c r="D179" s="1">
        <v>2</v>
      </c>
      <c r="E179" s="4">
        <v>12000</v>
      </c>
      <c r="F179" s="4">
        <f t="shared" si="19"/>
        <v>24000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4"/>
    </row>
    <row r="180" spans="1:21" ht="15.75" x14ac:dyDescent="0.25">
      <c r="A180" s="1">
        <v>43</v>
      </c>
      <c r="B180" s="20" t="s">
        <v>109</v>
      </c>
      <c r="C180" s="1" t="s">
        <v>110</v>
      </c>
      <c r="D180" s="1">
        <v>300</v>
      </c>
      <c r="E180" s="4">
        <v>1700</v>
      </c>
      <c r="F180" s="4">
        <f t="shared" si="19"/>
        <v>510000</v>
      </c>
      <c r="G180" s="1" t="s">
        <v>23</v>
      </c>
      <c r="H180" s="1" t="s">
        <v>28</v>
      </c>
      <c r="I180" s="1" t="s">
        <v>22</v>
      </c>
      <c r="J180" s="1"/>
      <c r="K180" s="1"/>
      <c r="L180" s="1"/>
      <c r="M180" s="1"/>
      <c r="N180" s="1">
        <v>75</v>
      </c>
      <c r="O180" s="1"/>
      <c r="P180" s="1">
        <v>75</v>
      </c>
      <c r="Q180" s="1"/>
      <c r="R180" s="1">
        <v>75</v>
      </c>
      <c r="S180" s="1"/>
      <c r="T180" s="1">
        <v>75</v>
      </c>
      <c r="U180" s="14"/>
    </row>
    <row r="181" spans="1:21" ht="15.75" x14ac:dyDescent="0.25">
      <c r="A181" s="1">
        <v>44</v>
      </c>
      <c r="B181" s="20" t="s">
        <v>111</v>
      </c>
      <c r="C181" s="1" t="s">
        <v>106</v>
      </c>
      <c r="D181" s="1">
        <v>2</v>
      </c>
      <c r="E181" s="4">
        <v>55000</v>
      </c>
      <c r="F181" s="4">
        <f t="shared" si="19"/>
        <v>110000</v>
      </c>
      <c r="G181" s="1" t="s">
        <v>23</v>
      </c>
      <c r="H181" s="1" t="s">
        <v>28</v>
      </c>
      <c r="I181" s="1" t="s">
        <v>22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4"/>
    </row>
    <row r="182" spans="1:21" ht="15.75" x14ac:dyDescent="0.25">
      <c r="A182" s="1">
        <v>45</v>
      </c>
      <c r="B182" s="20" t="s">
        <v>343</v>
      </c>
      <c r="C182" s="1" t="s">
        <v>342</v>
      </c>
      <c r="D182" s="1">
        <v>1</v>
      </c>
      <c r="E182" s="4">
        <v>50000</v>
      </c>
      <c r="F182" s="4">
        <f t="shared" si="19"/>
        <v>50000</v>
      </c>
      <c r="G182" s="1" t="s">
        <v>23</v>
      </c>
      <c r="H182" s="1" t="s">
        <v>28</v>
      </c>
      <c r="I182" s="1" t="s">
        <v>22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4"/>
    </row>
    <row r="183" spans="1:21" ht="31.5" x14ac:dyDescent="0.25">
      <c r="A183" s="1">
        <v>46</v>
      </c>
      <c r="B183" s="20" t="s">
        <v>328</v>
      </c>
      <c r="C183" s="1" t="s">
        <v>106</v>
      </c>
      <c r="D183" s="1">
        <v>3</v>
      </c>
      <c r="E183" s="4">
        <v>35000</v>
      </c>
      <c r="F183" s="4">
        <f t="shared" si="19"/>
        <v>105000</v>
      </c>
      <c r="G183" s="1" t="s">
        <v>23</v>
      </c>
      <c r="H183" s="1" t="s">
        <v>28</v>
      </c>
      <c r="I183" s="1" t="s">
        <v>22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4"/>
    </row>
    <row r="184" spans="1:21" ht="15.75" x14ac:dyDescent="0.25">
      <c r="A184" s="1">
        <v>47</v>
      </c>
      <c r="B184" s="20" t="s">
        <v>329</v>
      </c>
      <c r="C184" s="1" t="s">
        <v>106</v>
      </c>
      <c r="D184" s="1">
        <v>2</v>
      </c>
      <c r="E184" s="4">
        <v>90000</v>
      </c>
      <c r="F184" s="4">
        <f t="shared" si="19"/>
        <v>180000</v>
      </c>
      <c r="G184" s="1" t="s">
        <v>23</v>
      </c>
      <c r="H184" s="1" t="s">
        <v>28</v>
      </c>
      <c r="I184" s="1" t="s">
        <v>22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4"/>
    </row>
    <row r="185" spans="1:21" ht="15.75" x14ac:dyDescent="0.25">
      <c r="A185" s="1">
        <v>48</v>
      </c>
      <c r="B185" s="15" t="s">
        <v>305</v>
      </c>
      <c r="C185" s="1" t="s">
        <v>330</v>
      </c>
      <c r="D185" s="1">
        <v>3</v>
      </c>
      <c r="E185" s="4">
        <v>600</v>
      </c>
      <c r="F185" s="4">
        <f t="shared" si="19"/>
        <v>1800</v>
      </c>
      <c r="G185" s="1" t="s">
        <v>23</v>
      </c>
      <c r="H185" s="1" t="s">
        <v>28</v>
      </c>
      <c r="I185" s="1" t="s">
        <v>22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4"/>
    </row>
    <row r="186" spans="1:21" ht="31.5" x14ac:dyDescent="0.25">
      <c r="A186" s="1">
        <v>49</v>
      </c>
      <c r="B186" s="15" t="s">
        <v>351</v>
      </c>
      <c r="C186" s="1"/>
      <c r="D186" s="1">
        <v>2</v>
      </c>
      <c r="E186" s="4">
        <v>47600</v>
      </c>
      <c r="F186" s="4">
        <f t="shared" si="19"/>
        <v>95200</v>
      </c>
      <c r="G186" s="1" t="s">
        <v>23</v>
      </c>
      <c r="H186" s="1" t="s">
        <v>28</v>
      </c>
      <c r="I186" s="1" t="s">
        <v>22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4"/>
    </row>
    <row r="187" spans="1:21" ht="31.5" x14ac:dyDescent="0.25">
      <c r="A187" s="1">
        <v>50</v>
      </c>
      <c r="B187" s="15" t="s">
        <v>352</v>
      </c>
      <c r="C187" s="1" t="s">
        <v>59</v>
      </c>
      <c r="D187" s="1">
        <v>1</v>
      </c>
      <c r="E187" s="4">
        <v>59500</v>
      </c>
      <c r="F187" s="4">
        <f t="shared" si="19"/>
        <v>59500</v>
      </c>
      <c r="G187" s="1" t="s">
        <v>23</v>
      </c>
      <c r="H187" s="1" t="s">
        <v>28</v>
      </c>
      <c r="I187" s="1" t="s">
        <v>22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4"/>
    </row>
    <row r="188" spans="1:21" ht="15.75" x14ac:dyDescent="0.25">
      <c r="A188" s="1">
        <v>51</v>
      </c>
      <c r="B188" s="15" t="s">
        <v>353</v>
      </c>
      <c r="C188" s="1" t="s">
        <v>59</v>
      </c>
      <c r="D188" s="1">
        <v>3</v>
      </c>
      <c r="E188" s="4">
        <v>8000</v>
      </c>
      <c r="F188" s="4">
        <f t="shared" si="19"/>
        <v>24000</v>
      </c>
      <c r="G188" s="1" t="s">
        <v>23</v>
      </c>
      <c r="H188" s="1" t="s">
        <v>28</v>
      </c>
      <c r="I188" s="1" t="s">
        <v>22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4"/>
    </row>
    <row r="189" spans="1:21" ht="15.75" x14ac:dyDescent="0.25">
      <c r="A189" s="1">
        <v>52</v>
      </c>
      <c r="B189" s="15" t="s">
        <v>117</v>
      </c>
      <c r="C189" s="1" t="s">
        <v>106</v>
      </c>
      <c r="D189" s="1">
        <v>3</v>
      </c>
      <c r="E189" s="4">
        <v>77150</v>
      </c>
      <c r="F189" s="4">
        <f t="shared" si="19"/>
        <v>231450</v>
      </c>
      <c r="G189" s="1" t="s">
        <v>23</v>
      </c>
      <c r="H189" s="1" t="s">
        <v>28</v>
      </c>
      <c r="I189" s="1" t="s">
        <v>22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4"/>
    </row>
    <row r="190" spans="1:21" ht="15.75" x14ac:dyDescent="0.25">
      <c r="A190" s="1">
        <v>53</v>
      </c>
      <c r="B190" s="15" t="s">
        <v>118</v>
      </c>
      <c r="C190" s="1" t="s">
        <v>310</v>
      </c>
      <c r="D190" s="1">
        <v>3</v>
      </c>
      <c r="E190" s="4">
        <v>36720</v>
      </c>
      <c r="F190" s="4">
        <f t="shared" si="19"/>
        <v>110160</v>
      </c>
      <c r="G190" s="1" t="s">
        <v>23</v>
      </c>
      <c r="H190" s="1" t="s">
        <v>28</v>
      </c>
      <c r="I190" s="1" t="s">
        <v>22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4"/>
    </row>
    <row r="191" spans="1:21" ht="15.75" x14ac:dyDescent="0.25">
      <c r="A191" s="1">
        <v>54</v>
      </c>
      <c r="B191" s="20" t="s">
        <v>120</v>
      </c>
      <c r="C191" s="1" t="s">
        <v>95</v>
      </c>
      <c r="D191" s="1">
        <v>2</v>
      </c>
      <c r="E191" s="4">
        <v>23800</v>
      </c>
      <c r="F191" s="4">
        <f t="shared" si="19"/>
        <v>47600</v>
      </c>
      <c r="G191" s="1" t="s">
        <v>23</v>
      </c>
      <c r="H191" s="1" t="s">
        <v>28</v>
      </c>
      <c r="I191" s="1" t="s">
        <v>22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>
        <v>1</v>
      </c>
      <c r="U191" s="14"/>
    </row>
    <row r="192" spans="1:21" ht="15.75" x14ac:dyDescent="0.25">
      <c r="A192" s="1">
        <v>55</v>
      </c>
      <c r="B192" s="20" t="s">
        <v>354</v>
      </c>
      <c r="C192" s="1" t="s">
        <v>346</v>
      </c>
      <c r="D192" s="1">
        <v>3</v>
      </c>
      <c r="E192" s="4">
        <v>2500</v>
      </c>
      <c r="F192" s="4">
        <f t="shared" si="19"/>
        <v>7500</v>
      </c>
      <c r="G192" s="1" t="s">
        <v>23</v>
      </c>
      <c r="H192" s="1" t="s">
        <v>28</v>
      </c>
      <c r="I192" s="1" t="s">
        <v>22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>
        <v>1</v>
      </c>
      <c r="U192" s="14"/>
    </row>
    <row r="193" spans="1:21" ht="31.5" x14ac:dyDescent="0.25">
      <c r="A193" s="1">
        <v>56</v>
      </c>
      <c r="B193" s="20" t="s">
        <v>333</v>
      </c>
      <c r="C193" s="1" t="s">
        <v>310</v>
      </c>
      <c r="D193" s="1">
        <v>2</v>
      </c>
      <c r="E193" s="4">
        <v>48000</v>
      </c>
      <c r="F193" s="4">
        <f t="shared" ref="F193" si="25">D193*E193</f>
        <v>96000</v>
      </c>
      <c r="G193" s="1" t="s">
        <v>23</v>
      </c>
      <c r="H193" s="1" t="s">
        <v>28</v>
      </c>
      <c r="I193" s="1" t="s">
        <v>22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4"/>
    </row>
    <row r="194" spans="1:21" ht="31.5" x14ac:dyDescent="0.25">
      <c r="A194" s="1">
        <v>57</v>
      </c>
      <c r="B194" s="20" t="s">
        <v>331</v>
      </c>
      <c r="C194" s="1" t="s">
        <v>310</v>
      </c>
      <c r="D194" s="1">
        <v>2</v>
      </c>
      <c r="E194" s="4">
        <v>25000</v>
      </c>
      <c r="F194" s="4">
        <f t="shared" ref="F194" si="26">D194*E194</f>
        <v>50000</v>
      </c>
      <c r="G194" s="1" t="s">
        <v>23</v>
      </c>
      <c r="H194" s="1" t="s">
        <v>28</v>
      </c>
      <c r="I194" s="1" t="s">
        <v>22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4"/>
    </row>
    <row r="195" spans="1:21" ht="15.75" x14ac:dyDescent="0.25">
      <c r="A195" s="1">
        <v>58</v>
      </c>
      <c r="B195" s="66" t="s">
        <v>319</v>
      </c>
      <c r="C195" s="1" t="s">
        <v>59</v>
      </c>
      <c r="D195" s="1">
        <v>3</v>
      </c>
      <c r="E195" s="4">
        <v>8400</v>
      </c>
      <c r="F195" s="4">
        <f t="shared" ref="F195" si="27">D195*E195</f>
        <v>25200</v>
      </c>
      <c r="G195" s="1" t="s">
        <v>23</v>
      </c>
      <c r="H195" s="1" t="s">
        <v>28</v>
      </c>
      <c r="I195" s="1" t="s">
        <v>22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4"/>
    </row>
    <row r="196" spans="1:21" ht="15.75" x14ac:dyDescent="0.25">
      <c r="A196" s="1">
        <v>59</v>
      </c>
      <c r="B196" s="20" t="s">
        <v>320</v>
      </c>
      <c r="C196" s="1" t="s">
        <v>334</v>
      </c>
      <c r="D196" s="1">
        <v>2</v>
      </c>
      <c r="E196" s="4">
        <v>24000</v>
      </c>
      <c r="F196" s="4">
        <f t="shared" ref="F196" si="28">D196*E196</f>
        <v>48000</v>
      </c>
      <c r="G196" s="1" t="s">
        <v>23</v>
      </c>
      <c r="H196" s="1" t="s">
        <v>28</v>
      </c>
      <c r="I196" s="1" t="s">
        <v>22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4"/>
    </row>
    <row r="197" spans="1:21" ht="15.75" x14ac:dyDescent="0.25">
      <c r="A197" s="1">
        <v>60</v>
      </c>
      <c r="B197" s="20" t="s">
        <v>322</v>
      </c>
      <c r="C197" s="1" t="s">
        <v>334</v>
      </c>
      <c r="D197" s="1">
        <v>2</v>
      </c>
      <c r="E197" s="4">
        <v>37000</v>
      </c>
      <c r="F197" s="4">
        <f t="shared" ref="F197" si="29">D197*E197</f>
        <v>74000</v>
      </c>
      <c r="G197" s="1" t="s">
        <v>23</v>
      </c>
      <c r="H197" s="1" t="s">
        <v>28</v>
      </c>
      <c r="I197" s="1" t="s">
        <v>22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4"/>
    </row>
    <row r="198" spans="1:21" ht="15.75" x14ac:dyDescent="0.25">
      <c r="A198" s="1">
        <v>61</v>
      </c>
      <c r="B198" s="20" t="s">
        <v>323</v>
      </c>
      <c r="C198" s="1" t="s">
        <v>334</v>
      </c>
      <c r="D198" s="1">
        <v>2</v>
      </c>
      <c r="E198" s="4">
        <v>15000</v>
      </c>
      <c r="F198" s="4">
        <f t="shared" ref="F198" si="30">D198*E198</f>
        <v>30000</v>
      </c>
      <c r="G198" s="1" t="s">
        <v>23</v>
      </c>
      <c r="H198" s="1" t="s">
        <v>28</v>
      </c>
      <c r="I198" s="1" t="s">
        <v>22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4"/>
    </row>
    <row r="199" spans="1:21" ht="15.75" x14ac:dyDescent="0.25">
      <c r="A199" s="1">
        <v>62</v>
      </c>
      <c r="B199" s="20" t="s">
        <v>321</v>
      </c>
      <c r="C199" s="1" t="s">
        <v>59</v>
      </c>
      <c r="D199" s="1">
        <v>2</v>
      </c>
      <c r="E199" s="4">
        <v>22950</v>
      </c>
      <c r="F199" s="4">
        <f t="shared" ref="F199" si="31">D199*E199</f>
        <v>45900</v>
      </c>
      <c r="G199" s="1" t="s">
        <v>23</v>
      </c>
      <c r="H199" s="1" t="s">
        <v>28</v>
      </c>
      <c r="I199" s="1" t="s">
        <v>22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4"/>
    </row>
    <row r="200" spans="1:21" ht="15.75" x14ac:dyDescent="0.25">
      <c r="A200" s="1">
        <v>63</v>
      </c>
      <c r="B200" s="20" t="s">
        <v>325</v>
      </c>
      <c r="C200" s="1" t="s">
        <v>59</v>
      </c>
      <c r="D200" s="1">
        <v>2</v>
      </c>
      <c r="E200" s="4">
        <v>4590</v>
      </c>
      <c r="F200" s="4">
        <f t="shared" ref="F200" si="32">D200*E200</f>
        <v>9180</v>
      </c>
      <c r="G200" s="1" t="s">
        <v>23</v>
      </c>
      <c r="H200" s="1" t="s">
        <v>28</v>
      </c>
      <c r="I200" s="1" t="s">
        <v>22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4"/>
    </row>
    <row r="201" spans="1:21" ht="15.75" x14ac:dyDescent="0.25">
      <c r="A201" s="1">
        <v>64</v>
      </c>
      <c r="B201" s="20" t="s">
        <v>355</v>
      </c>
      <c r="C201" s="1" t="s">
        <v>59</v>
      </c>
      <c r="D201" s="1">
        <v>3</v>
      </c>
      <c r="E201" s="4">
        <v>2500</v>
      </c>
      <c r="F201" s="4">
        <f t="shared" ref="F201" si="33">D201*E201</f>
        <v>7500</v>
      </c>
      <c r="G201" s="1" t="s">
        <v>23</v>
      </c>
      <c r="H201" s="1" t="s">
        <v>28</v>
      </c>
      <c r="I201" s="1" t="s">
        <v>22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4"/>
    </row>
    <row r="202" spans="1:21" ht="15.75" x14ac:dyDescent="0.25">
      <c r="A202" s="1">
        <v>65</v>
      </c>
      <c r="B202" s="20" t="s">
        <v>324</v>
      </c>
      <c r="C202" s="1" t="s">
        <v>59</v>
      </c>
      <c r="D202" s="1">
        <v>2</v>
      </c>
      <c r="E202" s="4">
        <v>17850</v>
      </c>
      <c r="F202" s="4">
        <f t="shared" ref="F202" si="34">D202*E202</f>
        <v>35700</v>
      </c>
      <c r="G202" s="1" t="s">
        <v>23</v>
      </c>
      <c r="H202" s="1" t="s">
        <v>28</v>
      </c>
      <c r="I202" s="1" t="s">
        <v>22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4"/>
    </row>
    <row r="203" spans="1:21" ht="15.75" x14ac:dyDescent="0.25">
      <c r="A203" s="1">
        <v>66</v>
      </c>
      <c r="B203" s="20" t="s">
        <v>327</v>
      </c>
      <c r="C203" s="1" t="s">
        <v>59</v>
      </c>
      <c r="D203" s="1">
        <v>2</v>
      </c>
      <c r="E203" s="4">
        <v>22950</v>
      </c>
      <c r="F203" s="4">
        <f t="shared" ref="F203" si="35">D203*E203</f>
        <v>45900</v>
      </c>
      <c r="G203" s="1" t="s">
        <v>23</v>
      </c>
      <c r="H203" s="1" t="s">
        <v>28</v>
      </c>
      <c r="I203" s="1" t="s">
        <v>22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4"/>
    </row>
    <row r="204" spans="1:21" ht="15.75" x14ac:dyDescent="0.25">
      <c r="A204" s="1">
        <v>67</v>
      </c>
      <c r="B204" s="20" t="s">
        <v>326</v>
      </c>
      <c r="C204" s="1" t="s">
        <v>59</v>
      </c>
      <c r="D204" s="1">
        <v>2</v>
      </c>
      <c r="E204" s="4">
        <v>15000</v>
      </c>
      <c r="F204" s="4">
        <f t="shared" ref="F204:F216" si="36">D204*E204</f>
        <v>30000</v>
      </c>
      <c r="G204" s="1" t="s">
        <v>23</v>
      </c>
      <c r="H204" s="1" t="s">
        <v>28</v>
      </c>
      <c r="I204" s="1" t="s">
        <v>22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4"/>
    </row>
    <row r="205" spans="1:21" ht="15.75" x14ac:dyDescent="0.25">
      <c r="A205" s="1">
        <v>68</v>
      </c>
      <c r="B205" s="20" t="s">
        <v>360</v>
      </c>
      <c r="C205" s="1" t="s">
        <v>346</v>
      </c>
      <c r="D205" s="1">
        <v>2</v>
      </c>
      <c r="E205" s="4">
        <v>22000</v>
      </c>
      <c r="F205" s="4">
        <f t="shared" si="36"/>
        <v>44000</v>
      </c>
      <c r="G205" s="1" t="s">
        <v>23</v>
      </c>
      <c r="H205" s="1" t="s">
        <v>28</v>
      </c>
      <c r="I205" s="1" t="s">
        <v>22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4"/>
    </row>
    <row r="206" spans="1:21" ht="15.75" x14ac:dyDescent="0.25">
      <c r="A206" s="1">
        <v>69</v>
      </c>
      <c r="B206" s="20" t="s">
        <v>361</v>
      </c>
      <c r="C206" s="1" t="s">
        <v>346</v>
      </c>
      <c r="D206" s="1">
        <v>2</v>
      </c>
      <c r="E206" s="4">
        <v>6409</v>
      </c>
      <c r="F206" s="4">
        <f t="shared" si="36"/>
        <v>12818</v>
      </c>
      <c r="G206" s="1" t="s">
        <v>23</v>
      </c>
      <c r="H206" s="1" t="s">
        <v>28</v>
      </c>
      <c r="I206" s="1" t="s">
        <v>22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4"/>
    </row>
    <row r="207" spans="1:21" ht="15.75" x14ac:dyDescent="0.25">
      <c r="A207" s="1">
        <v>70</v>
      </c>
      <c r="B207" s="20" t="s">
        <v>337</v>
      </c>
      <c r="C207" s="1" t="s">
        <v>310</v>
      </c>
      <c r="D207" s="1">
        <v>2</v>
      </c>
      <c r="E207" s="4">
        <v>31280</v>
      </c>
      <c r="F207" s="4">
        <f t="shared" si="36"/>
        <v>62560</v>
      </c>
      <c r="G207" s="1" t="s">
        <v>23</v>
      </c>
      <c r="H207" s="1" t="s">
        <v>28</v>
      </c>
      <c r="I207" s="1" t="s">
        <v>22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4"/>
    </row>
    <row r="208" spans="1:21" ht="31.5" x14ac:dyDescent="0.25">
      <c r="A208" s="1">
        <v>71</v>
      </c>
      <c r="B208" s="20" t="s">
        <v>362</v>
      </c>
      <c r="C208" s="1" t="s">
        <v>346</v>
      </c>
      <c r="D208" s="1">
        <v>2</v>
      </c>
      <c r="E208" s="4">
        <v>22763</v>
      </c>
      <c r="F208" s="4">
        <f t="shared" si="36"/>
        <v>45526</v>
      </c>
      <c r="G208" s="1" t="s">
        <v>23</v>
      </c>
      <c r="H208" s="1" t="s">
        <v>28</v>
      </c>
      <c r="I208" s="1" t="s">
        <v>22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4"/>
    </row>
    <row r="209" spans="1:21" ht="31.5" x14ac:dyDescent="0.25">
      <c r="A209" s="1">
        <v>72</v>
      </c>
      <c r="B209" s="20" t="s">
        <v>363</v>
      </c>
      <c r="C209" s="1" t="s">
        <v>339</v>
      </c>
      <c r="D209" s="1">
        <v>2</v>
      </c>
      <c r="E209" s="4">
        <v>44586</v>
      </c>
      <c r="F209" s="4">
        <f t="shared" si="36"/>
        <v>89172</v>
      </c>
      <c r="G209" s="1" t="s">
        <v>23</v>
      </c>
      <c r="H209" s="1" t="s">
        <v>28</v>
      </c>
      <c r="I209" s="1" t="s">
        <v>22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4"/>
    </row>
    <row r="210" spans="1:21" ht="15.75" x14ac:dyDescent="0.25">
      <c r="A210" s="1">
        <v>73</v>
      </c>
      <c r="B210" s="20" t="s">
        <v>364</v>
      </c>
      <c r="C210" s="1" t="s">
        <v>346</v>
      </c>
      <c r="D210" s="1">
        <v>1</v>
      </c>
      <c r="E210" s="4">
        <v>137683</v>
      </c>
      <c r="F210" s="4">
        <f t="shared" si="36"/>
        <v>137683</v>
      </c>
      <c r="G210" s="1" t="s">
        <v>23</v>
      </c>
      <c r="H210" s="1" t="s">
        <v>28</v>
      </c>
      <c r="I210" s="1" t="s">
        <v>22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4"/>
    </row>
    <row r="211" spans="1:21" ht="15.75" x14ac:dyDescent="0.25">
      <c r="A211" s="1">
        <v>74</v>
      </c>
      <c r="B211" s="20" t="s">
        <v>365</v>
      </c>
      <c r="C211" s="1" t="s">
        <v>346</v>
      </c>
      <c r="D211" s="1">
        <v>1</v>
      </c>
      <c r="E211" s="4">
        <v>33315</v>
      </c>
      <c r="F211" s="4">
        <f t="shared" si="36"/>
        <v>33315</v>
      </c>
      <c r="G211" s="1" t="s">
        <v>23</v>
      </c>
      <c r="H211" s="1" t="s">
        <v>28</v>
      </c>
      <c r="I211" s="1" t="s">
        <v>22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4"/>
    </row>
    <row r="212" spans="1:21" ht="15.75" x14ac:dyDescent="0.25">
      <c r="A212" s="1">
        <v>75</v>
      </c>
      <c r="B212" s="20" t="s">
        <v>366</v>
      </c>
      <c r="C212" s="1" t="s">
        <v>346</v>
      </c>
      <c r="D212" s="1">
        <v>1</v>
      </c>
      <c r="E212" s="4">
        <v>172601</v>
      </c>
      <c r="F212" s="4">
        <f t="shared" si="36"/>
        <v>172601</v>
      </c>
      <c r="G212" s="1" t="s">
        <v>23</v>
      </c>
      <c r="H212" s="1" t="s">
        <v>28</v>
      </c>
      <c r="I212" s="1" t="s">
        <v>22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4"/>
    </row>
    <row r="213" spans="1:21" ht="15.75" x14ac:dyDescent="0.25">
      <c r="A213" s="1">
        <v>76</v>
      </c>
      <c r="B213" s="20" t="s">
        <v>369</v>
      </c>
      <c r="C213" s="1" t="s">
        <v>334</v>
      </c>
      <c r="D213" s="1">
        <v>2</v>
      </c>
      <c r="E213" s="4">
        <v>34500</v>
      </c>
      <c r="F213" s="4">
        <f t="shared" si="36"/>
        <v>69000</v>
      </c>
      <c r="G213" s="1" t="s">
        <v>23</v>
      </c>
      <c r="H213" s="1" t="s">
        <v>28</v>
      </c>
      <c r="I213" s="1" t="s">
        <v>22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4"/>
    </row>
    <row r="214" spans="1:21" ht="31.5" x14ac:dyDescent="0.25">
      <c r="A214" s="1">
        <v>77</v>
      </c>
      <c r="B214" s="20" t="s">
        <v>367</v>
      </c>
      <c r="C214" s="1" t="s">
        <v>334</v>
      </c>
      <c r="D214" s="1">
        <v>1</v>
      </c>
      <c r="E214" s="4">
        <v>119952</v>
      </c>
      <c r="F214" s="4">
        <f t="shared" si="36"/>
        <v>119952</v>
      </c>
      <c r="G214" s="1" t="s">
        <v>23</v>
      </c>
      <c r="H214" s="1" t="s">
        <v>28</v>
      </c>
      <c r="I214" s="1" t="s">
        <v>22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4"/>
    </row>
    <row r="215" spans="1:21" ht="15.75" x14ac:dyDescent="0.25">
      <c r="A215" s="1">
        <v>78</v>
      </c>
      <c r="B215" s="20" t="s">
        <v>368</v>
      </c>
      <c r="C215" s="1" t="s">
        <v>59</v>
      </c>
      <c r="D215" s="1">
        <v>2</v>
      </c>
      <c r="E215" s="4">
        <v>2500</v>
      </c>
      <c r="F215" s="4">
        <f t="shared" si="36"/>
        <v>5000</v>
      </c>
      <c r="G215" s="1" t="s">
        <v>23</v>
      </c>
      <c r="H215" s="1" t="s">
        <v>28</v>
      </c>
      <c r="I215" s="1" t="s">
        <v>22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4"/>
    </row>
    <row r="216" spans="1:21" ht="15.75" x14ac:dyDescent="0.25">
      <c r="A216" s="1">
        <v>79</v>
      </c>
      <c r="B216" s="69" t="s">
        <v>370</v>
      </c>
      <c r="C216" s="1" t="s">
        <v>371</v>
      </c>
      <c r="D216" s="1">
        <v>400</v>
      </c>
      <c r="E216" s="4">
        <v>1700</v>
      </c>
      <c r="F216" s="4">
        <f t="shared" si="36"/>
        <v>680000</v>
      </c>
      <c r="G216" s="1" t="s">
        <v>23</v>
      </c>
      <c r="H216" s="1" t="s">
        <v>28</v>
      </c>
      <c r="I216" s="1" t="s">
        <v>22</v>
      </c>
      <c r="J216" s="1"/>
      <c r="K216" s="1"/>
      <c r="L216" s="1"/>
      <c r="M216" s="1"/>
      <c r="N216" s="1">
        <v>100</v>
      </c>
      <c r="O216" s="1"/>
      <c r="P216" s="1">
        <v>100</v>
      </c>
      <c r="Q216" s="1"/>
      <c r="R216" s="1">
        <v>100</v>
      </c>
      <c r="S216" s="1"/>
      <c r="T216" s="1">
        <v>100</v>
      </c>
      <c r="U216" s="14"/>
    </row>
    <row r="217" spans="1:21" ht="15.75" x14ac:dyDescent="0.25">
      <c r="A217" s="1"/>
      <c r="B217" s="69"/>
      <c r="C217" s="1"/>
      <c r="D217" s="1"/>
      <c r="E217" s="4"/>
      <c r="F217" s="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4"/>
    </row>
    <row r="218" spans="1:21" ht="15.75" x14ac:dyDescent="0.25">
      <c r="A218" s="1"/>
      <c r="B218" s="69"/>
      <c r="C218" s="1"/>
      <c r="D218" s="1"/>
      <c r="E218" s="4"/>
      <c r="F218" s="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4"/>
    </row>
    <row r="219" spans="1:21" ht="15.75" x14ac:dyDescent="0.25">
      <c r="A219" s="1"/>
      <c r="B219" s="20"/>
      <c r="C219" s="1"/>
      <c r="D219" s="1"/>
      <c r="E219" s="4"/>
      <c r="F219" s="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4"/>
    </row>
    <row r="220" spans="1:21" ht="15.75" x14ac:dyDescent="0.25">
      <c r="A220" s="1"/>
      <c r="B220" s="20"/>
      <c r="C220" s="1"/>
      <c r="D220" s="1"/>
      <c r="E220" s="4"/>
      <c r="F220" s="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4"/>
    </row>
    <row r="221" spans="1:21" ht="15.75" x14ac:dyDescent="0.25">
      <c r="A221" s="3" t="s">
        <v>126</v>
      </c>
      <c r="B221" s="20"/>
      <c r="C221" s="3"/>
      <c r="D221" s="1"/>
      <c r="E221" s="4"/>
      <c r="F221" s="4">
        <f t="shared" si="19"/>
        <v>0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4">
        <f t="shared" ref="U221:U257" si="37">D221*E221</f>
        <v>0</v>
      </c>
    </row>
    <row r="222" spans="1:21" ht="15.75" x14ac:dyDescent="0.25">
      <c r="A222" s="117">
        <v>1</v>
      </c>
      <c r="B222" s="118" t="s">
        <v>39</v>
      </c>
      <c r="C222" s="118" t="s">
        <v>68</v>
      </c>
      <c r="D222" s="118">
        <v>1</v>
      </c>
      <c r="E222" s="119">
        <v>170000</v>
      </c>
      <c r="F222" s="120">
        <f>D222*E222</f>
        <v>170000</v>
      </c>
      <c r="G222" s="117" t="s">
        <v>23</v>
      </c>
      <c r="H222" s="56" t="s">
        <v>28</v>
      </c>
      <c r="I222" s="56" t="s">
        <v>22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4"/>
    </row>
    <row r="223" spans="1:21" ht="15.75" x14ac:dyDescent="0.25">
      <c r="A223" s="117">
        <v>2</v>
      </c>
      <c r="B223" s="118" t="s">
        <v>40</v>
      </c>
      <c r="C223" s="118" t="s">
        <v>68</v>
      </c>
      <c r="D223" s="118">
        <v>3</v>
      </c>
      <c r="E223" s="119">
        <v>1800000</v>
      </c>
      <c r="F223" s="120">
        <f>D223*E223</f>
        <v>5400000</v>
      </c>
      <c r="G223" s="117" t="s">
        <v>23</v>
      </c>
      <c r="H223" s="56" t="s">
        <v>28</v>
      </c>
      <c r="I223" s="56" t="s">
        <v>22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4"/>
    </row>
    <row r="224" spans="1:21" ht="15.75" x14ac:dyDescent="0.25">
      <c r="A224" s="117">
        <v>3</v>
      </c>
      <c r="B224" s="118" t="s">
        <v>496</v>
      </c>
      <c r="C224" s="118" t="s">
        <v>68</v>
      </c>
      <c r="D224" s="118">
        <v>2</v>
      </c>
      <c r="E224" s="119">
        <v>250000</v>
      </c>
      <c r="F224" s="120">
        <f>D224*E224</f>
        <v>500000</v>
      </c>
      <c r="G224" s="117" t="s">
        <v>23</v>
      </c>
      <c r="H224" s="56" t="s">
        <v>28</v>
      </c>
      <c r="I224" s="56" t="s">
        <v>22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4"/>
    </row>
    <row r="225" spans="1:21" ht="94.5" x14ac:dyDescent="0.25">
      <c r="A225" s="117">
        <v>4</v>
      </c>
      <c r="B225" s="118" t="s">
        <v>54</v>
      </c>
      <c r="C225" s="117" t="s">
        <v>68</v>
      </c>
      <c r="D225" s="117">
        <v>1</v>
      </c>
      <c r="E225" s="120">
        <v>650000</v>
      </c>
      <c r="F225" s="120">
        <f t="shared" ref="F225:F231" si="38">D225*E225</f>
        <v>650000</v>
      </c>
      <c r="G225" s="117" t="s">
        <v>23</v>
      </c>
      <c r="H225" s="56" t="s">
        <v>28</v>
      </c>
      <c r="I225" s="56" t="s">
        <v>22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4"/>
    </row>
    <row r="226" spans="1:21" ht="47.25" x14ac:dyDescent="0.25">
      <c r="A226" s="117">
        <v>5</v>
      </c>
      <c r="B226" s="121" t="s">
        <v>69</v>
      </c>
      <c r="C226" s="117" t="s">
        <v>68</v>
      </c>
      <c r="D226" s="117">
        <v>1</v>
      </c>
      <c r="E226" s="120">
        <v>4417595</v>
      </c>
      <c r="F226" s="120">
        <f t="shared" si="38"/>
        <v>4417595</v>
      </c>
      <c r="G226" s="117" t="s">
        <v>23</v>
      </c>
      <c r="H226" s="56" t="s">
        <v>28</v>
      </c>
      <c r="I226" s="56" t="s">
        <v>22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4"/>
    </row>
    <row r="227" spans="1:21" ht="15.75" x14ac:dyDescent="0.25">
      <c r="A227" s="117">
        <v>6</v>
      </c>
      <c r="B227" s="117" t="s">
        <v>70</v>
      </c>
      <c r="C227" s="117" t="s">
        <v>68</v>
      </c>
      <c r="D227" s="117">
        <v>1</v>
      </c>
      <c r="E227" s="120">
        <v>8920670</v>
      </c>
      <c r="F227" s="120">
        <f t="shared" si="38"/>
        <v>8920670</v>
      </c>
      <c r="G227" s="117" t="s">
        <v>23</v>
      </c>
      <c r="H227" s="56" t="s">
        <v>28</v>
      </c>
      <c r="I227" s="56" t="s">
        <v>22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4"/>
    </row>
    <row r="228" spans="1:21" ht="15.75" x14ac:dyDescent="0.25">
      <c r="A228" s="117">
        <v>7</v>
      </c>
      <c r="B228" s="117" t="s">
        <v>195</v>
      </c>
      <c r="C228" s="117" t="s">
        <v>68</v>
      </c>
      <c r="D228" s="117">
        <v>2</v>
      </c>
      <c r="E228" s="120">
        <v>3900000</v>
      </c>
      <c r="F228" s="120">
        <f t="shared" si="38"/>
        <v>7800000</v>
      </c>
      <c r="G228" s="117" t="s">
        <v>23</v>
      </c>
      <c r="H228" s="56" t="s">
        <v>28</v>
      </c>
      <c r="I228" s="56" t="s">
        <v>22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5"/>
      <c r="U228" s="14">
        <f t="shared" si="37"/>
        <v>7800000</v>
      </c>
    </row>
    <row r="229" spans="1:21" ht="63" x14ac:dyDescent="0.25">
      <c r="A229" s="117">
        <v>8</v>
      </c>
      <c r="B229" s="118" t="s">
        <v>79</v>
      </c>
      <c r="C229" s="117" t="s">
        <v>68</v>
      </c>
      <c r="D229" s="117">
        <v>2</v>
      </c>
      <c r="E229" s="122">
        <v>419830</v>
      </c>
      <c r="F229" s="120">
        <f t="shared" si="38"/>
        <v>839660</v>
      </c>
      <c r="G229" s="117" t="s">
        <v>23</v>
      </c>
      <c r="H229" s="56" t="s">
        <v>28</v>
      </c>
      <c r="I229" s="56" t="s">
        <v>22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24"/>
      <c r="U229" s="14">
        <f t="shared" si="37"/>
        <v>839660</v>
      </c>
    </row>
    <row r="230" spans="1:21" ht="15.75" x14ac:dyDescent="0.25">
      <c r="A230" s="117">
        <v>9</v>
      </c>
      <c r="B230" s="118" t="s">
        <v>114</v>
      </c>
      <c r="C230" s="117" t="s">
        <v>55</v>
      </c>
      <c r="D230" s="117">
        <v>1</v>
      </c>
      <c r="E230" s="119">
        <v>4900000</v>
      </c>
      <c r="F230" s="120">
        <f t="shared" si="38"/>
        <v>4900000</v>
      </c>
      <c r="G230" s="117" t="s">
        <v>23</v>
      </c>
      <c r="H230" s="56" t="s">
        <v>28</v>
      </c>
      <c r="I230" s="56" t="s">
        <v>22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5">
        <v>1</v>
      </c>
      <c r="U230" s="14">
        <f t="shared" si="37"/>
        <v>4900000</v>
      </c>
    </row>
    <row r="231" spans="1:21" ht="15.75" x14ac:dyDescent="0.25">
      <c r="A231" s="117">
        <v>10</v>
      </c>
      <c r="B231" s="118" t="s">
        <v>116</v>
      </c>
      <c r="C231" s="117" t="s">
        <v>68</v>
      </c>
      <c r="D231" s="117">
        <v>1</v>
      </c>
      <c r="E231" s="119">
        <v>965126</v>
      </c>
      <c r="F231" s="120">
        <f t="shared" si="38"/>
        <v>965126</v>
      </c>
      <c r="G231" s="117" t="s">
        <v>23</v>
      </c>
      <c r="H231" s="56" t="s">
        <v>28</v>
      </c>
      <c r="I231" s="56" t="s">
        <v>22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5">
        <v>2</v>
      </c>
      <c r="U231" s="14">
        <f t="shared" si="37"/>
        <v>965126</v>
      </c>
    </row>
    <row r="232" spans="1:21" ht="63" x14ac:dyDescent="0.25">
      <c r="A232" s="117">
        <v>11</v>
      </c>
      <c r="B232" s="121" t="s">
        <v>338</v>
      </c>
      <c r="C232" s="117" t="s">
        <v>68</v>
      </c>
      <c r="D232" s="117">
        <v>5</v>
      </c>
      <c r="E232" s="120">
        <v>300000</v>
      </c>
      <c r="F232" s="120">
        <f>D232*E232</f>
        <v>1500000</v>
      </c>
      <c r="G232" s="117" t="s">
        <v>23</v>
      </c>
      <c r="H232" s="56" t="s">
        <v>28</v>
      </c>
      <c r="I232" s="56" t="s">
        <v>22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5">
        <v>1</v>
      </c>
      <c r="U232" s="14">
        <f t="shared" si="37"/>
        <v>1500000</v>
      </c>
    </row>
    <row r="233" spans="1:21" ht="47.25" x14ac:dyDescent="0.25">
      <c r="A233" s="117">
        <v>12</v>
      </c>
      <c r="B233" s="121" t="s">
        <v>336</v>
      </c>
      <c r="C233" s="117" t="s">
        <v>68</v>
      </c>
      <c r="D233" s="117">
        <v>1</v>
      </c>
      <c r="E233" s="120">
        <v>13260000</v>
      </c>
      <c r="F233" s="120">
        <f>D233*E233</f>
        <v>13260000</v>
      </c>
      <c r="G233" s="117" t="s">
        <v>23</v>
      </c>
      <c r="H233" s="56" t="s">
        <v>28</v>
      </c>
      <c r="I233" s="56" t="s">
        <v>22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6">
        <v>1</v>
      </c>
      <c r="U233" s="14">
        <f t="shared" si="37"/>
        <v>13260000</v>
      </c>
    </row>
    <row r="234" spans="1:21" ht="15.75" x14ac:dyDescent="0.25">
      <c r="A234" s="117">
        <v>13</v>
      </c>
      <c r="B234" s="121" t="s">
        <v>497</v>
      </c>
      <c r="C234" s="117" t="s">
        <v>68</v>
      </c>
      <c r="D234" s="117">
        <v>2</v>
      </c>
      <c r="E234" s="123">
        <v>152000</v>
      </c>
      <c r="F234" s="120">
        <f t="shared" ref="F234:F261" si="39">D234*E234</f>
        <v>304000</v>
      </c>
      <c r="G234" s="117" t="s">
        <v>23</v>
      </c>
      <c r="H234" s="56" t="s">
        <v>28</v>
      </c>
      <c r="I234" s="56" t="s">
        <v>22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>
        <v>1</v>
      </c>
      <c r="U234" s="14">
        <f t="shared" si="37"/>
        <v>304000</v>
      </c>
    </row>
    <row r="235" spans="1:21" ht="15.75" x14ac:dyDescent="0.25">
      <c r="A235" s="117">
        <v>14</v>
      </c>
      <c r="B235" s="121" t="s">
        <v>159</v>
      </c>
      <c r="C235" s="117" t="s">
        <v>68</v>
      </c>
      <c r="D235" s="117">
        <v>1</v>
      </c>
      <c r="E235" s="123">
        <v>50157</v>
      </c>
      <c r="F235" s="120">
        <f t="shared" si="39"/>
        <v>50157</v>
      </c>
      <c r="G235" s="117" t="s">
        <v>23</v>
      </c>
      <c r="H235" s="56" t="s">
        <v>28</v>
      </c>
      <c r="I235" s="56" t="s">
        <v>22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>
        <v>1</v>
      </c>
      <c r="U235" s="14">
        <f t="shared" si="37"/>
        <v>50157</v>
      </c>
    </row>
    <row r="236" spans="1:21" ht="15.75" x14ac:dyDescent="0.25">
      <c r="A236" s="117">
        <v>15</v>
      </c>
      <c r="B236" s="121" t="s">
        <v>341</v>
      </c>
      <c r="C236" s="117" t="s">
        <v>68</v>
      </c>
      <c r="D236" s="117">
        <v>1</v>
      </c>
      <c r="E236" s="123">
        <v>2400000</v>
      </c>
      <c r="F236" s="120">
        <f t="shared" si="39"/>
        <v>2400000</v>
      </c>
      <c r="G236" s="117" t="s">
        <v>23</v>
      </c>
      <c r="H236" s="56" t="s">
        <v>28</v>
      </c>
      <c r="I236" s="56" t="s">
        <v>22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>
        <v>2</v>
      </c>
      <c r="U236" s="14">
        <f t="shared" si="37"/>
        <v>2400000</v>
      </c>
    </row>
    <row r="237" spans="1:21" ht="31.5" x14ac:dyDescent="0.25">
      <c r="A237" s="117">
        <v>16</v>
      </c>
      <c r="B237" s="121" t="s">
        <v>498</v>
      </c>
      <c r="C237" s="117" t="s">
        <v>68</v>
      </c>
      <c r="D237" s="117">
        <v>2</v>
      </c>
      <c r="E237" s="123">
        <v>280000</v>
      </c>
      <c r="F237" s="120">
        <f t="shared" si="39"/>
        <v>560000</v>
      </c>
      <c r="G237" s="117" t="s">
        <v>23</v>
      </c>
      <c r="H237" s="56" t="s">
        <v>28</v>
      </c>
      <c r="I237" s="56" t="s">
        <v>22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>
        <v>1</v>
      </c>
      <c r="U237" s="14">
        <f t="shared" si="37"/>
        <v>560000</v>
      </c>
    </row>
    <row r="238" spans="1:21" ht="15.75" x14ac:dyDescent="0.25">
      <c r="A238" s="117">
        <v>17</v>
      </c>
      <c r="B238" s="121" t="s">
        <v>161</v>
      </c>
      <c r="C238" s="117" t="s">
        <v>68</v>
      </c>
      <c r="D238" s="117">
        <v>2</v>
      </c>
      <c r="E238" s="123">
        <v>45000</v>
      </c>
      <c r="F238" s="120">
        <f t="shared" si="39"/>
        <v>90000</v>
      </c>
      <c r="G238" s="117" t="s">
        <v>23</v>
      </c>
      <c r="H238" s="56" t="s">
        <v>28</v>
      </c>
      <c r="I238" s="56" t="s">
        <v>22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>
        <v>1</v>
      </c>
      <c r="U238" s="14">
        <f t="shared" si="37"/>
        <v>90000</v>
      </c>
    </row>
    <row r="239" spans="1:21" ht="15.75" x14ac:dyDescent="0.25">
      <c r="A239" s="117">
        <v>18</v>
      </c>
      <c r="B239" s="121" t="s">
        <v>162</v>
      </c>
      <c r="C239" s="117" t="s">
        <v>68</v>
      </c>
      <c r="D239" s="117">
        <v>5</v>
      </c>
      <c r="E239" s="123">
        <v>50000</v>
      </c>
      <c r="F239" s="120">
        <f t="shared" si="39"/>
        <v>250000</v>
      </c>
      <c r="G239" s="117" t="s">
        <v>23</v>
      </c>
      <c r="H239" s="56" t="s">
        <v>28</v>
      </c>
      <c r="I239" s="56" t="s">
        <v>22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>
        <v>5</v>
      </c>
      <c r="U239" s="14">
        <f t="shared" si="37"/>
        <v>250000</v>
      </c>
    </row>
    <row r="240" spans="1:21" ht="15.75" x14ac:dyDescent="0.25">
      <c r="A240" s="117">
        <v>19</v>
      </c>
      <c r="B240" s="121" t="s">
        <v>163</v>
      </c>
      <c r="C240" s="117" t="s">
        <v>68</v>
      </c>
      <c r="D240" s="117">
        <v>7</v>
      </c>
      <c r="E240" s="123">
        <v>14000</v>
      </c>
      <c r="F240" s="120">
        <f t="shared" si="39"/>
        <v>98000</v>
      </c>
      <c r="G240" s="117" t="s">
        <v>23</v>
      </c>
      <c r="H240" s="56" t="s">
        <v>28</v>
      </c>
      <c r="I240" s="56" t="s">
        <v>22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4"/>
    </row>
    <row r="241" spans="1:21" ht="15.75" x14ac:dyDescent="0.25">
      <c r="A241" s="117">
        <v>20</v>
      </c>
      <c r="B241" s="121" t="s">
        <v>164</v>
      </c>
      <c r="C241" s="117" t="s">
        <v>68</v>
      </c>
      <c r="D241" s="117">
        <v>3</v>
      </c>
      <c r="E241" s="123">
        <v>323700</v>
      </c>
      <c r="F241" s="120">
        <f t="shared" si="39"/>
        <v>971100</v>
      </c>
      <c r="G241" s="117" t="s">
        <v>23</v>
      </c>
      <c r="H241" s="56" t="s">
        <v>28</v>
      </c>
      <c r="I241" s="56" t="s">
        <v>22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5">
        <v>1</v>
      </c>
      <c r="U241" s="14">
        <f t="shared" si="37"/>
        <v>971100</v>
      </c>
    </row>
    <row r="242" spans="1:21" ht="15.75" x14ac:dyDescent="0.25">
      <c r="A242" s="117">
        <v>21</v>
      </c>
      <c r="B242" s="121" t="s">
        <v>499</v>
      </c>
      <c r="C242" s="117" t="s">
        <v>68</v>
      </c>
      <c r="D242" s="117">
        <v>1</v>
      </c>
      <c r="E242" s="123">
        <v>3500000</v>
      </c>
      <c r="F242" s="120">
        <f t="shared" si="39"/>
        <v>3500000</v>
      </c>
      <c r="G242" s="117" t="s">
        <v>23</v>
      </c>
      <c r="H242" s="56" t="s">
        <v>28</v>
      </c>
      <c r="I242" s="56" t="s">
        <v>22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28">
        <v>1</v>
      </c>
      <c r="U242" s="14">
        <f t="shared" si="37"/>
        <v>3500000</v>
      </c>
    </row>
    <row r="243" spans="1:21" ht="15.75" x14ac:dyDescent="0.25">
      <c r="A243" s="117">
        <v>22</v>
      </c>
      <c r="B243" s="121" t="s">
        <v>165</v>
      </c>
      <c r="C243" s="117" t="s">
        <v>68</v>
      </c>
      <c r="D243" s="117">
        <v>1</v>
      </c>
      <c r="E243" s="123">
        <v>3000000</v>
      </c>
      <c r="F243" s="120">
        <f t="shared" si="39"/>
        <v>3000000</v>
      </c>
      <c r="G243" s="117" t="s">
        <v>23</v>
      </c>
      <c r="H243" s="56" t="s">
        <v>28</v>
      </c>
      <c r="I243" s="56" t="s">
        <v>22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28">
        <v>1</v>
      </c>
      <c r="U243" s="14">
        <f t="shared" si="37"/>
        <v>3000000</v>
      </c>
    </row>
    <row r="244" spans="1:21" ht="15.75" x14ac:dyDescent="0.25">
      <c r="A244" s="117">
        <v>23</v>
      </c>
      <c r="B244" s="118" t="s">
        <v>335</v>
      </c>
      <c r="C244" s="117" t="s">
        <v>145</v>
      </c>
      <c r="D244" s="118">
        <v>1</v>
      </c>
      <c r="E244" s="120">
        <v>380000</v>
      </c>
      <c r="F244" s="120">
        <f t="shared" si="39"/>
        <v>380000</v>
      </c>
      <c r="G244" s="117" t="s">
        <v>23</v>
      </c>
      <c r="H244" s="56" t="s">
        <v>28</v>
      </c>
      <c r="I244" s="56" t="s">
        <v>22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28"/>
      <c r="U244" s="14"/>
    </row>
    <row r="245" spans="1:21" ht="15.75" x14ac:dyDescent="0.25">
      <c r="A245" s="117">
        <v>24</v>
      </c>
      <c r="B245" s="118" t="s">
        <v>500</v>
      </c>
      <c r="C245" s="117" t="s">
        <v>145</v>
      </c>
      <c r="D245" s="118">
        <v>1</v>
      </c>
      <c r="E245" s="120">
        <v>27625</v>
      </c>
      <c r="F245" s="120">
        <f t="shared" si="39"/>
        <v>27625</v>
      </c>
      <c r="G245" s="117" t="s">
        <v>23</v>
      </c>
      <c r="H245" s="56" t="s">
        <v>28</v>
      </c>
      <c r="I245" s="56" t="s">
        <v>22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28">
        <v>1</v>
      </c>
      <c r="U245" s="14">
        <f t="shared" si="37"/>
        <v>27625</v>
      </c>
    </row>
    <row r="246" spans="1:21" ht="15.75" x14ac:dyDescent="0.25">
      <c r="A246" s="117">
        <v>25</v>
      </c>
      <c r="B246" s="118" t="s">
        <v>193</v>
      </c>
      <c r="C246" s="117" t="s">
        <v>145</v>
      </c>
      <c r="D246" s="118">
        <v>1</v>
      </c>
      <c r="E246" s="120">
        <v>2964443</v>
      </c>
      <c r="F246" s="120">
        <f t="shared" si="39"/>
        <v>2964443</v>
      </c>
      <c r="G246" s="117" t="s">
        <v>23</v>
      </c>
      <c r="H246" s="56" t="s">
        <v>28</v>
      </c>
      <c r="I246" s="56" t="s">
        <v>22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28">
        <v>15</v>
      </c>
      <c r="U246" s="14">
        <f t="shared" si="37"/>
        <v>2964443</v>
      </c>
    </row>
    <row r="247" spans="1:21" ht="31.5" x14ac:dyDescent="0.25">
      <c r="A247" s="117">
        <v>26</v>
      </c>
      <c r="B247" s="118" t="s">
        <v>501</v>
      </c>
      <c r="C247" s="117" t="s">
        <v>145</v>
      </c>
      <c r="D247" s="118">
        <v>1</v>
      </c>
      <c r="E247" s="120">
        <v>817768</v>
      </c>
      <c r="F247" s="120">
        <f t="shared" si="39"/>
        <v>817768</v>
      </c>
      <c r="G247" s="117" t="s">
        <v>23</v>
      </c>
      <c r="H247" s="56" t="s">
        <v>28</v>
      </c>
      <c r="I247" s="56" t="s">
        <v>22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28">
        <v>1</v>
      </c>
      <c r="U247" s="14">
        <f t="shared" si="37"/>
        <v>817768</v>
      </c>
    </row>
    <row r="248" spans="1:21" ht="31.5" x14ac:dyDescent="0.25">
      <c r="A248" s="117">
        <v>27</v>
      </c>
      <c r="B248" s="118" t="s">
        <v>502</v>
      </c>
      <c r="C248" s="117" t="s">
        <v>145</v>
      </c>
      <c r="D248" s="118">
        <v>1</v>
      </c>
      <c r="E248" s="120">
        <v>421476</v>
      </c>
      <c r="F248" s="120">
        <f t="shared" si="39"/>
        <v>421476</v>
      </c>
      <c r="G248" s="117" t="s">
        <v>23</v>
      </c>
      <c r="H248" s="56" t="s">
        <v>28</v>
      </c>
      <c r="I248" s="56" t="s">
        <v>22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28">
        <v>5</v>
      </c>
      <c r="U248" s="14">
        <f t="shared" si="37"/>
        <v>421476</v>
      </c>
    </row>
    <row r="249" spans="1:21" ht="15.75" x14ac:dyDescent="0.25">
      <c r="A249" s="117">
        <v>28</v>
      </c>
      <c r="B249" s="118" t="s">
        <v>194</v>
      </c>
      <c r="C249" s="117" t="s">
        <v>68</v>
      </c>
      <c r="D249" s="118">
        <v>1</v>
      </c>
      <c r="E249" s="120">
        <v>84000000</v>
      </c>
      <c r="F249" s="120">
        <f t="shared" si="39"/>
        <v>84000000</v>
      </c>
      <c r="G249" s="117" t="s">
        <v>23</v>
      </c>
      <c r="H249" s="56" t="s">
        <v>28</v>
      </c>
      <c r="I249" s="56" t="s">
        <v>22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28">
        <v>1</v>
      </c>
      <c r="U249" s="14">
        <f t="shared" si="37"/>
        <v>84000000</v>
      </c>
    </row>
    <row r="250" spans="1:21" ht="15.75" x14ac:dyDescent="0.25">
      <c r="A250" s="117">
        <v>29</v>
      </c>
      <c r="B250" s="118" t="s">
        <v>39</v>
      </c>
      <c r="C250" s="117" t="s">
        <v>145</v>
      </c>
      <c r="D250" s="118">
        <v>1</v>
      </c>
      <c r="E250" s="120">
        <v>170000</v>
      </c>
      <c r="F250" s="120">
        <f t="shared" si="39"/>
        <v>170000</v>
      </c>
      <c r="G250" s="117" t="s">
        <v>23</v>
      </c>
      <c r="H250" s="56" t="s">
        <v>28</v>
      </c>
      <c r="I250" s="56" t="s">
        <v>22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28">
        <v>7</v>
      </c>
      <c r="U250" s="14">
        <f t="shared" si="37"/>
        <v>170000</v>
      </c>
    </row>
    <row r="251" spans="1:21" ht="15.75" x14ac:dyDescent="0.25">
      <c r="A251" s="117">
        <v>30</v>
      </c>
      <c r="B251" s="118" t="s">
        <v>503</v>
      </c>
      <c r="C251" s="117" t="s">
        <v>145</v>
      </c>
      <c r="D251" s="118">
        <v>1</v>
      </c>
      <c r="E251" s="120">
        <v>1620000</v>
      </c>
      <c r="F251" s="120">
        <f t="shared" si="39"/>
        <v>1620000</v>
      </c>
      <c r="G251" s="117" t="s">
        <v>23</v>
      </c>
      <c r="H251" s="56" t="s">
        <v>28</v>
      </c>
      <c r="I251" s="56" t="s">
        <v>22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28">
        <v>3</v>
      </c>
      <c r="U251" s="14">
        <f t="shared" si="37"/>
        <v>1620000</v>
      </c>
    </row>
    <row r="252" spans="1:21" ht="15.75" x14ac:dyDescent="0.25">
      <c r="A252" s="117">
        <v>31</v>
      </c>
      <c r="B252" s="117" t="s">
        <v>212</v>
      </c>
      <c r="C252" s="117" t="s">
        <v>145</v>
      </c>
      <c r="D252" s="117">
        <v>1</v>
      </c>
      <c r="E252" s="117">
        <v>80000</v>
      </c>
      <c r="F252" s="120">
        <f t="shared" si="39"/>
        <v>80000</v>
      </c>
      <c r="G252" s="117" t="s">
        <v>23</v>
      </c>
      <c r="H252" s="56" t="s">
        <v>28</v>
      </c>
      <c r="I252" s="56" t="s">
        <v>22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28"/>
      <c r="U252" s="14"/>
    </row>
    <row r="253" spans="1:21" ht="15.75" x14ac:dyDescent="0.25">
      <c r="A253" s="117">
        <v>32</v>
      </c>
      <c r="B253" s="117" t="s">
        <v>504</v>
      </c>
      <c r="C253" s="117" t="s">
        <v>145</v>
      </c>
      <c r="D253" s="117">
        <v>1</v>
      </c>
      <c r="E253" s="123">
        <v>380000</v>
      </c>
      <c r="F253" s="120">
        <f t="shared" si="39"/>
        <v>380000</v>
      </c>
      <c r="G253" s="117" t="s">
        <v>23</v>
      </c>
      <c r="H253" s="56" t="s">
        <v>28</v>
      </c>
      <c r="I253" s="56" t="s">
        <v>22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28"/>
      <c r="U253" s="14">
        <f t="shared" si="37"/>
        <v>380000</v>
      </c>
    </row>
    <row r="254" spans="1:21" ht="15.75" x14ac:dyDescent="0.25">
      <c r="A254" s="124">
        <v>33</v>
      </c>
      <c r="B254" s="121" t="s">
        <v>225</v>
      </c>
      <c r="C254" s="117" t="s">
        <v>145</v>
      </c>
      <c r="D254" s="117">
        <v>2</v>
      </c>
      <c r="E254" s="117">
        <v>1800000</v>
      </c>
      <c r="F254" s="120">
        <f t="shared" si="39"/>
        <v>3600000</v>
      </c>
      <c r="G254" s="117" t="s">
        <v>23</v>
      </c>
      <c r="H254" s="56" t="s">
        <v>28</v>
      </c>
      <c r="I254" s="56" t="s">
        <v>22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5"/>
      <c r="U254" s="14">
        <f t="shared" si="37"/>
        <v>3600000</v>
      </c>
    </row>
    <row r="255" spans="1:21" ht="15.75" x14ac:dyDescent="0.25">
      <c r="A255" s="124">
        <v>34</v>
      </c>
      <c r="B255" s="121" t="s">
        <v>505</v>
      </c>
      <c r="C255" s="117" t="s">
        <v>145</v>
      </c>
      <c r="D255" s="117">
        <v>2</v>
      </c>
      <c r="E255" s="123">
        <v>350000</v>
      </c>
      <c r="F255" s="120">
        <f t="shared" si="39"/>
        <v>700000</v>
      </c>
      <c r="G255" s="117" t="s">
        <v>23</v>
      </c>
      <c r="H255" s="56" t="s">
        <v>28</v>
      </c>
      <c r="I255" s="56" t="s">
        <v>22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5"/>
      <c r="U255" s="14"/>
    </row>
    <row r="256" spans="1:21" ht="15.75" x14ac:dyDescent="0.25">
      <c r="A256" s="124">
        <v>35</v>
      </c>
      <c r="B256" s="121" t="s">
        <v>507</v>
      </c>
      <c r="C256" s="117" t="s">
        <v>145</v>
      </c>
      <c r="D256" s="117">
        <v>2</v>
      </c>
      <c r="E256" s="123">
        <v>50000</v>
      </c>
      <c r="F256" s="120">
        <f t="shared" si="39"/>
        <v>100000</v>
      </c>
      <c r="G256" s="117" t="s">
        <v>23</v>
      </c>
      <c r="H256" s="56" t="s">
        <v>28</v>
      </c>
      <c r="I256" s="56" t="s">
        <v>22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5"/>
      <c r="U256" s="14">
        <f t="shared" si="37"/>
        <v>100000</v>
      </c>
    </row>
    <row r="257" spans="1:21" ht="15.75" x14ac:dyDescent="0.25">
      <c r="A257" s="124">
        <v>36</v>
      </c>
      <c r="B257" s="121" t="s">
        <v>508</v>
      </c>
      <c r="C257" s="117" t="s">
        <v>44</v>
      </c>
      <c r="D257" s="117">
        <v>2</v>
      </c>
      <c r="E257" s="123">
        <v>100000</v>
      </c>
      <c r="F257" s="120">
        <f t="shared" si="39"/>
        <v>200000</v>
      </c>
      <c r="G257" s="117" t="s">
        <v>23</v>
      </c>
      <c r="H257" s="56" t="s">
        <v>28</v>
      </c>
      <c r="I257" s="56" t="s">
        <v>22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5"/>
      <c r="U257" s="14">
        <f t="shared" si="37"/>
        <v>200000</v>
      </c>
    </row>
    <row r="258" spans="1:21" ht="31.5" x14ac:dyDescent="0.25">
      <c r="A258" s="124">
        <v>37</v>
      </c>
      <c r="B258" s="121" t="s">
        <v>509</v>
      </c>
      <c r="C258" s="117" t="s">
        <v>68</v>
      </c>
      <c r="D258" s="117">
        <v>2</v>
      </c>
      <c r="E258" s="123">
        <v>80000</v>
      </c>
      <c r="F258" s="120">
        <f t="shared" si="39"/>
        <v>160000</v>
      </c>
      <c r="G258" s="117" t="s">
        <v>23</v>
      </c>
      <c r="H258" s="56" t="s">
        <v>28</v>
      </c>
      <c r="I258" s="56" t="s">
        <v>22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5"/>
      <c r="U258" s="14">
        <f>D239*E239</f>
        <v>250000</v>
      </c>
    </row>
    <row r="259" spans="1:21" ht="31.5" x14ac:dyDescent="0.25">
      <c r="A259" s="124">
        <v>38</v>
      </c>
      <c r="B259" s="121" t="s">
        <v>510</v>
      </c>
      <c r="C259" s="117" t="s">
        <v>68</v>
      </c>
      <c r="D259" s="117">
        <v>15</v>
      </c>
      <c r="E259" s="123">
        <v>8000</v>
      </c>
      <c r="F259" s="120">
        <f t="shared" si="39"/>
        <v>120000</v>
      </c>
      <c r="G259" s="117" t="s">
        <v>23</v>
      </c>
      <c r="H259" s="56" t="s">
        <v>28</v>
      </c>
      <c r="I259" s="56" t="s">
        <v>22</v>
      </c>
      <c r="J259" s="16"/>
      <c r="K259" s="67"/>
      <c r="L259" s="16"/>
      <c r="M259" s="16"/>
      <c r="N259" s="16"/>
      <c r="O259" s="16"/>
      <c r="P259" s="16"/>
      <c r="Q259" s="16"/>
      <c r="R259" s="16"/>
      <c r="S259" s="16"/>
      <c r="T259" s="67"/>
      <c r="U259" s="49">
        <f>D241*E241</f>
        <v>971100</v>
      </c>
    </row>
    <row r="260" spans="1:21" ht="15.75" x14ac:dyDescent="0.25">
      <c r="A260" s="124">
        <v>39</v>
      </c>
      <c r="B260" s="121" t="s">
        <v>511</v>
      </c>
      <c r="C260" s="117" t="s">
        <v>68</v>
      </c>
      <c r="D260" s="117">
        <v>7</v>
      </c>
      <c r="E260" s="123">
        <v>1200</v>
      </c>
      <c r="F260" s="120">
        <f t="shared" si="39"/>
        <v>8400</v>
      </c>
      <c r="G260" s="117"/>
      <c r="H260" s="56" t="s">
        <v>28</v>
      </c>
      <c r="I260" s="56" t="s">
        <v>22</v>
      </c>
      <c r="J260" s="16"/>
      <c r="K260" s="67"/>
      <c r="L260" s="16"/>
      <c r="M260" s="16"/>
      <c r="N260" s="16"/>
      <c r="O260" s="16"/>
      <c r="P260" s="16"/>
      <c r="Q260" s="16"/>
      <c r="R260" s="16"/>
      <c r="S260" s="16"/>
      <c r="T260" s="67"/>
      <c r="U260" s="49"/>
    </row>
    <row r="261" spans="1:21" ht="31.5" x14ac:dyDescent="0.25">
      <c r="A261" s="124">
        <v>40</v>
      </c>
      <c r="B261" s="121" t="s">
        <v>512</v>
      </c>
      <c r="C261" s="117" t="s">
        <v>68</v>
      </c>
      <c r="D261" s="117">
        <v>2</v>
      </c>
      <c r="E261" s="123">
        <v>350000</v>
      </c>
      <c r="F261" s="120">
        <f t="shared" si="39"/>
        <v>700000</v>
      </c>
      <c r="G261" s="117"/>
      <c r="H261" s="56" t="s">
        <v>28</v>
      </c>
      <c r="I261" s="56" t="s">
        <v>22</v>
      </c>
      <c r="J261" s="16"/>
      <c r="K261" s="67"/>
      <c r="L261" s="16"/>
      <c r="M261" s="16"/>
      <c r="N261" s="16"/>
      <c r="O261" s="16"/>
      <c r="P261" s="16"/>
      <c r="Q261" s="16"/>
      <c r="R261" s="16"/>
      <c r="S261" s="16"/>
      <c r="T261" s="67"/>
      <c r="U261" s="49">
        <f>D258*E258</f>
        <v>160000</v>
      </c>
    </row>
    <row r="262" spans="1:21" ht="15.75" x14ac:dyDescent="0.25">
      <c r="A262" s="115"/>
      <c r="B262" s="27"/>
      <c r="C262" s="28"/>
      <c r="D262" s="28"/>
      <c r="E262" s="29"/>
      <c r="F262" s="114"/>
      <c r="G262" s="28"/>
      <c r="H262" s="1"/>
      <c r="I262" s="1"/>
      <c r="J262" s="16"/>
      <c r="K262" s="67"/>
      <c r="L262" s="16"/>
      <c r="M262" s="16"/>
      <c r="N262" s="16"/>
      <c r="O262" s="16"/>
      <c r="P262" s="16"/>
      <c r="Q262" s="16"/>
      <c r="R262" s="16"/>
      <c r="S262" s="16"/>
      <c r="T262" s="67"/>
      <c r="U262" s="49"/>
    </row>
    <row r="263" spans="1:21" ht="15.75" x14ac:dyDescent="0.25">
      <c r="A263" s="115"/>
      <c r="B263" s="27"/>
      <c r="C263" s="28"/>
      <c r="D263" s="28"/>
      <c r="E263" s="29"/>
      <c r="F263" s="114"/>
      <c r="G263" s="28"/>
      <c r="H263" s="1"/>
      <c r="I263" s="1"/>
      <c r="J263" s="16"/>
      <c r="K263" s="67"/>
      <c r="L263" s="16"/>
      <c r="M263" s="16"/>
      <c r="N263" s="16"/>
      <c r="O263" s="16"/>
      <c r="P263" s="16"/>
      <c r="Q263" s="16"/>
      <c r="R263" s="16"/>
      <c r="S263" s="16"/>
      <c r="T263" s="67"/>
      <c r="U263" s="49"/>
    </row>
    <row r="264" spans="1:21" ht="15.75" x14ac:dyDescent="0.25">
      <c r="A264" s="115"/>
      <c r="B264" s="27"/>
      <c r="C264" s="28"/>
      <c r="D264" s="28"/>
      <c r="E264" s="29"/>
      <c r="F264" s="114"/>
      <c r="G264" s="28"/>
      <c r="H264" s="1"/>
      <c r="I264" s="1"/>
      <c r="J264" s="16"/>
      <c r="K264" s="67"/>
      <c r="L264" s="16"/>
      <c r="M264" s="16"/>
      <c r="N264" s="16"/>
      <c r="O264" s="16"/>
      <c r="P264" s="16"/>
      <c r="Q264" s="16"/>
      <c r="R264" s="16"/>
      <c r="S264" s="16"/>
      <c r="T264" s="67"/>
      <c r="U264" s="49"/>
    </row>
    <row r="265" spans="1:21" ht="15.75" x14ac:dyDescent="0.25">
      <c r="A265" s="115" t="s">
        <v>514</v>
      </c>
      <c r="B265" s="116"/>
      <c r="C265" s="28"/>
      <c r="D265" s="28"/>
      <c r="E265" s="29"/>
      <c r="F265" s="114"/>
      <c r="G265" s="28"/>
      <c r="H265" s="1"/>
      <c r="I265" s="1"/>
      <c r="J265" s="16"/>
      <c r="K265" s="67"/>
      <c r="L265" s="16"/>
      <c r="M265" s="16"/>
      <c r="N265" s="16"/>
      <c r="O265" s="16"/>
      <c r="P265" s="16"/>
      <c r="Q265" s="16"/>
      <c r="R265" s="16"/>
      <c r="S265" s="16"/>
      <c r="T265" s="67"/>
      <c r="U265" s="49"/>
    </row>
    <row r="266" spans="1:21" ht="31.5" x14ac:dyDescent="0.25">
      <c r="A266" s="115"/>
      <c r="B266" s="121" t="s">
        <v>513</v>
      </c>
      <c r="C266" s="117"/>
      <c r="D266" s="117"/>
      <c r="E266" s="123"/>
      <c r="F266" s="123">
        <v>6000000</v>
      </c>
      <c r="G266" s="117" t="s">
        <v>23</v>
      </c>
      <c r="H266" s="56" t="s">
        <v>28</v>
      </c>
      <c r="I266" s="56" t="s">
        <v>22</v>
      </c>
      <c r="J266" s="16"/>
      <c r="K266" s="67"/>
      <c r="L266" s="16"/>
      <c r="M266" s="16"/>
      <c r="N266" s="16"/>
      <c r="O266" s="16"/>
      <c r="P266" s="16"/>
      <c r="Q266" s="16"/>
      <c r="R266" s="16"/>
      <c r="S266" s="16"/>
      <c r="T266" s="67"/>
      <c r="U266" s="49"/>
    </row>
    <row r="267" spans="1:21" ht="15.75" x14ac:dyDescent="0.25">
      <c r="A267" s="1"/>
      <c r="B267" s="20"/>
      <c r="C267" s="28"/>
      <c r="D267" s="1"/>
      <c r="E267" s="4"/>
      <c r="F267" s="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4"/>
    </row>
    <row r="268" spans="1:21" x14ac:dyDescent="0.25">
      <c r="A268" s="50"/>
      <c r="B268" s="68"/>
      <c r="C268" s="1"/>
      <c r="D268" s="16"/>
      <c r="E268" s="16"/>
      <c r="F268" s="21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49"/>
    </row>
    <row r="269" spans="1:21" x14ac:dyDescent="0.25">
      <c r="A269" s="3" t="s">
        <v>127</v>
      </c>
      <c r="B269" s="1"/>
      <c r="C269" s="16"/>
      <c r="D269" s="1"/>
      <c r="E269" s="4"/>
      <c r="F269" s="4">
        <f t="shared" ref="F269:F278" si="40">D269*E269</f>
        <v>0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5"/>
      <c r="U269" s="14" t="e">
        <f>#REF!*#REF!</f>
        <v>#REF!</v>
      </c>
    </row>
    <row r="270" spans="1:21" ht="15.75" x14ac:dyDescent="0.25">
      <c r="A270" s="1"/>
      <c r="B270" s="15" t="s">
        <v>210</v>
      </c>
      <c r="C270" s="15"/>
      <c r="D270" s="1"/>
      <c r="E270" s="4"/>
      <c r="F270" s="4">
        <f t="shared" si="40"/>
        <v>0</v>
      </c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5"/>
      <c r="U270" s="14">
        <f t="shared" ref="U270:U274" si="41">D269*E269</f>
        <v>0</v>
      </c>
    </row>
    <row r="271" spans="1:21" x14ac:dyDescent="0.25">
      <c r="A271" s="1"/>
      <c r="B271" s="1" t="s">
        <v>211</v>
      </c>
      <c r="C271" s="1"/>
      <c r="D271" s="1"/>
      <c r="E271" s="4"/>
      <c r="F271" s="4">
        <f t="shared" si="40"/>
        <v>0</v>
      </c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5"/>
      <c r="U271" s="14">
        <f t="shared" si="41"/>
        <v>0</v>
      </c>
    </row>
    <row r="272" spans="1:21" x14ac:dyDescent="0.25">
      <c r="A272" s="1"/>
      <c r="B272" s="1" t="s">
        <v>41</v>
      </c>
      <c r="C272" s="1"/>
      <c r="D272" s="1"/>
      <c r="E272" s="4"/>
      <c r="F272" s="4">
        <f t="shared" si="40"/>
        <v>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5"/>
      <c r="U272" s="14">
        <f t="shared" si="41"/>
        <v>0</v>
      </c>
    </row>
    <row r="273" spans="1:21" ht="15.75" x14ac:dyDescent="0.25">
      <c r="A273" s="1"/>
      <c r="B273" s="15" t="s">
        <v>130</v>
      </c>
      <c r="C273" s="1"/>
      <c r="D273" s="1">
        <v>30</v>
      </c>
      <c r="E273" s="4">
        <v>750</v>
      </c>
      <c r="F273" s="4">
        <f t="shared" si="40"/>
        <v>22500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5"/>
      <c r="U273" s="14">
        <f t="shared" si="41"/>
        <v>0</v>
      </c>
    </row>
    <row r="274" spans="1:21" x14ac:dyDescent="0.25">
      <c r="A274" s="1"/>
      <c r="B274" s="1"/>
      <c r="C274" s="1" t="s">
        <v>209</v>
      </c>
      <c r="D274" s="1"/>
      <c r="E274" s="4"/>
      <c r="F274" s="4">
        <f t="shared" si="40"/>
        <v>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4">
        <f t="shared" si="41"/>
        <v>22500</v>
      </c>
    </row>
    <row r="275" spans="1:21" x14ac:dyDescent="0.25">
      <c r="A275" s="1"/>
      <c r="B275" s="1"/>
      <c r="C275" s="3"/>
      <c r="D275" s="1"/>
      <c r="E275" s="4"/>
      <c r="F275" s="4">
        <f t="shared" si="40"/>
        <v>0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5"/>
      <c r="U275" s="14"/>
    </row>
    <row r="276" spans="1:21" x14ac:dyDescent="0.25">
      <c r="A276" s="1"/>
      <c r="B276" s="1"/>
      <c r="C276" s="1"/>
      <c r="D276" s="1"/>
      <c r="E276" s="4"/>
      <c r="F276" s="4">
        <f t="shared" si="40"/>
        <v>0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5"/>
      <c r="U276" s="14">
        <f t="shared" ref="U276:U278" si="42">D275*E275</f>
        <v>0</v>
      </c>
    </row>
    <row r="277" spans="1:21" ht="15.75" x14ac:dyDescent="0.25">
      <c r="A277" s="1"/>
      <c r="B277" s="15"/>
      <c r="C277" s="1"/>
      <c r="D277" s="15"/>
      <c r="E277" s="16"/>
      <c r="F277" s="4">
        <f t="shared" si="40"/>
        <v>0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4">
        <f t="shared" si="42"/>
        <v>0</v>
      </c>
    </row>
    <row r="278" spans="1:21" ht="15.75" x14ac:dyDescent="0.25">
      <c r="A278" s="1" t="s">
        <v>128</v>
      </c>
      <c r="B278" s="15"/>
      <c r="C278" s="1"/>
      <c r="D278" s="15"/>
      <c r="E278" s="16"/>
      <c r="F278" s="4">
        <f t="shared" si="40"/>
        <v>0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4">
        <f t="shared" si="42"/>
        <v>0</v>
      </c>
    </row>
    <row r="279" spans="1:21" ht="15.75" x14ac:dyDescent="0.25">
      <c r="A279" s="1">
        <v>1</v>
      </c>
      <c r="B279" s="15" t="s">
        <v>47</v>
      </c>
      <c r="C279" s="16"/>
      <c r="D279" s="15">
        <v>40</v>
      </c>
      <c r="E279" s="16">
        <v>32000</v>
      </c>
      <c r="F279" s="18">
        <f>D279*E279</f>
        <v>1280000</v>
      </c>
      <c r="G279" s="1" t="s">
        <v>23</v>
      </c>
      <c r="H279" s="1" t="s">
        <v>28</v>
      </c>
      <c r="I279" s="1" t="s">
        <v>22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5">
        <v>40</v>
      </c>
      <c r="U279" s="14">
        <f>D279*E279</f>
        <v>1280000</v>
      </c>
    </row>
    <row r="280" spans="1:21" ht="15.75" x14ac:dyDescent="0.25">
      <c r="A280" s="1">
        <v>2</v>
      </c>
      <c r="B280" s="15" t="s">
        <v>48</v>
      </c>
      <c r="C280" s="1"/>
      <c r="D280" s="15">
        <v>14</v>
      </c>
      <c r="E280" s="16">
        <v>12000</v>
      </c>
      <c r="F280" s="18">
        <f>D280*E280</f>
        <v>168000</v>
      </c>
      <c r="G280" s="1" t="s">
        <v>23</v>
      </c>
      <c r="H280" s="1" t="s">
        <v>28</v>
      </c>
      <c r="I280" s="1" t="s">
        <v>22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5">
        <v>14</v>
      </c>
      <c r="U280" s="14">
        <f>D280*E280</f>
        <v>168000</v>
      </c>
    </row>
    <row r="281" spans="1:21" ht="15.75" x14ac:dyDescent="0.25">
      <c r="A281" s="1">
        <v>3</v>
      </c>
      <c r="B281" s="15" t="s">
        <v>125</v>
      </c>
      <c r="C281" s="16"/>
      <c r="D281" s="15">
        <v>70</v>
      </c>
      <c r="E281" s="4">
        <v>24000</v>
      </c>
      <c r="F281" s="4">
        <f>D281*E281</f>
        <v>1680000</v>
      </c>
      <c r="G281" s="1" t="s">
        <v>23</v>
      </c>
      <c r="H281" s="1" t="s">
        <v>28</v>
      </c>
      <c r="I281" s="1" t="s">
        <v>22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5">
        <v>70</v>
      </c>
      <c r="U281" s="14">
        <f>D281*E281</f>
        <v>1680000</v>
      </c>
    </row>
    <row r="282" spans="1:21" ht="15.75" x14ac:dyDescent="0.25">
      <c r="A282" s="1">
        <v>4</v>
      </c>
      <c r="B282" s="15" t="s">
        <v>123</v>
      </c>
      <c r="C282" s="16" t="s">
        <v>68</v>
      </c>
      <c r="D282" s="15">
        <v>100</v>
      </c>
      <c r="E282" s="4">
        <v>1800</v>
      </c>
      <c r="F282" s="4">
        <f>D282*E282</f>
        <v>180000</v>
      </c>
      <c r="G282" s="1" t="s">
        <v>23</v>
      </c>
      <c r="H282" s="1" t="s">
        <v>28</v>
      </c>
      <c r="I282" s="1" t="s">
        <v>22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5">
        <v>100</v>
      </c>
      <c r="U282" s="14">
        <f>D282*E282</f>
        <v>180000</v>
      </c>
    </row>
    <row r="283" spans="1:21" ht="15.75" x14ac:dyDescent="0.25">
      <c r="A283" s="1">
        <v>5</v>
      </c>
      <c r="B283" s="15" t="s">
        <v>124</v>
      </c>
      <c r="C283" s="16" t="s">
        <v>68</v>
      </c>
      <c r="D283" s="15">
        <v>5</v>
      </c>
      <c r="E283" s="4">
        <v>20000</v>
      </c>
      <c r="F283" s="4">
        <f>D283*E283</f>
        <v>100000</v>
      </c>
      <c r="G283" s="1" t="s">
        <v>23</v>
      </c>
      <c r="H283" s="1" t="s">
        <v>28</v>
      </c>
      <c r="I283" s="1" t="s">
        <v>22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5">
        <v>5</v>
      </c>
      <c r="U283" s="14">
        <f>D283*E283</f>
        <v>100000</v>
      </c>
    </row>
    <row r="284" spans="1:21" x14ac:dyDescent="0.25">
      <c r="A284" s="1"/>
      <c r="B284" s="17"/>
      <c r="C284" s="16" t="s">
        <v>68</v>
      </c>
      <c r="D284" s="16"/>
      <c r="E284" s="4"/>
      <c r="F284" s="4">
        <f t="shared" ref="F284:F319" si="43">D284*E284</f>
        <v>0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4"/>
    </row>
    <row r="285" spans="1:21" x14ac:dyDescent="0.25">
      <c r="A285" s="1"/>
      <c r="B285" s="16"/>
      <c r="C285" s="16"/>
      <c r="D285" s="16"/>
      <c r="E285" s="4"/>
      <c r="F285" s="4">
        <f t="shared" si="43"/>
        <v>0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4">
        <f t="shared" ref="U285:U329" si="44">D285*E285</f>
        <v>0</v>
      </c>
    </row>
    <row r="286" spans="1:21" x14ac:dyDescent="0.25">
      <c r="A286" s="1"/>
      <c r="B286" s="16"/>
      <c r="C286" s="16"/>
      <c r="D286" s="16"/>
      <c r="E286" s="4"/>
      <c r="F286" s="4">
        <f t="shared" si="43"/>
        <v>0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4">
        <f t="shared" si="44"/>
        <v>0</v>
      </c>
    </row>
    <row r="287" spans="1:21" x14ac:dyDescent="0.25">
      <c r="A287" s="1" t="s">
        <v>129</v>
      </c>
      <c r="B287" s="16"/>
      <c r="C287" s="16"/>
      <c r="D287" s="16"/>
      <c r="E287" s="4"/>
      <c r="F287" s="4">
        <f t="shared" si="43"/>
        <v>0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4">
        <f t="shared" si="44"/>
        <v>0</v>
      </c>
    </row>
    <row r="288" spans="1:21" ht="15.75" x14ac:dyDescent="0.25">
      <c r="A288" s="1"/>
      <c r="B288" s="15"/>
      <c r="C288" s="16"/>
      <c r="D288" s="16"/>
      <c r="E288" s="4"/>
      <c r="F288" s="4">
        <f t="shared" si="43"/>
        <v>0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4">
        <f t="shared" si="44"/>
        <v>0</v>
      </c>
    </row>
    <row r="289" spans="1:21" ht="15.75" x14ac:dyDescent="0.25">
      <c r="A289" s="1">
        <v>1</v>
      </c>
      <c r="B289" s="15" t="s">
        <v>173</v>
      </c>
      <c r="C289" s="16"/>
      <c r="D289" s="16">
        <v>120</v>
      </c>
      <c r="E289" s="4">
        <v>4000</v>
      </c>
      <c r="F289" s="4">
        <f t="shared" si="43"/>
        <v>480000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4">
        <f t="shared" si="44"/>
        <v>480000</v>
      </c>
    </row>
    <row r="290" spans="1:21" x14ac:dyDescent="0.25">
      <c r="A290" s="1"/>
      <c r="B290" s="16"/>
      <c r="C290" s="16" t="s">
        <v>131</v>
      </c>
      <c r="D290" s="16"/>
      <c r="E290" s="4"/>
      <c r="F290" s="4">
        <f t="shared" si="43"/>
        <v>0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4">
        <f t="shared" si="44"/>
        <v>0</v>
      </c>
    </row>
    <row r="291" spans="1:21" x14ac:dyDescent="0.25">
      <c r="A291" s="1"/>
      <c r="B291" s="1"/>
      <c r="C291" s="16"/>
      <c r="D291" s="1"/>
      <c r="E291" s="4"/>
      <c r="F291" s="4">
        <f t="shared" si="43"/>
        <v>0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5"/>
      <c r="U291" s="14">
        <f t="shared" si="44"/>
        <v>0</v>
      </c>
    </row>
    <row r="292" spans="1:21" x14ac:dyDescent="0.25">
      <c r="A292" s="1"/>
      <c r="B292" s="1"/>
      <c r="C292" s="1"/>
      <c r="D292" s="1"/>
      <c r="E292" s="4"/>
      <c r="F292" s="4">
        <f t="shared" si="43"/>
        <v>0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5"/>
      <c r="U292" s="14">
        <f t="shared" si="44"/>
        <v>0</v>
      </c>
    </row>
    <row r="293" spans="1:21" x14ac:dyDescent="0.25">
      <c r="A293" s="1"/>
      <c r="B293" s="1"/>
      <c r="C293" s="1"/>
      <c r="D293" s="1"/>
      <c r="E293" s="4"/>
      <c r="F293" s="4">
        <f t="shared" si="43"/>
        <v>0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4">
        <f t="shared" si="44"/>
        <v>0</v>
      </c>
    </row>
    <row r="294" spans="1:21" x14ac:dyDescent="0.25">
      <c r="A294" s="1"/>
      <c r="B294" s="1"/>
      <c r="C294" s="1"/>
      <c r="D294" s="1"/>
      <c r="E294" s="4"/>
      <c r="F294" s="4">
        <f t="shared" si="43"/>
        <v>0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4">
        <f t="shared" si="44"/>
        <v>0</v>
      </c>
    </row>
    <row r="295" spans="1:21" x14ac:dyDescent="0.25">
      <c r="A295" s="1" t="s">
        <v>167</v>
      </c>
      <c r="B295" s="1"/>
      <c r="C295" s="1"/>
      <c r="D295" s="1"/>
      <c r="E295" s="4"/>
      <c r="F295" s="4">
        <f t="shared" si="43"/>
        <v>0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4">
        <f t="shared" si="44"/>
        <v>0</v>
      </c>
    </row>
    <row r="296" spans="1:21" x14ac:dyDescent="0.25">
      <c r="A296" s="1">
        <v>1</v>
      </c>
      <c r="B296" s="1" t="s">
        <v>168</v>
      </c>
      <c r="C296" s="1"/>
      <c r="D296" s="1">
        <v>1</v>
      </c>
      <c r="E296" s="4">
        <v>2500000</v>
      </c>
      <c r="F296" s="4">
        <f t="shared" si="43"/>
        <v>2500000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4">
        <f t="shared" si="44"/>
        <v>2500000</v>
      </c>
    </row>
    <row r="297" spans="1:21" x14ac:dyDescent="0.25">
      <c r="A297" s="1">
        <v>2</v>
      </c>
      <c r="B297" s="31" t="s">
        <v>232</v>
      </c>
      <c r="C297" s="1" t="s">
        <v>44</v>
      </c>
      <c r="D297" s="31">
        <v>1</v>
      </c>
      <c r="E297" s="40">
        <v>9187000</v>
      </c>
      <c r="F297" s="40">
        <f t="shared" si="43"/>
        <v>9187000</v>
      </c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>
        <v>1</v>
      </c>
      <c r="U297" s="41">
        <f t="shared" si="44"/>
        <v>9187000</v>
      </c>
    </row>
    <row r="298" spans="1:21" x14ac:dyDescent="0.25">
      <c r="A298" s="1">
        <v>3</v>
      </c>
      <c r="B298" s="1" t="s">
        <v>232</v>
      </c>
      <c r="C298" s="31" t="s">
        <v>233</v>
      </c>
      <c r="D298" s="1">
        <v>1</v>
      </c>
      <c r="E298" s="4">
        <v>4925000</v>
      </c>
      <c r="F298" s="4">
        <f t="shared" si="43"/>
        <v>4925000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4">
        <f t="shared" si="44"/>
        <v>4925000</v>
      </c>
    </row>
    <row r="299" spans="1:21" s="53" customFormat="1" ht="51" x14ac:dyDescent="0.25">
      <c r="A299" s="36"/>
      <c r="B299" s="92" t="s">
        <v>400</v>
      </c>
      <c r="C299" s="1" t="s">
        <v>233</v>
      </c>
      <c r="D299" s="36">
        <v>22</v>
      </c>
      <c r="E299" s="37">
        <v>50000</v>
      </c>
      <c r="F299" s="37">
        <f t="shared" si="43"/>
        <v>1100000</v>
      </c>
      <c r="G299" s="36"/>
      <c r="H299" s="36"/>
      <c r="I299" s="36"/>
      <c r="J299" s="36"/>
      <c r="K299" s="36"/>
      <c r="L299" s="36"/>
      <c r="M299" s="89" t="s">
        <v>25</v>
      </c>
      <c r="N299" s="36"/>
      <c r="O299" s="36"/>
      <c r="P299" s="36"/>
      <c r="Q299" s="36"/>
      <c r="R299" s="36"/>
      <c r="S299" s="36"/>
      <c r="T299" s="36"/>
      <c r="U299" s="52"/>
    </row>
    <row r="300" spans="1:21" s="53" customFormat="1" ht="38.25" x14ac:dyDescent="0.25">
      <c r="A300" s="36"/>
      <c r="B300" s="92" t="s">
        <v>401</v>
      </c>
      <c r="C300" s="36" t="s">
        <v>398</v>
      </c>
      <c r="D300" s="36">
        <v>18</v>
      </c>
      <c r="E300" s="37">
        <v>50000</v>
      </c>
      <c r="F300" s="37">
        <f t="shared" si="43"/>
        <v>900000</v>
      </c>
      <c r="G300" s="36"/>
      <c r="H300" s="36"/>
      <c r="I300" s="36"/>
      <c r="J300" s="36"/>
      <c r="K300" s="36"/>
      <c r="L300" s="36"/>
      <c r="M300" s="89" t="s">
        <v>25</v>
      </c>
      <c r="N300" s="36"/>
      <c r="O300" s="36"/>
      <c r="P300" s="36"/>
      <c r="Q300" s="36"/>
      <c r="R300" s="36"/>
      <c r="S300" s="36"/>
      <c r="T300" s="36"/>
      <c r="U300" s="52"/>
    </row>
    <row r="301" spans="1:21" s="53" customFormat="1" x14ac:dyDescent="0.25">
      <c r="A301" s="36"/>
      <c r="B301" s="92"/>
      <c r="C301" s="36" t="s">
        <v>398</v>
      </c>
      <c r="D301" s="36">
        <v>4</v>
      </c>
      <c r="E301" s="37">
        <v>65000</v>
      </c>
      <c r="F301" s="37">
        <f t="shared" si="43"/>
        <v>260000</v>
      </c>
      <c r="G301" s="36"/>
      <c r="H301" s="36"/>
      <c r="I301" s="36"/>
      <c r="J301" s="36"/>
      <c r="K301" s="36"/>
      <c r="L301" s="36"/>
      <c r="M301" s="89" t="s">
        <v>25</v>
      </c>
      <c r="N301" s="36"/>
      <c r="O301" s="36"/>
      <c r="P301" s="36"/>
      <c r="Q301" s="36"/>
      <c r="R301" s="36"/>
      <c r="S301" s="36"/>
      <c r="T301" s="36"/>
      <c r="U301" s="52"/>
    </row>
    <row r="302" spans="1:21" s="53" customFormat="1" ht="25.5" x14ac:dyDescent="0.25">
      <c r="A302" s="36"/>
      <c r="B302" s="92" t="s">
        <v>402</v>
      </c>
      <c r="C302" s="36" t="s">
        <v>398</v>
      </c>
      <c r="D302" s="36">
        <v>35</v>
      </c>
      <c r="E302" s="37">
        <v>25000</v>
      </c>
      <c r="F302" s="37">
        <f t="shared" si="43"/>
        <v>875000</v>
      </c>
      <c r="G302" s="36"/>
      <c r="H302" s="36"/>
      <c r="I302" s="36"/>
      <c r="J302" s="36"/>
      <c r="K302" s="36"/>
      <c r="L302" s="36"/>
      <c r="M302" s="89" t="s">
        <v>25</v>
      </c>
      <c r="N302" s="36"/>
      <c r="O302" s="36"/>
      <c r="P302" s="36"/>
      <c r="Q302" s="36"/>
      <c r="R302" s="36"/>
      <c r="S302" s="36"/>
      <c r="T302" s="36"/>
      <c r="U302" s="52"/>
    </row>
    <row r="303" spans="1:21" s="53" customFormat="1" ht="25.5" x14ac:dyDescent="0.25">
      <c r="A303" s="36"/>
      <c r="B303" s="92" t="s">
        <v>403</v>
      </c>
      <c r="C303" s="36" t="s">
        <v>398</v>
      </c>
      <c r="D303" s="36">
        <v>35</v>
      </c>
      <c r="E303" s="37">
        <v>25000</v>
      </c>
      <c r="F303" s="37">
        <f t="shared" si="43"/>
        <v>875000</v>
      </c>
      <c r="G303" s="36"/>
      <c r="H303" s="36"/>
      <c r="I303" s="36"/>
      <c r="J303" s="36"/>
      <c r="K303" s="36"/>
      <c r="L303" s="36"/>
      <c r="M303" s="89" t="s">
        <v>25</v>
      </c>
      <c r="N303" s="36"/>
      <c r="O303" s="36"/>
      <c r="P303" s="36"/>
      <c r="Q303" s="36"/>
      <c r="R303" s="36"/>
      <c r="S303" s="36"/>
      <c r="T303" s="36"/>
      <c r="U303" s="52"/>
    </row>
    <row r="304" spans="1:21" s="53" customFormat="1" ht="25.5" x14ac:dyDescent="0.25">
      <c r="A304" s="36"/>
      <c r="B304" s="92" t="s">
        <v>404</v>
      </c>
      <c r="C304" s="36" t="s">
        <v>398</v>
      </c>
      <c r="D304" s="36">
        <v>35</v>
      </c>
      <c r="E304" s="37">
        <v>25000</v>
      </c>
      <c r="F304" s="37">
        <f t="shared" si="43"/>
        <v>875000</v>
      </c>
      <c r="G304" s="36"/>
      <c r="H304" s="36"/>
      <c r="I304" s="36"/>
      <c r="J304" s="36"/>
      <c r="K304" s="36"/>
      <c r="L304" s="36"/>
      <c r="M304" s="89" t="s">
        <v>25</v>
      </c>
      <c r="N304" s="36"/>
      <c r="O304" s="36"/>
      <c r="P304" s="36"/>
      <c r="Q304" s="36"/>
      <c r="R304" s="36"/>
      <c r="S304" s="36"/>
      <c r="T304" s="36"/>
      <c r="U304" s="52"/>
    </row>
    <row r="305" spans="1:21" s="53" customFormat="1" ht="25.5" x14ac:dyDescent="0.25">
      <c r="A305" s="36"/>
      <c r="B305" s="92" t="s">
        <v>405</v>
      </c>
      <c r="C305" s="36" t="s">
        <v>398</v>
      </c>
      <c r="D305" s="36">
        <v>35</v>
      </c>
      <c r="E305" s="37">
        <v>25000</v>
      </c>
      <c r="F305" s="37">
        <f t="shared" si="43"/>
        <v>875000</v>
      </c>
      <c r="G305" s="36"/>
      <c r="H305" s="36"/>
      <c r="I305" s="36"/>
      <c r="J305" s="36"/>
      <c r="K305" s="36"/>
      <c r="L305" s="36"/>
      <c r="M305" s="89" t="s">
        <v>25</v>
      </c>
      <c r="N305" s="36"/>
      <c r="O305" s="36"/>
      <c r="P305" s="36"/>
      <c r="Q305" s="36"/>
      <c r="R305" s="36"/>
      <c r="S305" s="36"/>
      <c r="T305" s="36"/>
      <c r="U305" s="52"/>
    </row>
    <row r="306" spans="1:21" s="53" customFormat="1" x14ac:dyDescent="0.25">
      <c r="A306" s="36"/>
      <c r="B306" s="92" t="s">
        <v>406</v>
      </c>
      <c r="C306" s="36" t="s">
        <v>398</v>
      </c>
      <c r="D306" s="36">
        <v>15</v>
      </c>
      <c r="E306" s="37">
        <v>35000</v>
      </c>
      <c r="F306" s="37">
        <f t="shared" si="43"/>
        <v>525000</v>
      </c>
      <c r="G306" s="36"/>
      <c r="H306" s="36"/>
      <c r="I306" s="36"/>
      <c r="J306" s="36"/>
      <c r="K306" s="36"/>
      <c r="L306" s="36"/>
      <c r="M306" s="89" t="s">
        <v>25</v>
      </c>
      <c r="N306" s="36"/>
      <c r="O306" s="36"/>
      <c r="P306" s="36"/>
      <c r="Q306" s="36"/>
      <c r="R306" s="36"/>
      <c r="S306" s="36"/>
      <c r="T306" s="36"/>
      <c r="U306" s="52"/>
    </row>
    <row r="307" spans="1:21" s="53" customFormat="1" x14ac:dyDescent="0.25">
      <c r="A307" s="36"/>
      <c r="B307" s="92"/>
      <c r="C307" s="36" t="s">
        <v>398</v>
      </c>
      <c r="D307" s="36"/>
      <c r="E307" s="37"/>
      <c r="F307" s="37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52"/>
    </row>
    <row r="308" spans="1:21" x14ac:dyDescent="0.25">
      <c r="A308" s="1"/>
      <c r="B308" s="1"/>
      <c r="C308" s="36"/>
      <c r="D308" s="1"/>
      <c r="E308" s="4"/>
      <c r="F308" s="4">
        <f t="shared" si="43"/>
        <v>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4">
        <f t="shared" si="44"/>
        <v>0</v>
      </c>
    </row>
    <row r="309" spans="1:21" x14ac:dyDescent="0.25">
      <c r="A309" s="1"/>
      <c r="B309" s="1"/>
      <c r="C309" s="1"/>
      <c r="D309" s="1"/>
      <c r="E309" s="4"/>
      <c r="F309" s="4">
        <f t="shared" si="43"/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4">
        <f t="shared" si="44"/>
        <v>0</v>
      </c>
    </row>
    <row r="310" spans="1:21" x14ac:dyDescent="0.25">
      <c r="A310" s="1"/>
      <c r="B310" s="1"/>
      <c r="C310" s="1"/>
      <c r="D310" s="1"/>
      <c r="E310" s="4"/>
      <c r="F310" s="4">
        <f t="shared" si="43"/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4">
        <f t="shared" si="44"/>
        <v>0</v>
      </c>
    </row>
    <row r="311" spans="1:21" x14ac:dyDescent="0.25">
      <c r="A311" s="1" t="s">
        <v>169</v>
      </c>
      <c r="B311" s="1"/>
      <c r="C311" s="1"/>
      <c r="D311" s="1"/>
      <c r="E311" s="4"/>
      <c r="F311" s="4">
        <f t="shared" si="43"/>
        <v>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4">
        <f t="shared" si="44"/>
        <v>0</v>
      </c>
    </row>
    <row r="312" spans="1:21" x14ac:dyDescent="0.25">
      <c r="A312" s="56">
        <v>1</v>
      </c>
      <c r="B312" s="56" t="s">
        <v>234</v>
      </c>
      <c r="C312" s="1"/>
      <c r="D312" s="56">
        <v>1</v>
      </c>
      <c r="E312" s="57">
        <v>3500000</v>
      </c>
      <c r="F312" s="57">
        <f t="shared" si="43"/>
        <v>3500000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>
        <v>1</v>
      </c>
      <c r="U312" s="14">
        <f t="shared" si="44"/>
        <v>3500000</v>
      </c>
    </row>
    <row r="313" spans="1:21" s="42" customFormat="1" x14ac:dyDescent="0.25">
      <c r="A313" s="31">
        <v>2</v>
      </c>
      <c r="B313" s="31" t="s">
        <v>234</v>
      </c>
      <c r="C313" s="56" t="s">
        <v>170</v>
      </c>
      <c r="D313" s="31">
        <v>1</v>
      </c>
      <c r="E313" s="40">
        <v>308000</v>
      </c>
      <c r="F313" s="40">
        <f t="shared" si="43"/>
        <v>308000</v>
      </c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>
        <v>1</v>
      </c>
      <c r="U313" s="41">
        <f t="shared" si="44"/>
        <v>308000</v>
      </c>
    </row>
    <row r="314" spans="1:21" x14ac:dyDescent="0.25">
      <c r="A314" s="1">
        <v>3</v>
      </c>
      <c r="B314" s="1" t="s">
        <v>234</v>
      </c>
      <c r="C314" s="31" t="s">
        <v>235</v>
      </c>
      <c r="D314" s="1">
        <v>1</v>
      </c>
      <c r="E314" s="4">
        <v>1280000</v>
      </c>
      <c r="F314" s="4">
        <f t="shared" si="43"/>
        <v>1280000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4">
        <f t="shared" si="44"/>
        <v>1280000</v>
      </c>
    </row>
    <row r="315" spans="1:21" x14ac:dyDescent="0.25">
      <c r="A315" s="1"/>
      <c r="B315" s="1"/>
      <c r="C315" s="1" t="s">
        <v>170</v>
      </c>
      <c r="D315" s="1"/>
      <c r="E315" s="4"/>
      <c r="F315" s="4">
        <f t="shared" si="43"/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4">
        <f t="shared" si="44"/>
        <v>0</v>
      </c>
    </row>
    <row r="316" spans="1:21" x14ac:dyDescent="0.25">
      <c r="A316" s="1"/>
      <c r="B316" s="1"/>
      <c r="C316" s="1"/>
      <c r="D316" s="1"/>
      <c r="E316" s="4"/>
      <c r="F316" s="4">
        <f t="shared" si="43"/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4">
        <f t="shared" si="44"/>
        <v>0</v>
      </c>
    </row>
    <row r="317" spans="1:21" x14ac:dyDescent="0.25">
      <c r="A317" s="1"/>
      <c r="B317" s="1"/>
      <c r="C317" s="1"/>
      <c r="D317" s="1"/>
      <c r="E317" s="4"/>
      <c r="F317" s="4">
        <f t="shared" si="43"/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4">
        <f t="shared" si="44"/>
        <v>0</v>
      </c>
    </row>
    <row r="318" spans="1:21" x14ac:dyDescent="0.25">
      <c r="A318" s="1" t="s">
        <v>283</v>
      </c>
      <c r="B318" s="1"/>
      <c r="C318" s="1"/>
      <c r="D318" s="1"/>
      <c r="E318" s="4"/>
      <c r="F318" s="4">
        <f t="shared" si="43"/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4">
        <f t="shared" si="44"/>
        <v>0</v>
      </c>
    </row>
    <row r="319" spans="1:21" x14ac:dyDescent="0.25">
      <c r="A319" s="1"/>
      <c r="B319" s="1" t="s">
        <v>284</v>
      </c>
      <c r="C319" s="1"/>
      <c r="D319" s="1">
        <v>1</v>
      </c>
      <c r="E319" s="4">
        <v>80000</v>
      </c>
      <c r="F319" s="4">
        <f t="shared" si="43"/>
        <v>80000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4">
        <f t="shared" si="44"/>
        <v>80000</v>
      </c>
    </row>
    <row r="320" spans="1:21" s="42" customFormat="1" x14ac:dyDescent="0.25">
      <c r="A320" s="1"/>
      <c r="B320" s="1"/>
      <c r="C320" s="1" t="s">
        <v>80</v>
      </c>
      <c r="D320" s="1"/>
      <c r="E320" s="4"/>
      <c r="F320" s="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4">
        <f t="shared" si="44"/>
        <v>0</v>
      </c>
    </row>
    <row r="321" spans="1:21" x14ac:dyDescent="0.25">
      <c r="A321" s="1"/>
      <c r="B321" s="1"/>
      <c r="C321" s="1"/>
      <c r="D321" s="1"/>
      <c r="E321" s="4"/>
      <c r="F321" s="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4">
        <f t="shared" si="44"/>
        <v>0</v>
      </c>
    </row>
    <row r="322" spans="1:21" x14ac:dyDescent="0.25">
      <c r="A322" s="1"/>
      <c r="B322" s="1"/>
      <c r="C322" s="1"/>
      <c r="D322" s="1"/>
      <c r="E322" s="4"/>
      <c r="F322" s="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4">
        <f t="shared" si="44"/>
        <v>0</v>
      </c>
    </row>
    <row r="323" spans="1:21" x14ac:dyDescent="0.25">
      <c r="A323" s="141" t="s">
        <v>174</v>
      </c>
      <c r="B323" s="142"/>
      <c r="C323" s="1"/>
      <c r="D323" s="1"/>
      <c r="E323" s="4"/>
      <c r="F323" s="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4">
        <f t="shared" si="44"/>
        <v>0</v>
      </c>
    </row>
    <row r="324" spans="1:21" ht="15.75" x14ac:dyDescent="0.25">
      <c r="A324" s="1">
        <v>1</v>
      </c>
      <c r="B324" s="1" t="s">
        <v>43</v>
      </c>
      <c r="C324" s="1"/>
      <c r="D324" s="16">
        <v>1</v>
      </c>
      <c r="E324" s="18">
        <v>1920000</v>
      </c>
      <c r="F324" s="4">
        <f>D324*E324:E324</f>
        <v>1920000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6">
        <v>1</v>
      </c>
      <c r="U324" s="14">
        <f t="shared" si="44"/>
        <v>1920000</v>
      </c>
    </row>
    <row r="325" spans="1:21" ht="15.75" x14ac:dyDescent="0.25">
      <c r="A325" s="1">
        <v>2</v>
      </c>
      <c r="B325" s="15" t="s">
        <v>45</v>
      </c>
      <c r="C325" s="1"/>
      <c r="D325" s="16">
        <v>1</v>
      </c>
      <c r="E325" s="18">
        <v>75000</v>
      </c>
      <c r="F325" s="4">
        <f t="shared" ref="F325:F327" si="45">D325*E324:E325</f>
        <v>75000</v>
      </c>
      <c r="G325" s="1"/>
      <c r="H325" s="1" t="s">
        <v>28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6">
        <v>1</v>
      </c>
      <c r="U325" s="14">
        <f t="shared" si="44"/>
        <v>75000</v>
      </c>
    </row>
    <row r="326" spans="1:21" s="42" customFormat="1" ht="15.75" x14ac:dyDescent="0.25">
      <c r="A326" s="1">
        <v>3</v>
      </c>
      <c r="B326" s="15" t="s">
        <v>46</v>
      </c>
      <c r="C326" s="1"/>
      <c r="D326" s="16">
        <v>1</v>
      </c>
      <c r="E326" s="18">
        <v>1000000</v>
      </c>
      <c r="F326" s="4">
        <f t="shared" si="45"/>
        <v>1000000</v>
      </c>
      <c r="G326" s="1"/>
      <c r="H326" s="1" t="s">
        <v>28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6">
        <v>1</v>
      </c>
      <c r="U326" s="14">
        <f t="shared" si="44"/>
        <v>1000000</v>
      </c>
    </row>
    <row r="327" spans="1:21" ht="31.5" x14ac:dyDescent="0.25">
      <c r="A327" s="1">
        <v>4</v>
      </c>
      <c r="B327" s="15" t="s">
        <v>49</v>
      </c>
      <c r="C327" s="1"/>
      <c r="D327" s="16">
        <v>1</v>
      </c>
      <c r="E327" s="18">
        <v>750000</v>
      </c>
      <c r="F327" s="4">
        <f t="shared" si="45"/>
        <v>750000</v>
      </c>
      <c r="G327" s="1"/>
      <c r="H327" s="1" t="s">
        <v>28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6">
        <v>1</v>
      </c>
      <c r="U327" s="14">
        <f t="shared" si="44"/>
        <v>750000</v>
      </c>
    </row>
    <row r="328" spans="1:21" ht="31.5" x14ac:dyDescent="0.25">
      <c r="A328" s="1">
        <v>5</v>
      </c>
      <c r="B328" s="15" t="s">
        <v>112</v>
      </c>
      <c r="C328" s="1"/>
      <c r="D328" s="1">
        <v>1</v>
      </c>
      <c r="E328" s="25">
        <v>2200000</v>
      </c>
      <c r="F328" s="4">
        <f>D328*E328</f>
        <v>2200000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>
        <v>1</v>
      </c>
      <c r="U328" s="14">
        <f t="shared" si="44"/>
        <v>2200000</v>
      </c>
    </row>
    <row r="329" spans="1:21" ht="15.75" x14ac:dyDescent="0.25">
      <c r="A329" s="1">
        <v>6</v>
      </c>
      <c r="B329" s="26" t="s">
        <v>113</v>
      </c>
      <c r="C329" s="1" t="s">
        <v>55</v>
      </c>
      <c r="D329" s="1">
        <v>24</v>
      </c>
      <c r="E329" s="25">
        <v>600000</v>
      </c>
      <c r="F329" s="4">
        <f>D329*E329</f>
        <v>14400000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>
        <v>24</v>
      </c>
      <c r="U329" s="14">
        <f t="shared" si="44"/>
        <v>14400000</v>
      </c>
    </row>
    <row r="330" spans="1:21" x14ac:dyDescent="0.25">
      <c r="A330" s="1">
        <v>7</v>
      </c>
      <c r="B330" s="1" t="s">
        <v>121</v>
      </c>
      <c r="C330" s="1"/>
      <c r="D330" s="1"/>
      <c r="E330" s="1"/>
      <c r="F330" s="4">
        <f t="shared" ref="F330:F357" si="46">D330*E330</f>
        <v>0</v>
      </c>
      <c r="G330" s="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4">
        <f>D353*E353</f>
        <v>0</v>
      </c>
    </row>
    <row r="331" spans="1:21" ht="45" x14ac:dyDescent="0.25">
      <c r="A331" s="1">
        <v>8</v>
      </c>
      <c r="B331" s="23" t="s">
        <v>122</v>
      </c>
      <c r="C331" s="1"/>
      <c r="D331" s="1"/>
      <c r="E331" s="1"/>
      <c r="F331" s="4">
        <f t="shared" si="46"/>
        <v>0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4">
        <f>D360*E360</f>
        <v>560000</v>
      </c>
    </row>
    <row r="332" spans="1:21" ht="31.5" x14ac:dyDescent="0.25">
      <c r="A332" s="1">
        <v>9</v>
      </c>
      <c r="B332" s="15" t="s">
        <v>138</v>
      </c>
      <c r="C332" s="1" t="s">
        <v>44</v>
      </c>
      <c r="D332" s="1"/>
      <c r="E332" s="1"/>
      <c r="F332" s="4">
        <f t="shared" si="46"/>
        <v>0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4">
        <f>D361*E361</f>
        <v>240000</v>
      </c>
    </row>
    <row r="333" spans="1:21" ht="15.75" x14ac:dyDescent="0.25">
      <c r="A333" s="1">
        <v>10</v>
      </c>
      <c r="B333" s="15" t="s">
        <v>166</v>
      </c>
      <c r="C333" s="1"/>
      <c r="D333" s="1">
        <v>1</v>
      </c>
      <c r="E333" s="4">
        <v>1500000</v>
      </c>
      <c r="F333" s="4">
        <f t="shared" si="46"/>
        <v>1500000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>
        <v>1</v>
      </c>
      <c r="U333" s="14">
        <f>D333*E333</f>
        <v>1500000</v>
      </c>
    </row>
    <row r="334" spans="1:21" ht="15.75" x14ac:dyDescent="0.25">
      <c r="A334" s="31"/>
      <c r="B334" s="39"/>
      <c r="C334" s="1" t="s">
        <v>55</v>
      </c>
      <c r="D334" s="31"/>
      <c r="E334" s="40"/>
      <c r="F334" s="4">
        <f t="shared" si="46"/>
        <v>0</v>
      </c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41"/>
    </row>
    <row r="335" spans="1:21" ht="15.75" x14ac:dyDescent="0.25">
      <c r="A335" s="31"/>
      <c r="B335" s="39"/>
      <c r="C335" s="31"/>
      <c r="D335" s="31"/>
      <c r="E335" s="40"/>
      <c r="F335" s="4">
        <f t="shared" si="46"/>
        <v>0</v>
      </c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41"/>
    </row>
    <row r="336" spans="1:21" ht="15.75" x14ac:dyDescent="0.25">
      <c r="A336" s="31"/>
      <c r="B336" s="39"/>
      <c r="C336" s="31"/>
      <c r="D336" s="31"/>
      <c r="E336" s="40"/>
      <c r="F336" s="4">
        <f t="shared" si="46"/>
        <v>0</v>
      </c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41"/>
    </row>
    <row r="337" spans="1:21" ht="15.75" x14ac:dyDescent="0.25">
      <c r="A337" s="31"/>
      <c r="B337" s="39"/>
      <c r="C337" s="31"/>
      <c r="D337" s="31"/>
      <c r="E337" s="40"/>
      <c r="F337" s="4">
        <f t="shared" si="46"/>
        <v>0</v>
      </c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41"/>
    </row>
    <row r="338" spans="1:21" ht="15.75" x14ac:dyDescent="0.25">
      <c r="A338" s="31"/>
      <c r="B338" s="39"/>
      <c r="C338" s="31"/>
      <c r="D338" s="31"/>
      <c r="E338" s="40"/>
      <c r="F338" s="4">
        <f t="shared" si="46"/>
        <v>0</v>
      </c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41"/>
    </row>
    <row r="339" spans="1:21" ht="15.75" x14ac:dyDescent="0.25">
      <c r="A339" s="31"/>
      <c r="B339" s="39"/>
      <c r="C339" s="31"/>
      <c r="D339" s="31"/>
      <c r="E339" s="40"/>
      <c r="F339" s="4">
        <f t="shared" si="46"/>
        <v>0</v>
      </c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41"/>
    </row>
    <row r="340" spans="1:21" ht="15.75" x14ac:dyDescent="0.25">
      <c r="A340" s="31"/>
      <c r="B340" s="39"/>
      <c r="C340" s="31"/>
      <c r="D340" s="31"/>
      <c r="E340" s="40"/>
      <c r="F340" s="4">
        <f t="shared" si="46"/>
        <v>0</v>
      </c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41"/>
    </row>
    <row r="341" spans="1:21" ht="15.75" x14ac:dyDescent="0.25">
      <c r="A341" s="31"/>
      <c r="B341" s="39"/>
      <c r="C341" s="31"/>
      <c r="D341" s="31"/>
      <c r="E341" s="40"/>
      <c r="F341" s="4">
        <f t="shared" si="46"/>
        <v>0</v>
      </c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41"/>
    </row>
    <row r="342" spans="1:21" ht="15.75" x14ac:dyDescent="0.25">
      <c r="A342" s="31"/>
      <c r="B342" s="39"/>
      <c r="C342" s="31"/>
      <c r="D342" s="31"/>
      <c r="E342" s="40"/>
      <c r="F342" s="4">
        <f t="shared" si="46"/>
        <v>0</v>
      </c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41"/>
    </row>
    <row r="343" spans="1:21" ht="15.75" x14ac:dyDescent="0.25">
      <c r="A343" s="31"/>
      <c r="B343" s="39"/>
      <c r="C343" s="31"/>
      <c r="D343" s="31"/>
      <c r="E343" s="40"/>
      <c r="F343" s="4">
        <f t="shared" si="46"/>
        <v>0</v>
      </c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41"/>
    </row>
    <row r="344" spans="1:21" ht="15.75" x14ac:dyDescent="0.25">
      <c r="A344" s="31"/>
      <c r="B344" s="39"/>
      <c r="C344" s="31"/>
      <c r="D344" s="31"/>
      <c r="E344" s="40"/>
      <c r="F344" s="4">
        <f t="shared" si="46"/>
        <v>0</v>
      </c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41"/>
    </row>
    <row r="345" spans="1:21" ht="31.5" x14ac:dyDescent="0.25">
      <c r="A345" s="31"/>
      <c r="B345" s="39" t="s">
        <v>214</v>
      </c>
      <c r="C345" s="31"/>
      <c r="D345" s="31">
        <v>1</v>
      </c>
      <c r="E345" s="40"/>
      <c r="F345" s="4">
        <f t="shared" si="46"/>
        <v>0</v>
      </c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41"/>
    </row>
    <row r="346" spans="1:21" ht="15.75" x14ac:dyDescent="0.25">
      <c r="A346" s="31"/>
      <c r="B346" s="39" t="s">
        <v>215</v>
      </c>
      <c r="C346" s="31" t="s">
        <v>145</v>
      </c>
      <c r="D346" s="31">
        <v>1</v>
      </c>
      <c r="E346" s="40"/>
      <c r="F346" s="4">
        <f t="shared" si="46"/>
        <v>0</v>
      </c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41"/>
    </row>
    <row r="347" spans="1:21" ht="31.5" x14ac:dyDescent="0.25">
      <c r="A347" s="31"/>
      <c r="B347" s="39" t="s">
        <v>217</v>
      </c>
      <c r="C347" s="31" t="s">
        <v>145</v>
      </c>
      <c r="D347" s="31">
        <v>1</v>
      </c>
      <c r="E347" s="40"/>
      <c r="F347" s="4">
        <f t="shared" si="46"/>
        <v>0</v>
      </c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41"/>
    </row>
    <row r="348" spans="1:21" ht="15.75" x14ac:dyDescent="0.25">
      <c r="A348" s="31"/>
      <c r="B348" s="39" t="s">
        <v>216</v>
      </c>
      <c r="C348" s="31" t="s">
        <v>145</v>
      </c>
      <c r="D348" s="31">
        <v>3</v>
      </c>
      <c r="E348" s="40"/>
      <c r="F348" s="4">
        <f t="shared" si="46"/>
        <v>0</v>
      </c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41"/>
    </row>
    <row r="349" spans="1:21" ht="15.75" x14ac:dyDescent="0.25">
      <c r="A349" s="31"/>
      <c r="B349" s="39"/>
      <c r="C349" s="31" t="s">
        <v>145</v>
      </c>
      <c r="D349" s="31"/>
      <c r="E349" s="40"/>
      <c r="F349" s="4">
        <f t="shared" si="46"/>
        <v>0</v>
      </c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41"/>
    </row>
    <row r="350" spans="1:21" ht="15.75" x14ac:dyDescent="0.25">
      <c r="A350" s="31"/>
      <c r="B350" s="39"/>
      <c r="C350" s="31"/>
      <c r="D350" s="31"/>
      <c r="E350" s="40"/>
      <c r="F350" s="4">
        <f t="shared" si="46"/>
        <v>0</v>
      </c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41"/>
    </row>
    <row r="351" spans="1:21" ht="15.75" x14ac:dyDescent="0.25">
      <c r="A351" s="31"/>
      <c r="B351" s="39" t="s">
        <v>213</v>
      </c>
      <c r="C351" s="31"/>
      <c r="D351" s="31">
        <v>2</v>
      </c>
      <c r="E351" s="40"/>
      <c r="F351" s="4">
        <f t="shared" si="46"/>
        <v>0</v>
      </c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41"/>
    </row>
    <row r="352" spans="1:21" x14ac:dyDescent="0.25">
      <c r="A352" s="1"/>
      <c r="B352" s="23"/>
      <c r="C352" s="31" t="s">
        <v>145</v>
      </c>
      <c r="D352" s="1"/>
      <c r="E352" s="1"/>
      <c r="F352" s="4">
        <f t="shared" si="46"/>
        <v>0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4">
        <f t="shared" ref="U352:U361" si="47">D352*E352</f>
        <v>0</v>
      </c>
    </row>
    <row r="353" spans="1:21" ht="15.75" x14ac:dyDescent="0.25">
      <c r="A353" s="3" t="s">
        <v>277</v>
      </c>
      <c r="B353" s="30"/>
      <c r="C353" s="1"/>
      <c r="D353" s="1"/>
      <c r="E353" s="1"/>
      <c r="F353" s="4">
        <f t="shared" si="46"/>
        <v>0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4">
        <f t="shared" si="47"/>
        <v>0</v>
      </c>
    </row>
    <row r="354" spans="1:21" x14ac:dyDescent="0.25">
      <c r="A354" s="43"/>
      <c r="B354" s="45" t="s">
        <v>226</v>
      </c>
      <c r="C354" s="1"/>
      <c r="D354" s="31">
        <v>4</v>
      </c>
      <c r="E354" s="31"/>
      <c r="F354" s="40">
        <f t="shared" si="46"/>
        <v>0</v>
      </c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41"/>
    </row>
    <row r="355" spans="1:21" x14ac:dyDescent="0.25">
      <c r="A355" s="44"/>
      <c r="B355" s="45" t="s">
        <v>220</v>
      </c>
      <c r="C355" s="31" t="s">
        <v>145</v>
      </c>
      <c r="D355" s="44">
        <v>10</v>
      </c>
      <c r="E355" s="31"/>
      <c r="F355" s="40">
        <f t="shared" si="46"/>
        <v>0</v>
      </c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41"/>
    </row>
    <row r="356" spans="1:21" x14ac:dyDescent="0.25">
      <c r="A356" s="44"/>
      <c r="B356" s="45" t="s">
        <v>221</v>
      </c>
      <c r="C356" s="44" t="s">
        <v>145</v>
      </c>
      <c r="D356" s="44">
        <v>5</v>
      </c>
      <c r="E356" s="31">
        <v>26000</v>
      </c>
      <c r="F356" s="40">
        <f t="shared" si="46"/>
        <v>130000</v>
      </c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41"/>
    </row>
    <row r="357" spans="1:21" x14ac:dyDescent="0.25">
      <c r="A357" s="43"/>
      <c r="B357" s="45" t="s">
        <v>223</v>
      </c>
      <c r="C357" s="44" t="s">
        <v>145</v>
      </c>
      <c r="D357" s="31">
        <v>2</v>
      </c>
      <c r="E357" s="31">
        <v>490000</v>
      </c>
      <c r="F357" s="40">
        <f t="shared" si="46"/>
        <v>980000</v>
      </c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41"/>
    </row>
    <row r="358" spans="1:21" x14ac:dyDescent="0.25">
      <c r="A358" s="43"/>
      <c r="B358" s="45"/>
      <c r="C358" s="31" t="s">
        <v>145</v>
      </c>
      <c r="D358" s="31"/>
      <c r="E358" s="31"/>
      <c r="F358" s="40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41"/>
    </row>
    <row r="359" spans="1:21" x14ac:dyDescent="0.25">
      <c r="A359" s="43"/>
      <c r="B359" s="45"/>
      <c r="C359" s="31"/>
      <c r="D359" s="31"/>
      <c r="E359" s="31"/>
      <c r="F359" s="40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41"/>
    </row>
    <row r="360" spans="1:21" x14ac:dyDescent="0.25">
      <c r="A360" s="31">
        <v>1</v>
      </c>
      <c r="B360" s="32" t="s">
        <v>175</v>
      </c>
      <c r="C360" s="31"/>
      <c r="D360" s="31">
        <v>2</v>
      </c>
      <c r="E360" s="33">
        <v>280000</v>
      </c>
      <c r="F360" s="31">
        <f>D360*E360</f>
        <v>560000</v>
      </c>
      <c r="G360" s="31" t="s">
        <v>23</v>
      </c>
      <c r="H360" s="31" t="s">
        <v>28</v>
      </c>
      <c r="I360" s="31" t="s">
        <v>22</v>
      </c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>
        <v>2</v>
      </c>
      <c r="U360" s="41">
        <f t="shared" si="47"/>
        <v>560000</v>
      </c>
    </row>
    <row r="361" spans="1:21" x14ac:dyDescent="0.25">
      <c r="A361" s="31">
        <v>2</v>
      </c>
      <c r="B361" s="32" t="s">
        <v>176</v>
      </c>
      <c r="C361" s="31" t="s">
        <v>80</v>
      </c>
      <c r="D361" s="31">
        <v>1</v>
      </c>
      <c r="E361" s="31">
        <v>240000</v>
      </c>
      <c r="F361" s="31">
        <f t="shared" ref="F361:F365" si="48">D361*E361</f>
        <v>240000</v>
      </c>
      <c r="G361" s="31" t="s">
        <v>23</v>
      </c>
      <c r="H361" s="31" t="s">
        <v>28</v>
      </c>
      <c r="I361" s="31" t="s">
        <v>22</v>
      </c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>
        <v>1</v>
      </c>
      <c r="U361" s="41">
        <f t="shared" si="47"/>
        <v>240000</v>
      </c>
    </row>
    <row r="362" spans="1:21" x14ac:dyDescent="0.25">
      <c r="A362" s="31">
        <v>3</v>
      </c>
      <c r="B362" s="32" t="s">
        <v>178</v>
      </c>
      <c r="C362" s="31" t="s">
        <v>80</v>
      </c>
      <c r="D362" s="31">
        <v>20</v>
      </c>
      <c r="E362" s="31">
        <v>90000</v>
      </c>
      <c r="F362" s="31">
        <f t="shared" si="48"/>
        <v>1800000</v>
      </c>
      <c r="G362" s="31" t="s">
        <v>23</v>
      </c>
      <c r="H362" s="31" t="s">
        <v>28</v>
      </c>
      <c r="I362" s="31" t="s">
        <v>22</v>
      </c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41">
        <f>D368*E368</f>
        <v>960000</v>
      </c>
    </row>
    <row r="363" spans="1:21" x14ac:dyDescent="0.25">
      <c r="A363" s="31">
        <v>4</v>
      </c>
      <c r="B363" s="32" t="s">
        <v>179</v>
      </c>
      <c r="C363" s="31" t="s">
        <v>80</v>
      </c>
      <c r="D363" s="31">
        <v>20</v>
      </c>
      <c r="E363" s="31"/>
      <c r="F363" s="31">
        <f t="shared" si="48"/>
        <v>0</v>
      </c>
      <c r="G363" s="31" t="s">
        <v>23</v>
      </c>
      <c r="H363" s="31" t="s">
        <v>28</v>
      </c>
      <c r="I363" s="31" t="s">
        <v>22</v>
      </c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41">
        <f>D380*E380</f>
        <v>0</v>
      </c>
    </row>
    <row r="364" spans="1:21" x14ac:dyDescent="0.25">
      <c r="A364" s="31">
        <v>5</v>
      </c>
      <c r="B364" s="32" t="s">
        <v>219</v>
      </c>
      <c r="C364" s="31" t="s">
        <v>80</v>
      </c>
      <c r="D364" s="31">
        <v>10</v>
      </c>
      <c r="E364" s="31"/>
      <c r="F364" s="31">
        <f t="shared" si="48"/>
        <v>0</v>
      </c>
      <c r="G364" s="31" t="s">
        <v>23</v>
      </c>
      <c r="H364" s="31" t="s">
        <v>28</v>
      </c>
      <c r="I364" s="31" t="s">
        <v>22</v>
      </c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41">
        <f>D381*E381</f>
        <v>0</v>
      </c>
    </row>
    <row r="365" spans="1:21" x14ac:dyDescent="0.25">
      <c r="A365" s="31">
        <v>6</v>
      </c>
      <c r="B365" s="32" t="s">
        <v>180</v>
      </c>
      <c r="C365" s="31" t="s">
        <v>80</v>
      </c>
      <c r="D365" s="31">
        <v>2</v>
      </c>
      <c r="E365" s="31"/>
      <c r="F365" s="31">
        <f t="shared" si="48"/>
        <v>0</v>
      </c>
      <c r="G365" s="31" t="s">
        <v>23</v>
      </c>
      <c r="H365" s="31" t="s">
        <v>28</v>
      </c>
      <c r="I365" s="31" t="s">
        <v>22</v>
      </c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41" t="e">
        <f>#REF!*#REF!</f>
        <v>#REF!</v>
      </c>
    </row>
    <row r="366" spans="1:21" x14ac:dyDescent="0.25">
      <c r="A366" s="31">
        <v>7</v>
      </c>
      <c r="B366" s="32" t="s">
        <v>186</v>
      </c>
      <c r="C366" s="31" t="s">
        <v>80</v>
      </c>
      <c r="D366" s="31">
        <v>2</v>
      </c>
      <c r="E366" s="31"/>
      <c r="F366" s="31">
        <f>D366*E366</f>
        <v>0</v>
      </c>
      <c r="G366" s="31" t="s">
        <v>23</v>
      </c>
      <c r="H366" s="31" t="s">
        <v>28</v>
      </c>
      <c r="I366" s="31" t="s">
        <v>22</v>
      </c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41">
        <f>D414*E414</f>
        <v>0</v>
      </c>
    </row>
    <row r="367" spans="1:21" x14ac:dyDescent="0.25">
      <c r="A367" s="34">
        <v>8</v>
      </c>
      <c r="B367" s="35" t="s">
        <v>228</v>
      </c>
      <c r="C367" s="31" t="s">
        <v>145</v>
      </c>
      <c r="D367" s="34">
        <v>10</v>
      </c>
    </row>
    <row r="368" spans="1:21" x14ac:dyDescent="0.25">
      <c r="A368" s="16">
        <v>9</v>
      </c>
      <c r="B368" s="36" t="s">
        <v>189</v>
      </c>
      <c r="C368" s="34" t="s">
        <v>227</v>
      </c>
      <c r="D368" s="36">
        <v>4</v>
      </c>
      <c r="E368" s="36">
        <v>240000</v>
      </c>
      <c r="F368" s="37">
        <f>D368*E368</f>
        <v>960000</v>
      </c>
      <c r="G368" s="36" t="s">
        <v>23</v>
      </c>
      <c r="H368" s="36" t="s">
        <v>28</v>
      </c>
      <c r="I368" s="36" t="s">
        <v>22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4">
        <f>D415*E415</f>
        <v>0</v>
      </c>
    </row>
    <row r="369" spans="1:21" x14ac:dyDescent="0.25">
      <c r="A369" s="16">
        <v>10</v>
      </c>
      <c r="B369" s="36" t="s">
        <v>175</v>
      </c>
      <c r="C369" s="36" t="s">
        <v>80</v>
      </c>
      <c r="D369" s="36">
        <v>6</v>
      </c>
      <c r="E369" s="36">
        <v>280000</v>
      </c>
      <c r="F369" s="36">
        <f>D369*E369</f>
        <v>1680000</v>
      </c>
      <c r="G369" s="36" t="s">
        <v>23</v>
      </c>
      <c r="H369" s="36" t="s">
        <v>28</v>
      </c>
      <c r="I369" s="36" t="s">
        <v>22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4"/>
    </row>
    <row r="370" spans="1:21" x14ac:dyDescent="0.25">
      <c r="A370" s="16">
        <v>11</v>
      </c>
      <c r="B370" s="36" t="s">
        <v>177</v>
      </c>
      <c r="C370" s="36" t="s">
        <v>80</v>
      </c>
      <c r="D370" s="36">
        <v>6</v>
      </c>
      <c r="E370" s="16">
        <v>90000</v>
      </c>
      <c r="F370" s="36">
        <f t="shared" ref="F370:F404" si="49">D370*E370</f>
        <v>540000</v>
      </c>
      <c r="G370" s="16"/>
      <c r="H370" s="16"/>
      <c r="I370" s="16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4"/>
    </row>
    <row r="371" spans="1:21" x14ac:dyDescent="0.25">
      <c r="A371" s="16">
        <v>12</v>
      </c>
      <c r="B371" s="36" t="s">
        <v>190</v>
      </c>
      <c r="C371" s="36" t="s">
        <v>80</v>
      </c>
      <c r="D371" s="36">
        <v>3</v>
      </c>
      <c r="E371" s="16">
        <v>26000</v>
      </c>
      <c r="F371" s="36">
        <f t="shared" si="49"/>
        <v>78000</v>
      </c>
      <c r="G371" s="16"/>
      <c r="H371" s="16"/>
      <c r="I371" s="16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4"/>
    </row>
    <row r="372" spans="1:21" x14ac:dyDescent="0.25">
      <c r="A372" s="16">
        <v>13</v>
      </c>
      <c r="B372" s="36" t="s">
        <v>191</v>
      </c>
      <c r="C372" s="36" t="s">
        <v>84</v>
      </c>
      <c r="D372" s="16"/>
      <c r="E372" s="16"/>
      <c r="F372" s="36">
        <f t="shared" si="49"/>
        <v>0</v>
      </c>
      <c r="G372" s="16"/>
      <c r="H372" s="16"/>
      <c r="I372" s="16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4"/>
    </row>
    <row r="373" spans="1:21" ht="30" x14ac:dyDescent="0.25">
      <c r="A373" s="16">
        <v>14</v>
      </c>
      <c r="B373" s="48" t="s">
        <v>248</v>
      </c>
      <c r="C373" s="16"/>
      <c r="D373" s="16">
        <v>1</v>
      </c>
      <c r="E373" s="16"/>
      <c r="F373" s="36">
        <f t="shared" si="49"/>
        <v>0</v>
      </c>
      <c r="G373" s="16"/>
      <c r="H373" s="16"/>
      <c r="I373" s="16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4"/>
    </row>
    <row r="374" spans="1:21" x14ac:dyDescent="0.25">
      <c r="A374" s="16">
        <v>15</v>
      </c>
      <c r="B374" s="36" t="s">
        <v>249</v>
      </c>
      <c r="C374" s="16" t="s">
        <v>80</v>
      </c>
      <c r="D374" s="16">
        <v>1</v>
      </c>
      <c r="E374" s="21">
        <v>480000</v>
      </c>
      <c r="F374" s="36">
        <f t="shared" si="49"/>
        <v>480000</v>
      </c>
      <c r="G374" s="16"/>
      <c r="H374" s="16"/>
      <c r="I374" s="16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4"/>
    </row>
    <row r="375" spans="1:21" s="17" customFormat="1" x14ac:dyDescent="0.25">
      <c r="A375" s="51">
        <v>16</v>
      </c>
      <c r="B375" s="16" t="s">
        <v>274</v>
      </c>
      <c r="C375" s="16" t="s">
        <v>80</v>
      </c>
      <c r="D375" s="16">
        <v>1</v>
      </c>
      <c r="E375" s="21">
        <v>490000</v>
      </c>
      <c r="F375" s="16">
        <f t="shared" si="49"/>
        <v>490000</v>
      </c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49"/>
    </row>
    <row r="376" spans="1:21" s="17" customFormat="1" x14ac:dyDescent="0.25">
      <c r="A376" s="51"/>
      <c r="B376" s="16" t="s">
        <v>175</v>
      </c>
      <c r="C376" s="16" t="s">
        <v>80</v>
      </c>
      <c r="D376" s="16">
        <v>8</v>
      </c>
      <c r="E376" s="21">
        <v>280000</v>
      </c>
      <c r="F376" s="16">
        <f t="shared" si="49"/>
        <v>2240000</v>
      </c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49"/>
    </row>
    <row r="377" spans="1:21" s="17" customFormat="1" x14ac:dyDescent="0.25">
      <c r="A377" s="51"/>
      <c r="B377" s="16" t="s">
        <v>189</v>
      </c>
      <c r="C377" s="16" t="s">
        <v>80</v>
      </c>
      <c r="D377" s="16">
        <v>2</v>
      </c>
      <c r="E377" s="55">
        <v>240000</v>
      </c>
      <c r="F377" s="16">
        <f t="shared" si="49"/>
        <v>480000</v>
      </c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49"/>
    </row>
    <row r="378" spans="1:21" s="17" customFormat="1" x14ac:dyDescent="0.25">
      <c r="A378" s="51"/>
      <c r="B378" s="16" t="s">
        <v>275</v>
      </c>
      <c r="C378" s="16" t="s">
        <v>80</v>
      </c>
      <c r="D378" s="16">
        <v>1</v>
      </c>
      <c r="E378" s="16"/>
      <c r="F378" s="16">
        <f t="shared" si="49"/>
        <v>0</v>
      </c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49"/>
    </row>
    <row r="379" spans="1:21" s="17" customFormat="1" x14ac:dyDescent="0.25">
      <c r="A379" s="51"/>
      <c r="B379" s="16"/>
      <c r="C379" s="16" t="s">
        <v>80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49"/>
    </row>
    <row r="380" spans="1:21" x14ac:dyDescent="0.25">
      <c r="A380" s="16"/>
      <c r="B380" s="16"/>
      <c r="C380" s="16"/>
      <c r="D380" s="16"/>
      <c r="E380" s="16"/>
      <c r="F380" s="16">
        <f t="shared" si="49"/>
        <v>0</v>
      </c>
      <c r="G380" s="16"/>
      <c r="H380" s="16"/>
      <c r="I380" s="16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4">
        <f t="shared" ref="U380:U385" si="50">D482*E482</f>
        <v>0</v>
      </c>
    </row>
    <row r="381" spans="1:21" x14ac:dyDescent="0.25">
      <c r="A381" s="16" t="s">
        <v>181</v>
      </c>
      <c r="B381" s="16"/>
      <c r="C381" s="16"/>
      <c r="D381" s="16"/>
      <c r="E381" s="16"/>
      <c r="F381" s="16">
        <f t="shared" si="49"/>
        <v>0</v>
      </c>
      <c r="G381" s="16"/>
      <c r="H381" s="16"/>
      <c r="I381" s="16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4">
        <f t="shared" si="50"/>
        <v>0</v>
      </c>
    </row>
    <row r="382" spans="1:21" x14ac:dyDescent="0.25">
      <c r="A382" s="31">
        <v>1</v>
      </c>
      <c r="B382" s="31" t="s">
        <v>182</v>
      </c>
      <c r="C382" s="16"/>
      <c r="D382" s="31"/>
      <c r="E382" s="31"/>
      <c r="F382" s="31">
        <f t="shared" si="49"/>
        <v>0</v>
      </c>
      <c r="G382" s="31"/>
      <c r="H382" s="31"/>
      <c r="I382" s="3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4">
        <f t="shared" si="50"/>
        <v>0</v>
      </c>
    </row>
    <row r="383" spans="1:21" x14ac:dyDescent="0.25">
      <c r="A383" s="31">
        <v>2</v>
      </c>
      <c r="B383" s="31" t="s">
        <v>183</v>
      </c>
      <c r="C383" s="31"/>
      <c r="D383" s="31"/>
      <c r="E383" s="31"/>
      <c r="F383" s="31">
        <f t="shared" si="49"/>
        <v>0</v>
      </c>
      <c r="G383" s="31"/>
      <c r="H383" s="31"/>
      <c r="I383" s="3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4">
        <f t="shared" si="50"/>
        <v>0</v>
      </c>
    </row>
    <row r="384" spans="1:21" x14ac:dyDescent="0.25">
      <c r="A384" s="31">
        <v>3</v>
      </c>
      <c r="B384" s="31" t="s">
        <v>184</v>
      </c>
      <c r="C384" s="31"/>
      <c r="D384" s="31"/>
      <c r="E384" s="31"/>
      <c r="F384" s="31">
        <f t="shared" si="49"/>
        <v>0</v>
      </c>
      <c r="G384" s="31"/>
      <c r="H384" s="31"/>
      <c r="I384" s="3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4">
        <f t="shared" si="50"/>
        <v>0</v>
      </c>
    </row>
    <row r="385" spans="1:21" x14ac:dyDescent="0.25">
      <c r="A385" s="31">
        <v>4</v>
      </c>
      <c r="B385" s="31" t="s">
        <v>196</v>
      </c>
      <c r="C385" s="31"/>
      <c r="D385" s="31"/>
      <c r="E385" s="31"/>
      <c r="F385" s="31">
        <f t="shared" si="49"/>
        <v>0</v>
      </c>
      <c r="G385" s="31"/>
      <c r="H385" s="31"/>
      <c r="I385" s="3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4">
        <f t="shared" si="50"/>
        <v>0</v>
      </c>
    </row>
    <row r="386" spans="1:21" ht="45" x14ac:dyDescent="0.25">
      <c r="A386" s="31">
        <v>5</v>
      </c>
      <c r="B386" s="32" t="s">
        <v>240</v>
      </c>
      <c r="C386" s="31"/>
      <c r="D386" s="31">
        <v>1</v>
      </c>
      <c r="E386" s="40">
        <v>8430000</v>
      </c>
      <c r="F386" s="31">
        <f t="shared" si="49"/>
        <v>8430000</v>
      </c>
      <c r="G386" s="31"/>
      <c r="H386" s="31"/>
      <c r="I386" s="3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>
        <v>1</v>
      </c>
      <c r="U386" s="14">
        <f>D386*E386</f>
        <v>8430000</v>
      </c>
    </row>
    <row r="387" spans="1:21" s="53" customFormat="1" x14ac:dyDescent="0.25">
      <c r="A387" s="36">
        <v>6</v>
      </c>
      <c r="B387" s="48" t="s">
        <v>252</v>
      </c>
      <c r="C387" s="31" t="s">
        <v>236</v>
      </c>
      <c r="D387" s="36">
        <v>40</v>
      </c>
      <c r="E387" s="37">
        <v>1000</v>
      </c>
      <c r="F387" s="36">
        <f t="shared" si="49"/>
        <v>40000</v>
      </c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52"/>
    </row>
    <row r="388" spans="1:21" s="53" customFormat="1" x14ac:dyDescent="0.25">
      <c r="A388" s="36">
        <v>7</v>
      </c>
      <c r="B388" s="48" t="s">
        <v>253</v>
      </c>
      <c r="C388" s="36" t="s">
        <v>80</v>
      </c>
      <c r="D388" s="36">
        <v>4</v>
      </c>
      <c r="E388" s="37">
        <v>2500</v>
      </c>
      <c r="F388" s="36">
        <f t="shared" si="49"/>
        <v>10000</v>
      </c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52"/>
    </row>
    <row r="389" spans="1:21" s="53" customFormat="1" x14ac:dyDescent="0.25">
      <c r="A389" s="36">
        <v>8</v>
      </c>
      <c r="B389" s="48" t="s">
        <v>254</v>
      </c>
      <c r="C389" s="36" t="s">
        <v>100</v>
      </c>
      <c r="D389" s="36">
        <v>4</v>
      </c>
      <c r="E389" s="37">
        <v>1400</v>
      </c>
      <c r="F389" s="36">
        <f t="shared" si="49"/>
        <v>5600</v>
      </c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52"/>
    </row>
    <row r="390" spans="1:21" s="53" customFormat="1" x14ac:dyDescent="0.25">
      <c r="A390" s="36">
        <v>9</v>
      </c>
      <c r="B390" s="48" t="s">
        <v>255</v>
      </c>
      <c r="C390" s="36" t="s">
        <v>100</v>
      </c>
      <c r="D390" s="36">
        <v>5</v>
      </c>
      <c r="E390" s="37">
        <v>12000</v>
      </c>
      <c r="F390" s="36">
        <f t="shared" si="49"/>
        <v>60000</v>
      </c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52"/>
    </row>
    <row r="391" spans="1:21" s="53" customFormat="1" x14ac:dyDescent="0.25">
      <c r="A391" s="36">
        <v>10</v>
      </c>
      <c r="B391" s="48" t="s">
        <v>257</v>
      </c>
      <c r="C391" s="36" t="s">
        <v>256</v>
      </c>
      <c r="D391" s="36">
        <v>5</v>
      </c>
      <c r="E391" s="37">
        <v>1200</v>
      </c>
      <c r="F391" s="36">
        <f t="shared" si="49"/>
        <v>6000</v>
      </c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52"/>
    </row>
    <row r="392" spans="1:21" s="53" customFormat="1" x14ac:dyDescent="0.25">
      <c r="A392" s="36">
        <v>11</v>
      </c>
      <c r="B392" s="48" t="s">
        <v>258</v>
      </c>
      <c r="C392" s="36" t="s">
        <v>100</v>
      </c>
      <c r="D392" s="36">
        <v>12</v>
      </c>
      <c r="E392" s="37">
        <v>80</v>
      </c>
      <c r="F392" s="36">
        <f t="shared" si="49"/>
        <v>960</v>
      </c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52"/>
    </row>
    <row r="393" spans="1:21" s="53" customFormat="1" x14ac:dyDescent="0.25">
      <c r="A393" s="36">
        <v>12</v>
      </c>
      <c r="B393" s="48" t="s">
        <v>259</v>
      </c>
      <c r="C393" s="36" t="s">
        <v>82</v>
      </c>
      <c r="D393" s="36">
        <v>10</v>
      </c>
      <c r="E393" s="37">
        <v>380</v>
      </c>
      <c r="F393" s="36">
        <f t="shared" si="49"/>
        <v>3800</v>
      </c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52"/>
    </row>
    <row r="394" spans="1:21" s="53" customFormat="1" x14ac:dyDescent="0.25">
      <c r="A394" s="36">
        <v>13</v>
      </c>
      <c r="B394" s="48" t="s">
        <v>260</v>
      </c>
      <c r="C394" s="36" t="s">
        <v>82</v>
      </c>
      <c r="D394" s="36">
        <v>30</v>
      </c>
      <c r="E394" s="37">
        <v>380</v>
      </c>
      <c r="F394" s="36">
        <f t="shared" si="49"/>
        <v>11400</v>
      </c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52"/>
    </row>
    <row r="395" spans="1:21" s="53" customFormat="1" x14ac:dyDescent="0.25">
      <c r="A395" s="36">
        <v>14</v>
      </c>
      <c r="B395" s="48" t="s">
        <v>261</v>
      </c>
      <c r="C395" s="36" t="s">
        <v>82</v>
      </c>
      <c r="D395" s="36">
        <v>30</v>
      </c>
      <c r="E395" s="37">
        <v>95</v>
      </c>
      <c r="F395" s="36">
        <f t="shared" si="49"/>
        <v>2850</v>
      </c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52"/>
    </row>
    <row r="396" spans="1:21" s="53" customFormat="1" x14ac:dyDescent="0.25">
      <c r="A396" s="36">
        <v>15</v>
      </c>
      <c r="B396" s="48" t="s">
        <v>262</v>
      </c>
      <c r="C396" s="36" t="s">
        <v>82</v>
      </c>
      <c r="D396" s="36">
        <v>20</v>
      </c>
      <c r="E396" s="37">
        <v>120</v>
      </c>
      <c r="F396" s="36">
        <f t="shared" si="49"/>
        <v>2400</v>
      </c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52"/>
    </row>
    <row r="397" spans="1:21" s="53" customFormat="1" x14ac:dyDescent="0.25">
      <c r="A397" s="36">
        <v>16</v>
      </c>
      <c r="B397" s="48" t="s">
        <v>263</v>
      </c>
      <c r="C397" s="36" t="s">
        <v>82</v>
      </c>
      <c r="D397" s="36">
        <v>20</v>
      </c>
      <c r="E397" s="37">
        <v>970</v>
      </c>
      <c r="F397" s="36">
        <f t="shared" si="49"/>
        <v>19400</v>
      </c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52"/>
    </row>
    <row r="398" spans="1:21" s="53" customFormat="1" x14ac:dyDescent="0.25">
      <c r="A398" s="36">
        <v>17</v>
      </c>
      <c r="B398" s="48" t="s">
        <v>264</v>
      </c>
      <c r="C398" s="36" t="s">
        <v>82</v>
      </c>
      <c r="D398" s="36">
        <v>10</v>
      </c>
      <c r="E398" s="37">
        <v>490</v>
      </c>
      <c r="F398" s="36">
        <f t="shared" si="49"/>
        <v>4900</v>
      </c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52"/>
    </row>
    <row r="399" spans="1:21" s="53" customFormat="1" x14ac:dyDescent="0.25">
      <c r="A399" s="36">
        <v>18</v>
      </c>
      <c r="B399" s="48" t="s">
        <v>265</v>
      </c>
      <c r="C399" s="36" t="s">
        <v>82</v>
      </c>
      <c r="D399" s="36">
        <v>10</v>
      </c>
      <c r="E399" s="37">
        <v>240</v>
      </c>
      <c r="F399" s="36">
        <f t="shared" si="49"/>
        <v>2400</v>
      </c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52"/>
    </row>
    <row r="400" spans="1:21" s="53" customFormat="1" x14ac:dyDescent="0.25">
      <c r="A400" s="36">
        <v>19</v>
      </c>
      <c r="B400" s="48" t="s">
        <v>266</v>
      </c>
      <c r="C400" s="36" t="s">
        <v>100</v>
      </c>
      <c r="D400" s="36">
        <v>10</v>
      </c>
      <c r="E400" s="37">
        <v>120</v>
      </c>
      <c r="F400" s="36">
        <f t="shared" si="49"/>
        <v>1200</v>
      </c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52"/>
    </row>
    <row r="401" spans="1:21" s="53" customFormat="1" x14ac:dyDescent="0.25">
      <c r="A401" s="36">
        <v>20</v>
      </c>
      <c r="B401" s="48" t="s">
        <v>267</v>
      </c>
      <c r="C401" s="36" t="s">
        <v>100</v>
      </c>
      <c r="D401" s="36">
        <v>4</v>
      </c>
      <c r="E401" s="37">
        <v>980</v>
      </c>
      <c r="F401" s="36">
        <f t="shared" si="49"/>
        <v>3920</v>
      </c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52"/>
    </row>
    <row r="402" spans="1:21" s="53" customFormat="1" x14ac:dyDescent="0.25">
      <c r="A402" s="36">
        <v>21</v>
      </c>
      <c r="B402" s="48" t="s">
        <v>268</v>
      </c>
      <c r="C402" s="36" t="s">
        <v>82</v>
      </c>
      <c r="D402" s="36">
        <v>500</v>
      </c>
      <c r="E402" s="37">
        <v>480</v>
      </c>
      <c r="F402" s="36">
        <f t="shared" si="49"/>
        <v>240000</v>
      </c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52"/>
    </row>
    <row r="403" spans="1:21" s="53" customFormat="1" x14ac:dyDescent="0.25">
      <c r="A403" s="36">
        <v>22</v>
      </c>
      <c r="B403" s="36" t="s">
        <v>269</v>
      </c>
      <c r="C403" s="36" t="s">
        <v>82</v>
      </c>
      <c r="D403" s="36">
        <v>2</v>
      </c>
      <c r="E403" s="37">
        <v>12800</v>
      </c>
      <c r="F403" s="36">
        <f t="shared" si="49"/>
        <v>25600</v>
      </c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52"/>
    </row>
    <row r="404" spans="1:21" s="53" customFormat="1" x14ac:dyDescent="0.25">
      <c r="A404" s="36">
        <v>23</v>
      </c>
      <c r="B404" s="36" t="s">
        <v>270</v>
      </c>
      <c r="C404" s="36" t="s">
        <v>82</v>
      </c>
      <c r="D404" s="36">
        <v>1</v>
      </c>
      <c r="E404" s="36">
        <v>24000</v>
      </c>
      <c r="F404" s="36">
        <f t="shared" si="49"/>
        <v>24000</v>
      </c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52">
        <f>D489*E489</f>
        <v>0</v>
      </c>
    </row>
    <row r="405" spans="1:21" x14ac:dyDescent="0.25">
      <c r="A405" s="16" t="s">
        <v>185</v>
      </c>
      <c r="B405" s="16"/>
      <c r="C405" s="36" t="s">
        <v>82</v>
      </c>
      <c r="D405" s="16"/>
      <c r="E405" s="16"/>
      <c r="F405" s="16"/>
      <c r="G405" s="16"/>
      <c r="H405" s="16"/>
      <c r="I405" s="16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4">
        <f>D490*E490</f>
        <v>0</v>
      </c>
    </row>
    <row r="406" spans="1:21" ht="45" x14ac:dyDescent="0.25">
      <c r="A406" s="31">
        <v>1</v>
      </c>
      <c r="B406" s="32" t="s">
        <v>187</v>
      </c>
      <c r="C406" s="16"/>
      <c r="D406" s="31">
        <v>1</v>
      </c>
      <c r="E406" s="33">
        <v>17000000</v>
      </c>
      <c r="F406" s="31">
        <f>D406*E406</f>
        <v>17000000</v>
      </c>
      <c r="G406" s="16"/>
      <c r="H406" s="16"/>
      <c r="I406" s="16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4"/>
    </row>
    <row r="407" spans="1:21" ht="45" x14ac:dyDescent="0.25">
      <c r="A407" s="31">
        <v>2</v>
      </c>
      <c r="B407" s="32" t="s">
        <v>188</v>
      </c>
      <c r="C407" s="31" t="s">
        <v>55</v>
      </c>
      <c r="D407" s="31">
        <v>1</v>
      </c>
      <c r="E407" s="31"/>
      <c r="F407" s="31">
        <f t="shared" ref="F407:F482" si="51">D407*E407</f>
        <v>0</v>
      </c>
      <c r="G407" s="16"/>
      <c r="H407" s="16"/>
      <c r="I407" s="16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4"/>
    </row>
    <row r="408" spans="1:21" x14ac:dyDescent="0.25">
      <c r="A408" s="16">
        <v>3</v>
      </c>
      <c r="B408" s="16"/>
      <c r="C408" s="31" t="s">
        <v>55</v>
      </c>
      <c r="D408" s="16"/>
      <c r="E408" s="16"/>
      <c r="F408" s="16">
        <f t="shared" si="51"/>
        <v>0</v>
      </c>
      <c r="G408" s="16"/>
      <c r="H408" s="16"/>
      <c r="I408" s="16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4"/>
    </row>
    <row r="409" spans="1:21" x14ac:dyDescent="0.25">
      <c r="A409" s="16"/>
      <c r="B409" s="16"/>
      <c r="C409" s="16"/>
      <c r="D409" s="16"/>
      <c r="E409" s="16"/>
      <c r="F409" s="16">
        <f t="shared" si="51"/>
        <v>0</v>
      </c>
      <c r="G409" s="16"/>
      <c r="H409" s="16"/>
      <c r="I409" s="16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4"/>
    </row>
    <row r="410" spans="1:21" x14ac:dyDescent="0.25">
      <c r="A410" s="16"/>
      <c r="B410" s="16"/>
      <c r="C410" s="16"/>
      <c r="D410" s="16"/>
      <c r="E410" s="16"/>
      <c r="F410" s="16">
        <f t="shared" si="51"/>
        <v>0</v>
      </c>
      <c r="G410" s="16"/>
      <c r="H410" s="16"/>
      <c r="I410" s="16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4"/>
    </row>
    <row r="411" spans="1:21" x14ac:dyDescent="0.25">
      <c r="A411" s="16"/>
      <c r="B411" s="16"/>
      <c r="C411" s="16"/>
      <c r="D411" s="16"/>
      <c r="E411" s="16"/>
      <c r="F411" s="16">
        <f t="shared" si="51"/>
        <v>0</v>
      </c>
      <c r="G411" s="16"/>
      <c r="H411" s="16"/>
      <c r="I411" s="16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4"/>
    </row>
    <row r="412" spans="1:21" x14ac:dyDescent="0.25">
      <c r="A412" s="16"/>
      <c r="B412" s="16"/>
      <c r="C412" s="16"/>
      <c r="D412" s="16"/>
      <c r="E412" s="16"/>
      <c r="F412" s="16">
        <f t="shared" si="51"/>
        <v>0</v>
      </c>
      <c r="G412" s="16"/>
      <c r="H412" s="16"/>
      <c r="I412" s="16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4"/>
    </row>
    <row r="413" spans="1:21" x14ac:dyDescent="0.25">
      <c r="A413" s="16" t="s">
        <v>237</v>
      </c>
      <c r="B413" s="16"/>
      <c r="C413" s="16"/>
      <c r="D413" s="16"/>
      <c r="E413" s="16"/>
      <c r="F413" s="16">
        <f t="shared" si="51"/>
        <v>0</v>
      </c>
      <c r="G413" s="16"/>
      <c r="H413" s="16"/>
      <c r="I413" s="16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4"/>
    </row>
    <row r="414" spans="1:21" s="42" customFormat="1" x14ac:dyDescent="0.25">
      <c r="A414" s="31">
        <v>1</v>
      </c>
      <c r="B414" s="31" t="s">
        <v>218</v>
      </c>
      <c r="C414" s="16"/>
      <c r="D414" s="31">
        <v>10</v>
      </c>
      <c r="E414" s="31"/>
      <c r="F414" s="31">
        <f t="shared" si="51"/>
        <v>0</v>
      </c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41">
        <f>D484*E484</f>
        <v>0</v>
      </c>
    </row>
    <row r="415" spans="1:21" x14ac:dyDescent="0.25">
      <c r="A415" s="16"/>
      <c r="B415" s="16"/>
      <c r="C415" s="31" t="s">
        <v>145</v>
      </c>
      <c r="D415" s="16"/>
      <c r="E415" s="16"/>
      <c r="F415" s="16">
        <f t="shared" si="51"/>
        <v>0</v>
      </c>
      <c r="G415" s="16"/>
      <c r="H415" s="16"/>
      <c r="I415" s="16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4">
        <f>D485*E485</f>
        <v>0</v>
      </c>
    </row>
    <row r="416" spans="1:21" x14ac:dyDescent="0.25">
      <c r="A416" s="16"/>
      <c r="B416" s="16"/>
      <c r="C416" s="16"/>
      <c r="D416" s="16"/>
      <c r="E416" s="16"/>
      <c r="F416" s="16">
        <f t="shared" si="51"/>
        <v>0</v>
      </c>
      <c r="G416" s="16"/>
      <c r="H416" s="16"/>
      <c r="I416" s="16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4"/>
    </row>
    <row r="417" spans="1:21" x14ac:dyDescent="0.25">
      <c r="A417" s="50" t="s">
        <v>238</v>
      </c>
      <c r="B417" s="16"/>
      <c r="C417" s="16"/>
      <c r="D417" s="16"/>
      <c r="E417" s="16"/>
      <c r="F417" s="16">
        <f t="shared" si="51"/>
        <v>0</v>
      </c>
      <c r="G417" s="16"/>
      <c r="H417" s="16"/>
      <c r="I417" s="16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4"/>
    </row>
    <row r="418" spans="1:21" s="42" customFormat="1" x14ac:dyDescent="0.25">
      <c r="A418" s="31">
        <v>1</v>
      </c>
      <c r="B418" s="31" t="s">
        <v>239</v>
      </c>
      <c r="C418" s="16"/>
      <c r="D418" s="31">
        <v>1</v>
      </c>
      <c r="E418" s="31">
        <v>1200000</v>
      </c>
      <c r="F418" s="31">
        <f t="shared" si="51"/>
        <v>1200000</v>
      </c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41"/>
    </row>
    <row r="419" spans="1:21" s="17" customFormat="1" x14ac:dyDescent="0.25">
      <c r="A419" s="16"/>
      <c r="B419" s="16"/>
      <c r="C419" s="31" t="s">
        <v>236</v>
      </c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49"/>
    </row>
    <row r="420" spans="1:21" s="17" customFormat="1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49"/>
    </row>
    <row r="421" spans="1:21" s="17" customFormat="1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49"/>
    </row>
    <row r="422" spans="1:21" s="17" customFormat="1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49"/>
    </row>
    <row r="423" spans="1:21" s="17" customFormat="1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49"/>
    </row>
    <row r="424" spans="1:21" s="17" customFormat="1" x14ac:dyDescent="0.25">
      <c r="A424" s="50" t="s">
        <v>250</v>
      </c>
      <c r="B424" s="50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49"/>
    </row>
    <row r="425" spans="1:21" s="53" customFormat="1" x14ac:dyDescent="0.25">
      <c r="A425" s="36">
        <v>1</v>
      </c>
      <c r="B425" s="36" t="s">
        <v>251</v>
      </c>
      <c r="C425" s="16"/>
      <c r="D425" s="36">
        <v>10</v>
      </c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52"/>
    </row>
    <row r="426" spans="1:21" x14ac:dyDescent="0.25">
      <c r="A426" s="16"/>
      <c r="B426" s="16"/>
      <c r="C426" s="36" t="s">
        <v>80</v>
      </c>
      <c r="D426" s="16"/>
      <c r="E426" s="16"/>
      <c r="F426" s="16">
        <f t="shared" si="51"/>
        <v>0</v>
      </c>
      <c r="G426" s="16"/>
      <c r="H426" s="16"/>
      <c r="I426" s="16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4"/>
    </row>
    <row r="427" spans="1:21" x14ac:dyDescent="0.25">
      <c r="A427" s="16"/>
      <c r="B427" s="16"/>
      <c r="C427" s="16"/>
      <c r="D427" s="16"/>
      <c r="E427" s="16"/>
      <c r="F427" s="16">
        <f t="shared" si="51"/>
        <v>0</v>
      </c>
      <c r="G427" s="16"/>
      <c r="H427" s="16"/>
      <c r="I427" s="16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4"/>
    </row>
    <row r="428" spans="1:21" x14ac:dyDescent="0.25">
      <c r="A428" s="16"/>
      <c r="B428" s="16"/>
      <c r="C428" s="16"/>
      <c r="D428" s="16"/>
      <c r="E428" s="16"/>
      <c r="F428" s="16">
        <f t="shared" si="51"/>
        <v>0</v>
      </c>
      <c r="G428" s="16"/>
      <c r="H428" s="16"/>
      <c r="I428" s="16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4"/>
    </row>
    <row r="429" spans="1:21" x14ac:dyDescent="0.25">
      <c r="A429" s="50" t="s">
        <v>271</v>
      </c>
      <c r="B429" s="16"/>
      <c r="C429" s="16"/>
      <c r="D429" s="16"/>
      <c r="E429" s="16"/>
      <c r="F429" s="16">
        <f t="shared" si="51"/>
        <v>0</v>
      </c>
      <c r="G429" s="16"/>
      <c r="H429" s="16"/>
      <c r="I429" s="16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4"/>
    </row>
    <row r="430" spans="1:21" s="53" customFormat="1" ht="13.5" customHeight="1" x14ac:dyDescent="0.25">
      <c r="A430" s="36">
        <v>1</v>
      </c>
      <c r="B430" s="36" t="s">
        <v>272</v>
      </c>
      <c r="C430" s="16"/>
      <c r="D430" s="36">
        <v>3</v>
      </c>
      <c r="E430" s="36">
        <v>36000</v>
      </c>
      <c r="F430" s="36">
        <f t="shared" si="51"/>
        <v>108000</v>
      </c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52"/>
    </row>
    <row r="431" spans="1:21" s="53" customFormat="1" x14ac:dyDescent="0.25">
      <c r="A431" s="36">
        <v>2</v>
      </c>
      <c r="B431" s="36" t="s">
        <v>273</v>
      </c>
      <c r="C431" s="36" t="s">
        <v>80</v>
      </c>
      <c r="D431" s="36">
        <v>2</v>
      </c>
      <c r="E431" s="36">
        <v>64000</v>
      </c>
      <c r="F431" s="36">
        <f t="shared" si="51"/>
        <v>128000</v>
      </c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52"/>
    </row>
    <row r="432" spans="1:21" x14ac:dyDescent="0.25">
      <c r="A432" s="56">
        <v>3</v>
      </c>
      <c r="B432" s="56" t="s">
        <v>407</v>
      </c>
      <c r="C432" s="56" t="s">
        <v>80</v>
      </c>
      <c r="D432" s="96">
        <v>35</v>
      </c>
      <c r="E432" s="97">
        <v>10140</v>
      </c>
      <c r="F432" s="56">
        <f t="shared" si="51"/>
        <v>354900</v>
      </c>
      <c r="G432" s="56" t="s">
        <v>23</v>
      </c>
      <c r="H432" s="56" t="s">
        <v>28</v>
      </c>
      <c r="I432" s="56" t="s">
        <v>22</v>
      </c>
      <c r="J432" s="86" t="s">
        <v>25</v>
      </c>
      <c r="K432" s="86" t="s">
        <v>25</v>
      </c>
      <c r="L432" s="86" t="s">
        <v>25</v>
      </c>
      <c r="M432" s="56"/>
      <c r="N432" s="56"/>
      <c r="O432" s="56"/>
      <c r="P432" s="56"/>
      <c r="Q432" s="56"/>
      <c r="R432" s="56"/>
      <c r="S432" s="56"/>
      <c r="T432" s="56">
        <v>35</v>
      </c>
      <c r="U432" s="80">
        <f t="shared" ref="U432:U451" si="52">D432*E432</f>
        <v>354900</v>
      </c>
    </row>
    <row r="433" spans="1:21" ht="60" x14ac:dyDescent="0.25">
      <c r="A433" s="56">
        <v>4</v>
      </c>
      <c r="B433" s="98" t="s">
        <v>408</v>
      </c>
      <c r="C433" s="56" t="s">
        <v>145</v>
      </c>
      <c r="D433" s="96">
        <v>42</v>
      </c>
      <c r="E433" s="97">
        <v>16529</v>
      </c>
      <c r="F433" s="56">
        <f t="shared" si="51"/>
        <v>694218</v>
      </c>
      <c r="G433" s="56" t="s">
        <v>23</v>
      </c>
      <c r="H433" s="56" t="s">
        <v>28</v>
      </c>
      <c r="I433" s="56" t="s">
        <v>22</v>
      </c>
      <c r="J433" s="86" t="s">
        <v>25</v>
      </c>
      <c r="K433" s="86" t="s">
        <v>25</v>
      </c>
      <c r="L433" s="86" t="s">
        <v>25</v>
      </c>
      <c r="M433" s="56"/>
      <c r="N433" s="56"/>
      <c r="O433" s="56"/>
      <c r="P433" s="56"/>
      <c r="Q433" s="56"/>
      <c r="R433" s="56"/>
      <c r="S433" s="56"/>
      <c r="T433" s="56">
        <v>42</v>
      </c>
      <c r="U433" s="80">
        <f t="shared" si="52"/>
        <v>694218</v>
      </c>
    </row>
    <row r="434" spans="1:21" ht="30" x14ac:dyDescent="0.25">
      <c r="A434" s="56">
        <v>5</v>
      </c>
      <c r="B434" s="98" t="s">
        <v>409</v>
      </c>
      <c r="C434" s="56" t="s">
        <v>145</v>
      </c>
      <c r="D434" s="96">
        <v>10</v>
      </c>
      <c r="E434" s="96">
        <v>34552</v>
      </c>
      <c r="F434" s="56">
        <f t="shared" si="51"/>
        <v>345520</v>
      </c>
      <c r="G434" s="56" t="s">
        <v>23</v>
      </c>
      <c r="H434" s="56" t="s">
        <v>28</v>
      </c>
      <c r="I434" s="56" t="s">
        <v>22</v>
      </c>
      <c r="J434" s="86" t="s">
        <v>25</v>
      </c>
      <c r="K434" s="86" t="s">
        <v>25</v>
      </c>
      <c r="L434" s="86" t="s">
        <v>25</v>
      </c>
      <c r="M434" s="56"/>
      <c r="N434" s="56"/>
      <c r="O434" s="56"/>
      <c r="P434" s="56"/>
      <c r="Q434" s="56"/>
      <c r="R434" s="56"/>
      <c r="S434" s="56"/>
      <c r="T434" s="56">
        <v>10</v>
      </c>
      <c r="U434" s="80">
        <f t="shared" si="52"/>
        <v>345520</v>
      </c>
    </row>
    <row r="435" spans="1:21" ht="29.25" customHeight="1" x14ac:dyDescent="0.25">
      <c r="A435" s="56">
        <v>6</v>
      </c>
      <c r="B435" s="98" t="s">
        <v>410</v>
      </c>
      <c r="C435" s="56" t="s">
        <v>145</v>
      </c>
      <c r="D435" s="96">
        <v>20</v>
      </c>
      <c r="E435" s="96">
        <v>5821</v>
      </c>
      <c r="F435" s="56">
        <f t="shared" si="51"/>
        <v>116420</v>
      </c>
      <c r="G435" s="56" t="s">
        <v>23</v>
      </c>
      <c r="H435" s="56" t="s">
        <v>28</v>
      </c>
      <c r="I435" s="56" t="s">
        <v>22</v>
      </c>
      <c r="J435" s="86" t="s">
        <v>25</v>
      </c>
      <c r="K435" s="86" t="s">
        <v>25</v>
      </c>
      <c r="L435" s="86" t="s">
        <v>25</v>
      </c>
      <c r="M435" s="56"/>
      <c r="N435" s="56"/>
      <c r="O435" s="56"/>
      <c r="P435" s="56"/>
      <c r="Q435" s="56"/>
      <c r="R435" s="56"/>
      <c r="S435" s="56"/>
      <c r="T435" s="56">
        <v>20</v>
      </c>
      <c r="U435" s="80">
        <f t="shared" si="52"/>
        <v>116420</v>
      </c>
    </row>
    <row r="436" spans="1:21" x14ac:dyDescent="0.25">
      <c r="A436" s="56">
        <v>7</v>
      </c>
      <c r="B436" s="98" t="s">
        <v>411</v>
      </c>
      <c r="C436" s="56" t="s">
        <v>145</v>
      </c>
      <c r="D436" s="96">
        <v>6</v>
      </c>
      <c r="E436" s="96">
        <v>35000</v>
      </c>
      <c r="F436" s="56">
        <f t="shared" si="51"/>
        <v>210000</v>
      </c>
      <c r="G436" s="56" t="s">
        <v>23</v>
      </c>
      <c r="H436" s="56" t="s">
        <v>28</v>
      </c>
      <c r="I436" s="56" t="s">
        <v>22</v>
      </c>
      <c r="J436" s="86" t="s">
        <v>25</v>
      </c>
      <c r="K436" s="86" t="s">
        <v>25</v>
      </c>
      <c r="L436" s="86" t="s">
        <v>25</v>
      </c>
      <c r="M436" s="56"/>
      <c r="N436" s="56"/>
      <c r="O436" s="56"/>
      <c r="P436" s="56"/>
      <c r="Q436" s="56"/>
      <c r="R436" s="56"/>
      <c r="S436" s="56"/>
      <c r="T436" s="56">
        <v>6</v>
      </c>
      <c r="U436" s="80">
        <f t="shared" si="52"/>
        <v>210000</v>
      </c>
    </row>
    <row r="437" spans="1:21" x14ac:dyDescent="0.25">
      <c r="A437" s="56">
        <v>8</v>
      </c>
      <c r="B437" s="98" t="s">
        <v>412</v>
      </c>
      <c r="C437" s="56" t="s">
        <v>145</v>
      </c>
      <c r="D437" s="96">
        <v>4</v>
      </c>
      <c r="E437" s="96">
        <v>11500</v>
      </c>
      <c r="F437" s="56">
        <f t="shared" si="51"/>
        <v>46000</v>
      </c>
      <c r="G437" s="56" t="s">
        <v>23</v>
      </c>
      <c r="H437" s="56" t="s">
        <v>28</v>
      </c>
      <c r="I437" s="56" t="s">
        <v>22</v>
      </c>
      <c r="J437" s="86" t="s">
        <v>25</v>
      </c>
      <c r="K437" s="86" t="s">
        <v>25</v>
      </c>
      <c r="L437" s="86" t="s">
        <v>25</v>
      </c>
      <c r="M437" s="56"/>
      <c r="N437" s="56"/>
      <c r="O437" s="56"/>
      <c r="P437" s="56"/>
      <c r="Q437" s="56"/>
      <c r="R437" s="56"/>
      <c r="S437" s="56"/>
      <c r="T437" s="56">
        <v>4</v>
      </c>
      <c r="U437" s="80">
        <f t="shared" si="52"/>
        <v>46000</v>
      </c>
    </row>
    <row r="438" spans="1:21" x14ac:dyDescent="0.25">
      <c r="A438" s="56">
        <v>9</v>
      </c>
      <c r="B438" s="98" t="s">
        <v>413</v>
      </c>
      <c r="C438" s="56" t="s">
        <v>145</v>
      </c>
      <c r="D438" s="96">
        <v>4</v>
      </c>
      <c r="E438" s="96">
        <v>7000</v>
      </c>
      <c r="F438" s="56">
        <f t="shared" si="51"/>
        <v>28000</v>
      </c>
      <c r="G438" s="56" t="s">
        <v>23</v>
      </c>
      <c r="H438" s="56" t="s">
        <v>28</v>
      </c>
      <c r="I438" s="56" t="s">
        <v>22</v>
      </c>
      <c r="J438" s="86" t="s">
        <v>25</v>
      </c>
      <c r="K438" s="86" t="s">
        <v>25</v>
      </c>
      <c r="L438" s="86" t="s">
        <v>25</v>
      </c>
      <c r="M438" s="56"/>
      <c r="N438" s="56"/>
      <c r="O438" s="56"/>
      <c r="P438" s="56"/>
      <c r="Q438" s="56"/>
      <c r="R438" s="56"/>
      <c r="S438" s="56"/>
      <c r="T438" s="56">
        <v>4</v>
      </c>
      <c r="U438" s="80">
        <f t="shared" si="52"/>
        <v>28000</v>
      </c>
    </row>
    <row r="439" spans="1:21" ht="30" x14ac:dyDescent="0.25">
      <c r="A439" s="56">
        <v>10</v>
      </c>
      <c r="B439" s="98" t="s">
        <v>415</v>
      </c>
      <c r="C439" s="56" t="s">
        <v>145</v>
      </c>
      <c r="D439" s="96">
        <v>2</v>
      </c>
      <c r="E439" s="96">
        <v>57868</v>
      </c>
      <c r="F439" s="56">
        <f t="shared" si="51"/>
        <v>115736</v>
      </c>
      <c r="G439" s="56" t="s">
        <v>23</v>
      </c>
      <c r="H439" s="56" t="s">
        <v>28</v>
      </c>
      <c r="I439" s="56" t="s">
        <v>22</v>
      </c>
      <c r="J439" s="86" t="s">
        <v>25</v>
      </c>
      <c r="K439" s="86" t="s">
        <v>25</v>
      </c>
      <c r="L439" s="86" t="s">
        <v>25</v>
      </c>
      <c r="M439" s="56"/>
      <c r="N439" s="56"/>
      <c r="O439" s="56"/>
      <c r="P439" s="56"/>
      <c r="Q439" s="56"/>
      <c r="R439" s="56"/>
      <c r="S439" s="56"/>
      <c r="T439" s="56">
        <v>2</v>
      </c>
      <c r="U439" s="80">
        <f t="shared" si="52"/>
        <v>115736</v>
      </c>
    </row>
    <row r="440" spans="1:21" ht="30" x14ac:dyDescent="0.25">
      <c r="A440" s="56">
        <v>11</v>
      </c>
      <c r="B440" s="98" t="s">
        <v>416</v>
      </c>
      <c r="C440" s="56" t="s">
        <v>145</v>
      </c>
      <c r="D440" s="96">
        <v>1</v>
      </c>
      <c r="E440" s="96">
        <v>32626</v>
      </c>
      <c r="F440" s="56">
        <f t="shared" si="51"/>
        <v>32626</v>
      </c>
      <c r="G440" s="56" t="s">
        <v>23</v>
      </c>
      <c r="H440" s="56" t="s">
        <v>28</v>
      </c>
      <c r="I440" s="56" t="s">
        <v>22</v>
      </c>
      <c r="J440" s="86" t="s">
        <v>25</v>
      </c>
      <c r="K440" s="86" t="s">
        <v>25</v>
      </c>
      <c r="L440" s="86" t="s">
        <v>25</v>
      </c>
      <c r="M440" s="56"/>
      <c r="N440" s="56"/>
      <c r="O440" s="56"/>
      <c r="P440" s="56"/>
      <c r="Q440" s="56"/>
      <c r="R440" s="56"/>
      <c r="S440" s="56"/>
      <c r="T440" s="56">
        <v>1</v>
      </c>
      <c r="U440" s="80">
        <f t="shared" si="52"/>
        <v>32626</v>
      </c>
    </row>
    <row r="441" spans="1:21" ht="30" x14ac:dyDescent="0.25">
      <c r="A441" s="56">
        <v>12</v>
      </c>
      <c r="B441" s="98" t="s">
        <v>417</v>
      </c>
      <c r="C441" s="56" t="s">
        <v>145</v>
      </c>
      <c r="D441" s="96">
        <v>1</v>
      </c>
      <c r="E441" s="96">
        <v>31240</v>
      </c>
      <c r="F441" s="56">
        <f t="shared" si="51"/>
        <v>31240</v>
      </c>
      <c r="G441" s="56" t="s">
        <v>23</v>
      </c>
      <c r="H441" s="56" t="s">
        <v>28</v>
      </c>
      <c r="I441" s="56" t="s">
        <v>22</v>
      </c>
      <c r="J441" s="86" t="s">
        <v>25</v>
      </c>
      <c r="K441" s="86" t="s">
        <v>25</v>
      </c>
      <c r="L441" s="86" t="s">
        <v>25</v>
      </c>
      <c r="M441" s="56"/>
      <c r="N441" s="56"/>
      <c r="O441" s="56"/>
      <c r="P441" s="56"/>
      <c r="Q441" s="56"/>
      <c r="R441" s="56"/>
      <c r="S441" s="56"/>
      <c r="T441" s="56">
        <v>1</v>
      </c>
      <c r="U441" s="80">
        <f t="shared" si="52"/>
        <v>31240</v>
      </c>
    </row>
    <row r="442" spans="1:21" ht="60" x14ac:dyDescent="0.25">
      <c r="A442" s="56">
        <v>13</v>
      </c>
      <c r="B442" s="98" t="s">
        <v>418</v>
      </c>
      <c r="C442" s="56" t="s">
        <v>145</v>
      </c>
      <c r="D442" s="96">
        <v>1</v>
      </c>
      <c r="E442" s="96">
        <v>24878</v>
      </c>
      <c r="F442" s="56">
        <f t="shared" si="51"/>
        <v>24878</v>
      </c>
      <c r="G442" s="56" t="s">
        <v>23</v>
      </c>
      <c r="H442" s="56" t="s">
        <v>28</v>
      </c>
      <c r="I442" s="56" t="s">
        <v>22</v>
      </c>
      <c r="J442" s="86" t="s">
        <v>25</v>
      </c>
      <c r="K442" s="86" t="s">
        <v>25</v>
      </c>
      <c r="L442" s="86" t="s">
        <v>25</v>
      </c>
      <c r="M442" s="56"/>
      <c r="N442" s="56"/>
      <c r="O442" s="56"/>
      <c r="P442" s="56"/>
      <c r="Q442" s="56"/>
      <c r="R442" s="56"/>
      <c r="S442" s="56"/>
      <c r="T442" s="56">
        <v>1</v>
      </c>
      <c r="U442" s="80">
        <f t="shared" si="52"/>
        <v>24878</v>
      </c>
    </row>
    <row r="443" spans="1:21" ht="30" x14ac:dyDescent="0.25">
      <c r="A443" s="56">
        <v>14</v>
      </c>
      <c r="B443" s="98" t="s">
        <v>419</v>
      </c>
      <c r="C443" s="56" t="s">
        <v>145</v>
      </c>
      <c r="D443" s="96">
        <v>1</v>
      </c>
      <c r="E443" s="96">
        <v>17815</v>
      </c>
      <c r="F443" s="56">
        <f t="shared" si="51"/>
        <v>17815</v>
      </c>
      <c r="G443" s="56" t="s">
        <v>23</v>
      </c>
      <c r="H443" s="56" t="s">
        <v>28</v>
      </c>
      <c r="I443" s="56" t="s">
        <v>22</v>
      </c>
      <c r="J443" s="86" t="s">
        <v>25</v>
      </c>
      <c r="K443" s="86" t="s">
        <v>25</v>
      </c>
      <c r="L443" s="86" t="s">
        <v>25</v>
      </c>
      <c r="M443" s="56"/>
      <c r="N443" s="56"/>
      <c r="O443" s="56"/>
      <c r="P443" s="56"/>
      <c r="Q443" s="56"/>
      <c r="R443" s="56"/>
      <c r="S443" s="56"/>
      <c r="T443" s="56">
        <v>1</v>
      </c>
      <c r="U443" s="80">
        <f t="shared" si="52"/>
        <v>17815</v>
      </c>
    </row>
    <row r="444" spans="1:21" ht="45" x14ac:dyDescent="0.25">
      <c r="A444" s="56">
        <v>15</v>
      </c>
      <c r="B444" s="98" t="s">
        <v>420</v>
      </c>
      <c r="C444" s="56"/>
      <c r="D444" s="96">
        <v>1</v>
      </c>
      <c r="E444" s="97">
        <v>81880</v>
      </c>
      <c r="F444" s="56">
        <f t="shared" si="51"/>
        <v>81880</v>
      </c>
      <c r="G444" s="56" t="s">
        <v>23</v>
      </c>
      <c r="H444" s="56" t="s">
        <v>28</v>
      </c>
      <c r="I444" s="56" t="s">
        <v>22</v>
      </c>
      <c r="J444" s="86" t="s">
        <v>25</v>
      </c>
      <c r="K444" s="86" t="s">
        <v>25</v>
      </c>
      <c r="L444" s="86" t="s">
        <v>25</v>
      </c>
      <c r="M444" s="56"/>
      <c r="N444" s="56"/>
      <c r="O444" s="56"/>
      <c r="P444" s="56"/>
      <c r="Q444" s="56"/>
      <c r="R444" s="56"/>
      <c r="S444" s="56"/>
      <c r="T444" s="56">
        <v>1</v>
      </c>
      <c r="U444" s="80">
        <f t="shared" si="52"/>
        <v>81880</v>
      </c>
    </row>
    <row r="445" spans="1:21" ht="30" x14ac:dyDescent="0.25">
      <c r="A445" s="56">
        <v>16</v>
      </c>
      <c r="B445" s="98" t="s">
        <v>421</v>
      </c>
      <c r="C445" s="56" t="s">
        <v>55</v>
      </c>
      <c r="D445" s="96">
        <v>1</v>
      </c>
      <c r="E445" s="96">
        <v>7820</v>
      </c>
      <c r="F445" s="56">
        <f t="shared" si="51"/>
        <v>7820</v>
      </c>
      <c r="G445" s="56" t="s">
        <v>23</v>
      </c>
      <c r="H445" s="56" t="s">
        <v>28</v>
      </c>
      <c r="I445" s="56" t="s">
        <v>22</v>
      </c>
      <c r="J445" s="86" t="s">
        <v>25</v>
      </c>
      <c r="K445" s="86" t="s">
        <v>25</v>
      </c>
      <c r="L445" s="86" t="s">
        <v>25</v>
      </c>
      <c r="M445" s="56"/>
      <c r="N445" s="56"/>
      <c r="O445" s="56"/>
      <c r="P445" s="56"/>
      <c r="Q445" s="56"/>
      <c r="R445" s="56"/>
      <c r="S445" s="56"/>
      <c r="T445" s="56">
        <v>1</v>
      </c>
      <c r="U445" s="80">
        <f t="shared" si="52"/>
        <v>7820</v>
      </c>
    </row>
    <row r="446" spans="1:21" ht="30" x14ac:dyDescent="0.25">
      <c r="A446" s="56">
        <v>17</v>
      </c>
      <c r="B446" s="98" t="s">
        <v>422</v>
      </c>
      <c r="C446" s="56" t="s">
        <v>55</v>
      </c>
      <c r="D446" s="96">
        <v>2</v>
      </c>
      <c r="E446" s="96">
        <v>22000</v>
      </c>
      <c r="F446" s="56">
        <f t="shared" si="51"/>
        <v>44000</v>
      </c>
      <c r="G446" s="56" t="s">
        <v>23</v>
      </c>
      <c r="H446" s="56" t="s">
        <v>28</v>
      </c>
      <c r="I446" s="56" t="s">
        <v>22</v>
      </c>
      <c r="J446" s="86" t="s">
        <v>25</v>
      </c>
      <c r="K446" s="86" t="s">
        <v>25</v>
      </c>
      <c r="L446" s="86" t="s">
        <v>25</v>
      </c>
      <c r="M446" s="56"/>
      <c r="N446" s="56"/>
      <c r="O446" s="56"/>
      <c r="P446" s="56"/>
      <c r="Q446" s="56"/>
      <c r="R446" s="56"/>
      <c r="S446" s="56"/>
      <c r="T446" s="56">
        <v>2</v>
      </c>
      <c r="U446" s="80">
        <f t="shared" si="52"/>
        <v>44000</v>
      </c>
    </row>
    <row r="447" spans="1:21" ht="30" x14ac:dyDescent="0.25">
      <c r="A447" s="56">
        <v>18</v>
      </c>
      <c r="B447" s="98" t="s">
        <v>423</v>
      </c>
      <c r="C447" s="56" t="s">
        <v>55</v>
      </c>
      <c r="D447" s="96">
        <v>1</v>
      </c>
      <c r="E447" s="97">
        <v>96528</v>
      </c>
      <c r="F447" s="56">
        <f t="shared" si="51"/>
        <v>96528</v>
      </c>
      <c r="G447" s="56" t="s">
        <v>23</v>
      </c>
      <c r="H447" s="56" t="s">
        <v>28</v>
      </c>
      <c r="I447" s="56" t="s">
        <v>22</v>
      </c>
      <c r="J447" s="86" t="s">
        <v>25</v>
      </c>
      <c r="K447" s="86" t="s">
        <v>25</v>
      </c>
      <c r="L447" s="86" t="s">
        <v>25</v>
      </c>
      <c r="M447" s="56"/>
      <c r="N447" s="56"/>
      <c r="O447" s="56"/>
      <c r="P447" s="56"/>
      <c r="Q447" s="56"/>
      <c r="R447" s="56"/>
      <c r="S447" s="56"/>
      <c r="T447" s="56">
        <v>1</v>
      </c>
      <c r="U447" s="80">
        <f t="shared" si="52"/>
        <v>96528</v>
      </c>
    </row>
    <row r="448" spans="1:21" x14ac:dyDescent="0.25">
      <c r="A448" s="56">
        <v>19</v>
      </c>
      <c r="B448" s="98" t="s">
        <v>424</v>
      </c>
      <c r="C448" s="56" t="s">
        <v>55</v>
      </c>
      <c r="D448" s="96">
        <v>3</v>
      </c>
      <c r="E448" s="97">
        <v>12542</v>
      </c>
      <c r="F448" s="56">
        <f t="shared" si="51"/>
        <v>37626</v>
      </c>
      <c r="G448" s="56" t="s">
        <v>23</v>
      </c>
      <c r="H448" s="56" t="s">
        <v>28</v>
      </c>
      <c r="I448" s="56" t="s">
        <v>22</v>
      </c>
      <c r="J448" s="86" t="s">
        <v>25</v>
      </c>
      <c r="K448" s="86" t="s">
        <v>25</v>
      </c>
      <c r="L448" s="86" t="s">
        <v>25</v>
      </c>
      <c r="M448" s="56"/>
      <c r="N448" s="56"/>
      <c r="O448" s="56"/>
      <c r="P448" s="56"/>
      <c r="Q448" s="56"/>
      <c r="R448" s="56"/>
      <c r="S448" s="56"/>
      <c r="T448" s="56">
        <v>3</v>
      </c>
      <c r="U448" s="80">
        <f t="shared" si="52"/>
        <v>37626</v>
      </c>
    </row>
    <row r="449" spans="1:21" ht="30" x14ac:dyDescent="0.25">
      <c r="A449" s="56">
        <v>20</v>
      </c>
      <c r="B449" s="98" t="s">
        <v>425</v>
      </c>
      <c r="C449" s="56" t="s">
        <v>55</v>
      </c>
      <c r="D449" s="96">
        <v>10</v>
      </c>
      <c r="E449" s="96">
        <v>3220</v>
      </c>
      <c r="F449" s="56">
        <f t="shared" si="51"/>
        <v>32200</v>
      </c>
      <c r="G449" s="56" t="s">
        <v>23</v>
      </c>
      <c r="H449" s="56" t="s">
        <v>28</v>
      </c>
      <c r="I449" s="56" t="s">
        <v>22</v>
      </c>
      <c r="J449" s="86" t="s">
        <v>25</v>
      </c>
      <c r="K449" s="86" t="s">
        <v>25</v>
      </c>
      <c r="L449" s="86" t="s">
        <v>25</v>
      </c>
      <c r="M449" s="56"/>
      <c r="N449" s="56"/>
      <c r="O449" s="56"/>
      <c r="P449" s="56"/>
      <c r="Q449" s="56"/>
      <c r="R449" s="56"/>
      <c r="S449" s="56"/>
      <c r="T449" s="56">
        <v>10</v>
      </c>
      <c r="U449" s="80">
        <f t="shared" si="52"/>
        <v>32200</v>
      </c>
    </row>
    <row r="450" spans="1:21" ht="15.75" x14ac:dyDescent="0.25">
      <c r="A450" s="56">
        <v>21</v>
      </c>
      <c r="B450" s="121" t="s">
        <v>160</v>
      </c>
      <c r="C450" s="56" t="s">
        <v>68</v>
      </c>
      <c r="D450" s="56">
        <v>20</v>
      </c>
      <c r="E450" s="97">
        <v>75000</v>
      </c>
      <c r="F450" s="56">
        <v>1500000</v>
      </c>
      <c r="G450" s="56" t="s">
        <v>23</v>
      </c>
      <c r="H450" s="56" t="s">
        <v>28</v>
      </c>
      <c r="I450" s="56" t="s">
        <v>22</v>
      </c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>
        <v>20</v>
      </c>
      <c r="U450" s="80">
        <v>1500000</v>
      </c>
    </row>
    <row r="451" spans="1:21" x14ac:dyDescent="0.25">
      <c r="A451" s="56"/>
      <c r="B451" s="56"/>
      <c r="C451" s="56"/>
      <c r="D451" s="56"/>
      <c r="E451" s="95"/>
      <c r="F451" s="111">
        <f>SUM(F430:F450)</f>
        <v>4053407</v>
      </c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80">
        <f t="shared" si="52"/>
        <v>0</v>
      </c>
    </row>
    <row r="452" spans="1:21" s="17" customFormat="1" x14ac:dyDescent="0.25">
      <c r="A452" s="16"/>
      <c r="B452" s="16"/>
      <c r="C452" s="5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49"/>
    </row>
    <row r="453" spans="1:21" s="17" customFormat="1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49"/>
    </row>
    <row r="454" spans="1:21" s="17" customFormat="1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49"/>
    </row>
    <row r="455" spans="1:21" s="17" customFormat="1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49"/>
    </row>
    <row r="456" spans="1:21" s="17" customFormat="1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49"/>
    </row>
    <row r="457" spans="1:21" s="17" customFormat="1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49"/>
    </row>
    <row r="458" spans="1:21" s="17" customFormat="1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49"/>
    </row>
    <row r="459" spans="1:21" s="17" customFormat="1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49"/>
    </row>
    <row r="460" spans="1:21" s="17" customFormat="1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49"/>
    </row>
    <row r="461" spans="1:21" s="17" customFormat="1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49"/>
    </row>
    <row r="462" spans="1:21" s="17" customFormat="1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49"/>
    </row>
    <row r="463" spans="1:21" s="17" customFormat="1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49"/>
    </row>
    <row r="464" spans="1:21" s="17" customFormat="1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49"/>
    </row>
    <row r="465" spans="1:21" s="17" customFormat="1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49"/>
    </row>
    <row r="466" spans="1:21" s="17" customFormat="1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49"/>
    </row>
    <row r="467" spans="1:21" s="17" customFormat="1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49"/>
    </row>
    <row r="468" spans="1:21" s="17" customFormat="1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49"/>
    </row>
    <row r="469" spans="1:21" s="17" customFormat="1" x14ac:dyDescent="0.25">
      <c r="A469" s="16" t="s">
        <v>276</v>
      </c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49"/>
    </row>
    <row r="470" spans="1:21" s="17" customFormat="1" ht="30" x14ac:dyDescent="0.25">
      <c r="A470" s="44">
        <v>1</v>
      </c>
      <c r="B470" s="45" t="s">
        <v>222</v>
      </c>
      <c r="C470" s="16"/>
      <c r="D470" s="44">
        <v>5</v>
      </c>
      <c r="E470" s="31"/>
      <c r="F470" s="40">
        <f t="shared" ref="F470:F475" si="53">D470*E470</f>
        <v>0</v>
      </c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41"/>
    </row>
    <row r="471" spans="1:21" s="17" customFormat="1" ht="45" x14ac:dyDescent="0.25">
      <c r="A471" s="16">
        <v>2</v>
      </c>
      <c r="B471" s="54" t="s">
        <v>278</v>
      </c>
      <c r="C471" s="44" t="s">
        <v>145</v>
      </c>
      <c r="D471" s="16">
        <v>1</v>
      </c>
      <c r="E471" s="16">
        <v>318000</v>
      </c>
      <c r="F471" s="21">
        <f t="shared" si="53"/>
        <v>318000</v>
      </c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49"/>
    </row>
    <row r="472" spans="1:21" s="17" customFormat="1" x14ac:dyDescent="0.25">
      <c r="A472" s="16">
        <v>3</v>
      </c>
      <c r="B472" s="16" t="s">
        <v>279</v>
      </c>
      <c r="C472" s="16" t="s">
        <v>145</v>
      </c>
      <c r="D472" s="16">
        <v>1</v>
      </c>
      <c r="E472" s="16">
        <v>157113</v>
      </c>
      <c r="F472" s="21">
        <f t="shared" si="53"/>
        <v>157113</v>
      </c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49"/>
    </row>
    <row r="473" spans="1:21" s="17" customFormat="1" x14ac:dyDescent="0.25">
      <c r="A473" s="16">
        <v>4</v>
      </c>
      <c r="B473" s="16" t="s">
        <v>280</v>
      </c>
      <c r="C473" s="16" t="s">
        <v>145</v>
      </c>
      <c r="D473" s="16">
        <v>1</v>
      </c>
      <c r="E473" s="16">
        <v>13250</v>
      </c>
      <c r="F473" s="21">
        <f t="shared" si="53"/>
        <v>13250</v>
      </c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49"/>
    </row>
    <row r="474" spans="1:21" s="17" customFormat="1" ht="30" x14ac:dyDescent="0.25">
      <c r="A474" s="16">
        <v>5</v>
      </c>
      <c r="B474" s="54" t="s">
        <v>281</v>
      </c>
      <c r="C474" s="16" t="s">
        <v>145</v>
      </c>
      <c r="D474" s="16">
        <v>1</v>
      </c>
      <c r="E474" s="16">
        <v>397500</v>
      </c>
      <c r="F474" s="16">
        <f t="shared" si="53"/>
        <v>397500</v>
      </c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49"/>
    </row>
    <row r="475" spans="1:21" s="17" customFormat="1" x14ac:dyDescent="0.25">
      <c r="A475" s="16">
        <v>6</v>
      </c>
      <c r="B475" s="16" t="s">
        <v>282</v>
      </c>
      <c r="C475" s="16" t="s">
        <v>145</v>
      </c>
      <c r="D475" s="16">
        <v>1</v>
      </c>
      <c r="E475" s="16">
        <v>260000</v>
      </c>
      <c r="F475" s="16">
        <f t="shared" si="53"/>
        <v>260000</v>
      </c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49"/>
    </row>
    <row r="476" spans="1:21" s="17" customFormat="1" x14ac:dyDescent="0.25">
      <c r="A476" s="16"/>
      <c r="B476" s="16"/>
      <c r="C476" s="16" t="s">
        <v>145</v>
      </c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49"/>
    </row>
    <row r="477" spans="1:21" s="17" customFormat="1" ht="15.75" x14ac:dyDescent="0.25">
      <c r="A477" s="132" t="s">
        <v>471</v>
      </c>
      <c r="B477" s="133"/>
      <c r="C477" s="16"/>
      <c r="D477" s="105"/>
      <c r="E477" s="16"/>
      <c r="F477" s="4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49"/>
    </row>
    <row r="478" spans="1:21" ht="15.75" x14ac:dyDescent="0.25">
      <c r="A478" s="1">
        <v>1</v>
      </c>
      <c r="B478" s="26" t="s">
        <v>113</v>
      </c>
      <c r="C478" s="16"/>
      <c r="D478" s="1">
        <v>24</v>
      </c>
      <c r="E478" s="25">
        <v>600000</v>
      </c>
      <c r="F478" s="4">
        <f>D478*E478</f>
        <v>14400000</v>
      </c>
      <c r="G478" s="1" t="s">
        <v>23</v>
      </c>
      <c r="H478" s="1" t="s">
        <v>28</v>
      </c>
      <c r="I478" s="1" t="s">
        <v>22</v>
      </c>
      <c r="J478" s="1"/>
      <c r="K478" s="1"/>
      <c r="L478" s="88"/>
      <c r="M478" s="88" t="s">
        <v>25</v>
      </c>
      <c r="N478" s="1"/>
      <c r="O478" s="1"/>
      <c r="P478" s="1"/>
      <c r="Q478" s="1"/>
      <c r="R478" s="1"/>
      <c r="S478" s="1"/>
      <c r="T478" s="1">
        <v>24</v>
      </c>
      <c r="U478" s="14">
        <f t="shared" ref="U478" si="54">D478*E478</f>
        <v>14400000</v>
      </c>
    </row>
    <row r="479" spans="1:21" s="17" customFormat="1" x14ac:dyDescent="0.25">
      <c r="A479" s="16"/>
      <c r="B479" s="16"/>
      <c r="C479" s="1" t="s">
        <v>145</v>
      </c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49"/>
    </row>
    <row r="480" spans="1:21" s="17" customFormat="1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49"/>
    </row>
    <row r="481" spans="1:21" s="17" customFormat="1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49"/>
    </row>
    <row r="482" spans="1:21" x14ac:dyDescent="0.25">
      <c r="A482" s="16"/>
      <c r="B482" s="16"/>
      <c r="C482" s="16"/>
      <c r="D482" s="16"/>
      <c r="E482" s="16"/>
      <c r="F482" s="16">
        <f t="shared" si="51"/>
        <v>0</v>
      </c>
      <c r="G482" s="16"/>
      <c r="H482" s="16"/>
      <c r="I482" s="16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4">
        <f>D486*E486</f>
        <v>0</v>
      </c>
    </row>
    <row r="483" spans="1:21" x14ac:dyDescent="0.25">
      <c r="A483" s="17"/>
      <c r="B483" s="17"/>
      <c r="C483" s="16"/>
      <c r="D483" s="17"/>
      <c r="E483" s="17"/>
      <c r="F483" s="46">
        <f>SUM(F6:F482)</f>
        <v>309679264</v>
      </c>
      <c r="G483" s="17"/>
      <c r="H483" s="17"/>
      <c r="I483" s="17"/>
    </row>
    <row r="484" spans="1:21" x14ac:dyDescent="0.25">
      <c r="C484" s="17"/>
    </row>
  </sheetData>
  <mergeCells count="11">
    <mergeCell ref="N2:U2"/>
    <mergeCell ref="N3:O3"/>
    <mergeCell ref="P3:Q3"/>
    <mergeCell ref="R3:S3"/>
    <mergeCell ref="T3:U3"/>
    <mergeCell ref="A477:B477"/>
    <mergeCell ref="A51:B51"/>
    <mergeCell ref="A60:B60"/>
    <mergeCell ref="E1:H1"/>
    <mergeCell ref="A323:B323"/>
    <mergeCell ref="A116:B1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 month procurement plan k-sric</vt:lpstr>
      <vt:lpstr>Annual procurement plan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Happiness</cp:lastModifiedBy>
  <dcterms:created xsi:type="dcterms:W3CDTF">2022-03-23T07:11:00Z</dcterms:created>
  <dcterms:modified xsi:type="dcterms:W3CDTF">2024-07-29T15:28:40Z</dcterms:modified>
</cp:coreProperties>
</file>