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-105" yWindow="-105" windowWidth="23250" windowHeight="12450" activeTab="1"/>
  </bookViews>
  <sheets>
    <sheet name="Annual Procurement plan-Ksric" sheetId="4" r:id="rId1"/>
    <sheet name="procurement plan k-sric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76" i="2" l="1"/>
  <c r="F396" i="2"/>
  <c r="F395" i="2"/>
  <c r="F394" i="2"/>
  <c r="F393" i="2"/>
  <c r="F392" i="2"/>
  <c r="F42" i="2"/>
  <c r="F391" i="2"/>
  <c r="U225" i="2"/>
  <c r="F224" i="2"/>
  <c r="U224" i="2"/>
  <c r="F360" i="2"/>
  <c r="F361" i="2"/>
  <c r="F384" i="2"/>
  <c r="F385" i="2"/>
  <c r="F386" i="2"/>
  <c r="F387" i="2"/>
  <c r="F388" i="2"/>
  <c r="F359" i="2"/>
  <c r="F354" i="2"/>
  <c r="F355" i="2"/>
  <c r="F356" i="2"/>
  <c r="F357" i="2"/>
  <c r="F358" i="2"/>
  <c r="F353" i="2"/>
  <c r="F352" i="2"/>
  <c r="F344" i="2"/>
  <c r="F345" i="2"/>
  <c r="F346" i="2"/>
  <c r="F347" i="2"/>
  <c r="F348" i="2"/>
  <c r="F349" i="2"/>
  <c r="F350" i="2"/>
  <c r="F351" i="2"/>
  <c r="F329" i="2"/>
  <c r="F330" i="2"/>
  <c r="F331" i="2"/>
  <c r="F332" i="2"/>
  <c r="F333" i="2"/>
  <c r="F334" i="2"/>
  <c r="F335" i="2"/>
  <c r="F337" i="2" l="1"/>
  <c r="F338" i="2"/>
  <c r="F339" i="2"/>
  <c r="F340" i="2"/>
  <c r="F341" i="2"/>
  <c r="F342" i="2"/>
  <c r="F34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83" i="2"/>
  <c r="F404" i="2"/>
  <c r="U343" i="2"/>
  <c r="U338" i="2"/>
  <c r="U339" i="2"/>
  <c r="U340" i="2"/>
  <c r="U341" i="2"/>
  <c r="U342" i="2"/>
  <c r="U361" i="2"/>
  <c r="U362" i="2"/>
  <c r="F64" i="2"/>
  <c r="F65" i="2"/>
  <c r="F231" i="2" l="1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228" i="2"/>
  <c r="F229" i="2"/>
  <c r="F230" i="2"/>
  <c r="F223" i="2"/>
  <c r="F226" i="2"/>
  <c r="F227" i="2"/>
  <c r="F232" i="2"/>
  <c r="F233" i="2"/>
  <c r="F234" i="2"/>
  <c r="F235" i="2"/>
  <c r="F236" i="2"/>
  <c r="F237" i="2"/>
  <c r="F238" i="2"/>
  <c r="F239" i="2"/>
  <c r="F240" i="2"/>
  <c r="F241" i="2"/>
  <c r="F118" i="2"/>
  <c r="F120" i="2"/>
  <c r="F327" i="2"/>
  <c r="F328" i="2"/>
  <c r="F325" i="2"/>
  <c r="F326" i="2"/>
  <c r="F363" i="2" l="1"/>
  <c r="U404" i="2"/>
  <c r="U372" i="2"/>
  <c r="U371" i="2"/>
  <c r="U318" i="2"/>
  <c r="F318" i="2"/>
  <c r="F319" i="2"/>
  <c r="F320" i="2"/>
  <c r="F321" i="2"/>
  <c r="F322" i="2"/>
  <c r="F323" i="2"/>
  <c r="U309" i="2"/>
  <c r="U310" i="2"/>
  <c r="U317" i="2"/>
  <c r="F317" i="2"/>
  <c r="F171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32" i="2"/>
  <c r="U98" i="2"/>
  <c r="U97" i="2"/>
  <c r="U96" i="2"/>
  <c r="U95" i="2"/>
  <c r="U323" i="2"/>
  <c r="U325" i="2"/>
  <c r="U337" i="2"/>
  <c r="U290" i="2"/>
  <c r="U288" i="2"/>
  <c r="U289" i="2"/>
  <c r="U284" i="2"/>
  <c r="U285" i="2"/>
  <c r="U286" i="2"/>
  <c r="U279" i="2"/>
  <c r="U280" i="2"/>
  <c r="U281" i="2"/>
  <c r="U282" i="2"/>
  <c r="U283" i="2"/>
  <c r="U287" i="2"/>
  <c r="U319" i="2"/>
  <c r="U320" i="2"/>
  <c r="U321" i="2"/>
  <c r="U322" i="2"/>
  <c r="U246" i="2"/>
  <c r="U241" i="2"/>
  <c r="U242" i="2"/>
  <c r="U243" i="2"/>
  <c r="U244" i="2"/>
  <c r="U245" i="2"/>
  <c r="U239" i="2"/>
  <c r="U240" i="2"/>
  <c r="U221" i="2"/>
  <c r="U222" i="2"/>
  <c r="U223" i="2"/>
  <c r="U226" i="2"/>
  <c r="U220" i="2"/>
  <c r="U210" i="2"/>
  <c r="U211" i="2"/>
  <c r="U212" i="2"/>
  <c r="U213" i="2"/>
  <c r="U214" i="2"/>
  <c r="U215" i="2"/>
  <c r="U216" i="2"/>
  <c r="U217" i="2"/>
  <c r="U218" i="2"/>
  <c r="U219" i="2"/>
  <c r="U191" i="2"/>
  <c r="U192" i="2"/>
  <c r="U193" i="2"/>
  <c r="U194" i="2"/>
  <c r="U132" i="2"/>
  <c r="U133" i="2"/>
  <c r="U137" i="2"/>
  <c r="U138" i="2"/>
  <c r="U139" i="2"/>
  <c r="U118" i="2"/>
  <c r="U119" i="2"/>
  <c r="U120" i="2"/>
  <c r="F95" i="2"/>
  <c r="F96" i="2"/>
  <c r="F97" i="2"/>
  <c r="F98" i="2"/>
  <c r="F74" i="2"/>
  <c r="F75" i="2"/>
  <c r="F76" i="2"/>
  <c r="F77" i="2"/>
  <c r="F78" i="2"/>
  <c r="F79" i="2"/>
  <c r="F80" i="2"/>
  <c r="F81" i="2"/>
  <c r="F82" i="2"/>
  <c r="F83" i="2"/>
  <c r="U23" i="2"/>
  <c r="U24" i="2"/>
  <c r="U25" i="2"/>
  <c r="U26" i="2"/>
  <c r="U27" i="2"/>
  <c r="U18" i="2"/>
  <c r="U19" i="2"/>
  <c r="U20" i="2"/>
  <c r="U21" i="2"/>
  <c r="F27" i="2"/>
  <c r="F266" i="2"/>
  <c r="F267" i="2"/>
  <c r="F268" i="2"/>
  <c r="F269" i="2"/>
  <c r="F270" i="2"/>
  <c r="F271" i="2"/>
  <c r="F272" i="2"/>
  <c r="F273" i="2"/>
  <c r="F274" i="2"/>
  <c r="F275" i="2"/>
  <c r="U326" i="4"/>
  <c r="F326" i="4"/>
  <c r="U325" i="4"/>
  <c r="F325" i="4"/>
  <c r="U324" i="4"/>
  <c r="F324" i="4"/>
  <c r="U323" i="4"/>
  <c r="F323" i="4"/>
  <c r="U322" i="4"/>
  <c r="F322" i="4"/>
  <c r="U321" i="4"/>
  <c r="F321" i="4"/>
  <c r="U320" i="4"/>
  <c r="F320" i="4"/>
  <c r="U319" i="4"/>
  <c r="F319" i="4"/>
  <c r="U318" i="4"/>
  <c r="F318" i="4"/>
  <c r="U317" i="4"/>
  <c r="F317" i="4"/>
  <c r="U316" i="4"/>
  <c r="F316" i="4"/>
  <c r="U315" i="4"/>
  <c r="U313" i="4"/>
  <c r="U312" i="4"/>
  <c r="U311" i="4"/>
  <c r="U310" i="4"/>
  <c r="U309" i="4"/>
  <c r="U308" i="4"/>
  <c r="U307" i="4"/>
  <c r="U306" i="4"/>
  <c r="U305" i="4"/>
  <c r="U304" i="4"/>
  <c r="U303" i="4"/>
  <c r="U302" i="4"/>
  <c r="U301" i="4"/>
  <c r="U300" i="4"/>
  <c r="U299" i="4"/>
  <c r="U298" i="4"/>
  <c r="U297" i="4"/>
  <c r="U296" i="4"/>
  <c r="U295" i="4"/>
  <c r="U294" i="4"/>
  <c r="U293" i="4"/>
  <c r="U292" i="4"/>
  <c r="U291" i="4"/>
  <c r="U290" i="4"/>
  <c r="U289" i="4"/>
  <c r="U288" i="4"/>
  <c r="U287" i="4"/>
  <c r="U286" i="4"/>
  <c r="U285" i="4"/>
  <c r="U284" i="4"/>
  <c r="U283" i="4"/>
  <c r="U282" i="4"/>
  <c r="U281" i="4"/>
  <c r="F281" i="4"/>
  <c r="U280" i="4"/>
  <c r="F280" i="4"/>
  <c r="U279" i="4"/>
  <c r="F279" i="4"/>
  <c r="U278" i="4"/>
  <c r="F278" i="4"/>
  <c r="U277" i="4"/>
  <c r="F277" i="4"/>
  <c r="U276" i="4"/>
  <c r="F276" i="4"/>
  <c r="U275" i="4"/>
  <c r="F275" i="4"/>
  <c r="U274" i="4"/>
  <c r="F274" i="4"/>
  <c r="U273" i="4"/>
  <c r="F273" i="4"/>
  <c r="U272" i="4"/>
  <c r="F272" i="4"/>
  <c r="U271" i="4"/>
  <c r="F271" i="4"/>
  <c r="U270" i="4"/>
  <c r="F270" i="4"/>
  <c r="U269" i="4"/>
  <c r="F269" i="4"/>
  <c r="U268" i="4"/>
  <c r="F268" i="4"/>
  <c r="U267" i="4"/>
  <c r="F267" i="4"/>
  <c r="U266" i="4"/>
  <c r="F266" i="4"/>
  <c r="U265" i="4"/>
  <c r="F265" i="4"/>
  <c r="U264" i="4"/>
  <c r="F264" i="4"/>
  <c r="U263" i="4"/>
  <c r="F263" i="4"/>
  <c r="U262" i="4"/>
  <c r="F262" i="4"/>
  <c r="U261" i="4"/>
  <c r="F261" i="4"/>
  <c r="U260" i="4"/>
  <c r="F260" i="4"/>
  <c r="F259" i="4"/>
  <c r="F258" i="4"/>
  <c r="F257" i="4"/>
  <c r="U256" i="4"/>
  <c r="F256" i="4"/>
  <c r="U255" i="4"/>
  <c r="F255" i="4"/>
  <c r="U254" i="4"/>
  <c r="F254" i="4"/>
  <c r="U253" i="4"/>
  <c r="U252" i="4"/>
  <c r="U251" i="4"/>
  <c r="F251" i="4"/>
  <c r="U250" i="4"/>
  <c r="F250" i="4"/>
  <c r="U249" i="4"/>
  <c r="F249" i="4"/>
  <c r="U248" i="4"/>
  <c r="F248" i="4"/>
  <c r="U247" i="4"/>
  <c r="F247" i="4"/>
  <c r="U246" i="4"/>
  <c r="F246" i="4"/>
  <c r="U245" i="4"/>
  <c r="F245" i="4"/>
  <c r="U244" i="4"/>
  <c r="F244" i="4"/>
  <c r="U243" i="4"/>
  <c r="F243" i="4"/>
  <c r="U242" i="4"/>
  <c r="F242" i="4"/>
  <c r="U241" i="4"/>
  <c r="F241" i="4"/>
  <c r="U240" i="4"/>
  <c r="U238" i="4"/>
  <c r="U237" i="4"/>
  <c r="F234" i="4"/>
  <c r="F233" i="4"/>
  <c r="F232" i="4"/>
  <c r="F231" i="4"/>
  <c r="F230" i="4"/>
  <c r="F229" i="4"/>
  <c r="F228" i="4"/>
  <c r="F227" i="4"/>
  <c r="F226" i="4"/>
  <c r="F225" i="4"/>
  <c r="U224" i="4"/>
  <c r="F224" i="4"/>
  <c r="U223" i="4"/>
  <c r="F223" i="4"/>
  <c r="U222" i="4"/>
  <c r="F222" i="4"/>
  <c r="U221" i="4"/>
  <c r="F221" i="4"/>
  <c r="U220" i="4"/>
  <c r="F220" i="4"/>
  <c r="U219" i="4"/>
  <c r="F219" i="4"/>
  <c r="U218" i="4"/>
  <c r="F218" i="4"/>
  <c r="U217" i="4"/>
  <c r="F217" i="4"/>
  <c r="U216" i="4"/>
  <c r="F216" i="4"/>
  <c r="U215" i="4"/>
  <c r="F215" i="4"/>
  <c r="U214" i="4"/>
  <c r="F214" i="4"/>
  <c r="U213" i="4"/>
  <c r="F213" i="4"/>
  <c r="U212" i="4"/>
  <c r="F212" i="4"/>
  <c r="U211" i="4"/>
  <c r="F211" i="4"/>
  <c r="U210" i="4"/>
  <c r="F210" i="4"/>
  <c r="U209" i="4"/>
  <c r="F209" i="4"/>
  <c r="U208" i="4"/>
  <c r="F208" i="4"/>
  <c r="U207" i="4"/>
  <c r="F207" i="4"/>
  <c r="U206" i="4"/>
  <c r="F206" i="4"/>
  <c r="U205" i="4"/>
  <c r="F205" i="4"/>
  <c r="U204" i="4"/>
  <c r="U203" i="4"/>
  <c r="F203" i="4"/>
  <c r="U202" i="4"/>
  <c r="F202" i="4"/>
  <c r="F193" i="4"/>
  <c r="F183" i="4"/>
  <c r="F182" i="4"/>
  <c r="F181" i="4"/>
  <c r="F180" i="4"/>
  <c r="F179" i="4"/>
  <c r="F178" i="4"/>
  <c r="F177" i="4"/>
  <c r="F176" i="4"/>
  <c r="F174" i="4"/>
  <c r="F173" i="4"/>
  <c r="F172" i="4"/>
  <c r="F171" i="4"/>
  <c r="F170" i="4"/>
  <c r="F169" i="4"/>
  <c r="F168" i="4"/>
  <c r="F167" i="4"/>
  <c r="F166" i="4"/>
  <c r="F165" i="4"/>
  <c r="F164" i="4"/>
  <c r="F163" i="4"/>
  <c r="F162" i="4"/>
  <c r="F161" i="4"/>
  <c r="F160" i="4"/>
  <c r="F159" i="4"/>
  <c r="F158" i="4"/>
  <c r="F157" i="4"/>
  <c r="F156" i="4"/>
  <c r="F155" i="4"/>
  <c r="F154" i="4"/>
  <c r="F153" i="4"/>
  <c r="U152" i="4"/>
  <c r="F152" i="4"/>
  <c r="U151" i="4"/>
  <c r="U150" i="4"/>
  <c r="F150" i="4"/>
  <c r="U146" i="4"/>
  <c r="F146" i="4"/>
  <c r="U145" i="4"/>
  <c r="F145" i="4"/>
  <c r="U144" i="4"/>
  <c r="F144" i="4"/>
  <c r="F132" i="4"/>
  <c r="U130" i="4"/>
  <c r="F130" i="4"/>
  <c r="U129" i="4"/>
  <c r="F129" i="4"/>
  <c r="U128" i="4"/>
  <c r="F128" i="4"/>
  <c r="U127" i="4"/>
  <c r="F127" i="4"/>
  <c r="U126" i="4"/>
  <c r="F126" i="4"/>
  <c r="U125" i="4"/>
  <c r="F125" i="4"/>
  <c r="U124" i="4"/>
  <c r="F124" i="4"/>
  <c r="U123" i="4"/>
  <c r="F123" i="4"/>
  <c r="U122" i="4"/>
  <c r="F122" i="4"/>
  <c r="U121" i="4"/>
  <c r="F121" i="4"/>
  <c r="U120" i="4"/>
  <c r="F120" i="4"/>
  <c r="U119" i="4"/>
  <c r="F119" i="4"/>
  <c r="U118" i="4"/>
  <c r="F118" i="4"/>
  <c r="U117" i="4"/>
  <c r="F117" i="4"/>
  <c r="U116" i="4"/>
  <c r="F116" i="4"/>
  <c r="U115" i="4"/>
  <c r="F115" i="4"/>
  <c r="U107" i="4"/>
  <c r="F107" i="4"/>
  <c r="U106" i="4"/>
  <c r="F106" i="4"/>
  <c r="U105" i="4"/>
  <c r="F105" i="4"/>
  <c r="U104" i="4"/>
  <c r="F104" i="4"/>
  <c r="U103" i="4"/>
  <c r="F103" i="4"/>
  <c r="U102" i="4"/>
  <c r="F102" i="4"/>
  <c r="U101" i="4"/>
  <c r="F101" i="4"/>
  <c r="U100" i="4"/>
  <c r="F100" i="4"/>
  <c r="U99" i="4"/>
  <c r="F99" i="4"/>
  <c r="U98" i="4"/>
  <c r="F98" i="4"/>
  <c r="U97" i="4"/>
  <c r="F97" i="4"/>
  <c r="U96" i="4"/>
  <c r="U95" i="4"/>
  <c r="U94" i="4"/>
  <c r="U93" i="4"/>
  <c r="U92" i="4"/>
  <c r="U91" i="4"/>
  <c r="U90" i="4"/>
  <c r="U89" i="4"/>
  <c r="U88" i="4"/>
  <c r="U87" i="4"/>
  <c r="U86" i="4"/>
  <c r="F86" i="4"/>
  <c r="U85" i="4"/>
  <c r="F85" i="4"/>
  <c r="U84" i="4"/>
  <c r="F84" i="4"/>
  <c r="U83" i="4"/>
  <c r="F83" i="4"/>
  <c r="U82" i="4"/>
  <c r="F82" i="4"/>
  <c r="U81" i="4"/>
  <c r="F81" i="4"/>
  <c r="U80" i="4"/>
  <c r="F80" i="4"/>
  <c r="U79" i="4"/>
  <c r="F79" i="4"/>
  <c r="U78" i="4"/>
  <c r="F78" i="4"/>
  <c r="U77" i="4"/>
  <c r="F77" i="4"/>
  <c r="U76" i="4"/>
  <c r="F76" i="4"/>
  <c r="U75" i="4"/>
  <c r="F75" i="4"/>
  <c r="U74" i="4"/>
  <c r="F74" i="4"/>
  <c r="U73" i="4"/>
  <c r="F73" i="4"/>
  <c r="U72" i="4"/>
  <c r="F72" i="4"/>
  <c r="U71" i="4"/>
  <c r="F71" i="4"/>
  <c r="U70" i="4"/>
  <c r="F70" i="4"/>
  <c r="U69" i="4"/>
  <c r="F69" i="4"/>
  <c r="U68" i="4"/>
  <c r="F68" i="4"/>
  <c r="U67" i="4"/>
  <c r="F67" i="4"/>
  <c r="U66" i="4"/>
  <c r="U65" i="4"/>
  <c r="F65" i="4"/>
  <c r="U64" i="4"/>
  <c r="F64" i="4"/>
  <c r="U63" i="4"/>
  <c r="F63" i="4"/>
  <c r="U62" i="4"/>
  <c r="F62" i="4"/>
  <c r="U61" i="4"/>
  <c r="F61" i="4"/>
  <c r="U60" i="4"/>
  <c r="F60" i="4"/>
  <c r="U59" i="4"/>
  <c r="F59" i="4"/>
  <c r="U58" i="4"/>
  <c r="F58" i="4"/>
  <c r="U57" i="4"/>
  <c r="F57" i="4"/>
  <c r="U56" i="4"/>
  <c r="F56" i="4"/>
  <c r="U55" i="4"/>
  <c r="F55" i="4"/>
  <c r="U54" i="4"/>
  <c r="F54" i="4"/>
  <c r="U53" i="4"/>
  <c r="F53" i="4"/>
  <c r="U52" i="4"/>
  <c r="F52" i="4"/>
  <c r="U51" i="4"/>
  <c r="F51" i="4"/>
  <c r="U50" i="4"/>
  <c r="F50" i="4"/>
  <c r="U49" i="4"/>
  <c r="F49" i="4"/>
  <c r="U48" i="4"/>
  <c r="F48" i="4"/>
  <c r="U47" i="4"/>
  <c r="F47" i="4"/>
  <c r="F24" i="4"/>
  <c r="F23" i="4"/>
  <c r="F22" i="4"/>
  <c r="F21" i="4"/>
  <c r="U20" i="4"/>
  <c r="F20" i="4"/>
  <c r="F19" i="4"/>
  <c r="F18" i="4"/>
  <c r="F17" i="4"/>
  <c r="F16" i="4"/>
  <c r="U15" i="4"/>
  <c r="F15" i="4"/>
  <c r="U14" i="4"/>
  <c r="F14" i="4"/>
  <c r="U13" i="4"/>
  <c r="F13" i="4"/>
  <c r="U12" i="4"/>
  <c r="F12" i="4"/>
  <c r="U11" i="4"/>
  <c r="F11" i="4"/>
  <c r="U10" i="4"/>
  <c r="U9" i="4"/>
  <c r="F9" i="4"/>
  <c r="U8" i="4"/>
  <c r="F8" i="4"/>
  <c r="U7" i="4"/>
  <c r="F7" i="4"/>
  <c r="U6" i="4"/>
  <c r="F6" i="4"/>
  <c r="F287" i="2"/>
  <c r="F288" i="2"/>
  <c r="F211" i="2"/>
  <c r="F212" i="2"/>
  <c r="F213" i="2"/>
  <c r="F214" i="2"/>
  <c r="F215" i="2"/>
  <c r="F216" i="2"/>
  <c r="F217" i="2"/>
  <c r="F218" i="2"/>
  <c r="F219" i="2"/>
  <c r="F220" i="2"/>
  <c r="F221" i="2"/>
  <c r="F26" i="2"/>
  <c r="F25" i="2"/>
  <c r="F24" i="2"/>
  <c r="F23" i="2"/>
  <c r="F18" i="2"/>
  <c r="F19" i="2"/>
  <c r="F20" i="2"/>
  <c r="F21" i="2"/>
  <c r="F17" i="2"/>
  <c r="U17" i="2"/>
  <c r="U1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46" i="2"/>
  <c r="F245" i="2"/>
  <c r="F244" i="2"/>
  <c r="F243" i="2"/>
  <c r="F242" i="2"/>
  <c r="F286" i="2"/>
  <c r="F285" i="2"/>
  <c r="F170" i="2"/>
  <c r="F169" i="2"/>
  <c r="F155" i="2"/>
  <c r="F156" i="2"/>
  <c r="F157" i="2"/>
  <c r="F158" i="2"/>
  <c r="F159" i="2"/>
  <c r="F160" i="2"/>
  <c r="F119" i="2"/>
  <c r="F161" i="2"/>
  <c r="F16" i="2"/>
  <c r="F163" i="2"/>
  <c r="F164" i="2"/>
  <c r="F165" i="2"/>
  <c r="F166" i="2"/>
  <c r="F167" i="2"/>
  <c r="F168" i="2"/>
  <c r="F180" i="2"/>
  <c r="F15" i="2"/>
  <c r="U15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102" i="2"/>
  <c r="U103" i="2"/>
  <c r="U104" i="2"/>
  <c r="U105" i="2"/>
  <c r="U106" i="2"/>
  <c r="U107" i="2"/>
  <c r="U117" i="2"/>
  <c r="F117" i="2" l="1"/>
  <c r="F115" i="2"/>
  <c r="U115" i="2"/>
  <c r="F114" i="2"/>
  <c r="U114" i="2"/>
  <c r="F113" i="2"/>
  <c r="U113" i="2"/>
  <c r="F112" i="2"/>
  <c r="U112" i="2"/>
  <c r="F111" i="2"/>
  <c r="U111" i="2"/>
  <c r="F282" i="2"/>
  <c r="F283" i="2"/>
  <c r="F284" i="2"/>
  <c r="F281" i="2"/>
  <c r="U7" i="2"/>
  <c r="U8" i="2"/>
  <c r="U9" i="2"/>
  <c r="U13" i="2"/>
  <c r="U14" i="2"/>
  <c r="U22" i="2"/>
  <c r="U34" i="2"/>
  <c r="U35" i="2"/>
  <c r="U36" i="2"/>
  <c r="U37" i="2"/>
  <c r="U38" i="2"/>
  <c r="U39" i="2"/>
  <c r="U40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108" i="2"/>
  <c r="U109" i="2"/>
  <c r="U110" i="2"/>
  <c r="U116" i="2"/>
  <c r="U131" i="2"/>
  <c r="U189" i="2"/>
  <c r="U190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27" i="2"/>
  <c r="U229" i="2"/>
  <c r="U232" i="2"/>
  <c r="U233" i="2"/>
  <c r="U234" i="2"/>
  <c r="U235" i="2"/>
  <c r="U236" i="2"/>
  <c r="U23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6" i="2"/>
  <c r="F7" i="2"/>
  <c r="F8" i="2"/>
  <c r="F9" i="2"/>
  <c r="F14" i="2"/>
  <c r="F22" i="2"/>
  <c r="F36" i="2"/>
  <c r="F37" i="2"/>
  <c r="F38" i="2"/>
  <c r="F39" i="2"/>
  <c r="F40" i="2"/>
  <c r="F43" i="2"/>
  <c r="F44" i="2"/>
  <c r="F45" i="2"/>
  <c r="F46" i="2"/>
  <c r="F47" i="2"/>
  <c r="F48" i="2"/>
  <c r="F49" i="2"/>
  <c r="F50" i="2"/>
  <c r="F51" i="2"/>
  <c r="F52" i="2"/>
  <c r="F54" i="2"/>
  <c r="F55" i="2"/>
  <c r="F56" i="2"/>
  <c r="F57" i="2"/>
  <c r="F58" i="2"/>
  <c r="F59" i="2"/>
  <c r="F60" i="2"/>
  <c r="F61" i="2"/>
  <c r="F62" i="2"/>
  <c r="F63" i="2"/>
  <c r="F66" i="2"/>
  <c r="F67" i="2"/>
  <c r="F68" i="2"/>
  <c r="F69" i="2"/>
  <c r="F70" i="2"/>
  <c r="F71" i="2"/>
  <c r="F72" i="2"/>
  <c r="F73" i="2"/>
  <c r="F84" i="2"/>
  <c r="F85" i="2"/>
  <c r="F86" i="2"/>
  <c r="F87" i="2"/>
  <c r="F88" i="2"/>
  <c r="F89" i="2"/>
  <c r="F90" i="2"/>
  <c r="F91" i="2"/>
  <c r="F92" i="2"/>
  <c r="F93" i="2"/>
  <c r="F94" i="2"/>
  <c r="F102" i="2"/>
  <c r="F103" i="2"/>
  <c r="F104" i="2"/>
  <c r="F105" i="2"/>
  <c r="F106" i="2"/>
  <c r="F107" i="2"/>
  <c r="F108" i="2"/>
  <c r="F109" i="2"/>
  <c r="F110" i="2"/>
  <c r="F116" i="2"/>
  <c r="F131" i="2"/>
  <c r="F189" i="2"/>
  <c r="F190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6" i="2"/>
  <c r="F405" i="2" l="1"/>
</calcChain>
</file>

<file path=xl/sharedStrings.xml><?xml version="1.0" encoding="utf-8"?>
<sst xmlns="http://schemas.openxmlformats.org/spreadsheetml/2006/main" count="1469" uniqueCount="361">
  <si>
    <t>ITEM DESCRIPTION</t>
  </si>
  <si>
    <t>QTY</t>
  </si>
  <si>
    <t>ESTIMATED UNIT PRICE</t>
  </si>
  <si>
    <t>TOTAL ESTIMATED  PRICE</t>
  </si>
  <si>
    <t>USER DEPT</t>
  </si>
  <si>
    <t>PROCUREMENT METHOD</t>
  </si>
  <si>
    <t>SOURCE OF FUNDS</t>
  </si>
  <si>
    <t>YOUTH</t>
  </si>
  <si>
    <t>WOMEN</t>
  </si>
  <si>
    <t>PWD</t>
  </si>
  <si>
    <t>QUARTER REQUIRED</t>
  </si>
  <si>
    <t>1ST</t>
  </si>
  <si>
    <t>2ND</t>
  </si>
  <si>
    <t>3RD</t>
  </si>
  <si>
    <t>4TH</t>
  </si>
  <si>
    <t>KSH</t>
  </si>
  <si>
    <t>OPEN</t>
  </si>
  <si>
    <t>1.Licenses and permits</t>
  </si>
  <si>
    <t>NACOSTI research license</t>
  </si>
  <si>
    <t>WRTI research permit</t>
  </si>
  <si>
    <t>NEMA access permit</t>
  </si>
  <si>
    <t>ISERC ethical permit</t>
  </si>
  <si>
    <t>GOK</t>
  </si>
  <si>
    <t>KSRIC</t>
  </si>
  <si>
    <t>Direct Procurement</t>
  </si>
  <si>
    <t>√</t>
  </si>
  <si>
    <t>2.Medical and veterinary supplies consumables</t>
  </si>
  <si>
    <t>3.Medical and veterinary supplies non consumbles</t>
  </si>
  <si>
    <t>4.TOOLS  AND EQUIPMENT</t>
  </si>
  <si>
    <t>tongs and hooks</t>
  </si>
  <si>
    <t>Antivenom (SAIMR Polyvalent)</t>
  </si>
  <si>
    <t>RFQ</t>
  </si>
  <si>
    <t>5. VEHICLE MAITAINANCE AND FUEL</t>
  </si>
  <si>
    <t>Diesel(fuel) for snake capture work in 6 counties</t>
  </si>
  <si>
    <t>Service of motor vehicles</t>
  </si>
  <si>
    <t>First Aid kit</t>
  </si>
  <si>
    <t>6. Uniforms and Protective gears</t>
  </si>
  <si>
    <t>safety boots</t>
  </si>
  <si>
    <t>body shields</t>
  </si>
  <si>
    <t>heavy duty gloves( hammered)</t>
  </si>
  <si>
    <t>Gaiters</t>
  </si>
  <si>
    <t>Snake capture Tongs 100cm</t>
  </si>
  <si>
    <t>Snake captureTongs 120cm</t>
  </si>
  <si>
    <t>Snake capture hooks-Long</t>
  </si>
  <si>
    <t>Snake capture Hook -medium</t>
  </si>
  <si>
    <t>Restraining tubes</t>
  </si>
  <si>
    <t>7. Laboratory supplies non  consumables</t>
  </si>
  <si>
    <t>beakers</t>
  </si>
  <si>
    <t>STANDS</t>
  </si>
  <si>
    <t xml:space="preserve"> bijous</t>
  </si>
  <si>
    <t>8.Lboratory supplies consumables</t>
  </si>
  <si>
    <t>Eye wash and mounted station</t>
  </si>
  <si>
    <t>Refrigerator (-20° C, +4 °C)</t>
  </si>
  <si>
    <t>Biosafety cabinet Class II B2</t>
  </si>
  <si>
    <t>Analytical weighing balance</t>
  </si>
  <si>
    <t>water bowls/Drinkers</t>
  </si>
  <si>
    <t>Beddings</t>
  </si>
  <si>
    <t>trap boxes</t>
  </si>
  <si>
    <t>UNIT</t>
  </si>
  <si>
    <t>29. Infastructure</t>
  </si>
  <si>
    <t>Installation of HVAC SYSTEM</t>
  </si>
  <si>
    <t>NO</t>
  </si>
  <si>
    <t>Automatic lighting system</t>
  </si>
  <si>
    <t>Snake rooms renovation</t>
  </si>
  <si>
    <t xml:space="preserve">Snake cages </t>
  </si>
  <si>
    <t>snake racks</t>
  </si>
  <si>
    <t>CCTV camera installation and security system</t>
  </si>
  <si>
    <t>Glycerine</t>
  </si>
  <si>
    <t>SDS Powder</t>
  </si>
  <si>
    <t>Glycerol</t>
  </si>
  <si>
    <t>Bromophenol blue</t>
  </si>
  <si>
    <t>Coomassie brilliant blue stain</t>
  </si>
  <si>
    <t>Acetic acid</t>
  </si>
  <si>
    <t>Tris buffer</t>
  </si>
  <si>
    <t>serological pipettes 5ml</t>
  </si>
  <si>
    <t>serological pipettes 10ml</t>
  </si>
  <si>
    <t>serological pipettes 25ml</t>
  </si>
  <si>
    <t>serological pipettes 50 ml</t>
  </si>
  <si>
    <t>pc</t>
  </si>
  <si>
    <t xml:space="preserve">Gel electrophoresis system (casting plates, electrode assembly, companion running module, buffer tank and lid, casting stand and frames, Power Pac </t>
  </si>
  <si>
    <t>no</t>
  </si>
  <si>
    <t>absolute ethanol</t>
  </si>
  <si>
    <t>absolute methanol</t>
  </si>
  <si>
    <t xml:space="preserve"> 10X PBS </t>
  </si>
  <si>
    <t>50ml falcon tubes</t>
  </si>
  <si>
    <t>filtered tips( 10ul)</t>
  </si>
  <si>
    <t>filtered tips( 200ul)</t>
  </si>
  <si>
    <t>filtered tips(1000ul)</t>
  </si>
  <si>
    <t>Eppendorf tubes (1.5ml)</t>
  </si>
  <si>
    <t>bottles</t>
  </si>
  <si>
    <t>pkt</t>
  </si>
  <si>
    <t>box</t>
  </si>
  <si>
    <t>Tips( 200ul) yellow</t>
  </si>
  <si>
    <t>sodium phosphate monobasic</t>
  </si>
  <si>
    <t>sodium phosphate dibasic</t>
  </si>
  <si>
    <t>sodium phosphate tribasic</t>
  </si>
  <si>
    <t>500gm</t>
  </si>
  <si>
    <t>PH Meter standards 4.0 (100ml)</t>
  </si>
  <si>
    <t>PH Meter standards 7.01(100ml)</t>
  </si>
  <si>
    <t>PH Meter standards storage(100ml)</t>
  </si>
  <si>
    <t>0.2 µm filter, Nalgene rapid flow sterile disposable filter units with PES membranes(pack of 12)</t>
  </si>
  <si>
    <t>Thermo orbitrap Fusion Lumos Mass spectrometer</t>
  </si>
  <si>
    <t>No</t>
  </si>
  <si>
    <t>Microplate Spectophotometer (Preferred wavelength range 200 -999 nm)</t>
  </si>
  <si>
    <t>Illumina Hiseq 2500</t>
  </si>
  <si>
    <t>Pkt</t>
  </si>
  <si>
    <t>Vacutainer clot activator tubes</t>
  </si>
  <si>
    <t xml:space="preserve">96 well plates (Nunc flat bottom),  </t>
  </si>
  <si>
    <t>Soy Milk</t>
  </si>
  <si>
    <t>Horseradish Peroxidese-Conjugated Rabbit anti-horse 1gG secondary antibody</t>
  </si>
  <si>
    <t>Coating Buffer Tablets</t>
  </si>
  <si>
    <t xml:space="preserve">Citric Acid </t>
  </si>
  <si>
    <t>ABTZ Tablets</t>
  </si>
  <si>
    <t xml:space="preserve">Tween 20 </t>
  </si>
  <si>
    <t>Automatic pipet aid</t>
  </si>
  <si>
    <t>negative 80 freezer</t>
  </si>
  <si>
    <t>Tips (1000ul)blue</t>
  </si>
  <si>
    <t>Columns ( Sephadex G25 desalting column, RP-HPLC, Hydrophobic interactions columns)</t>
  </si>
  <si>
    <t>nos</t>
  </si>
  <si>
    <t>litres</t>
  </si>
  <si>
    <t>pcs</t>
  </si>
  <si>
    <t>pair</t>
  </si>
  <si>
    <t>Open tender</t>
  </si>
  <si>
    <t>open tender</t>
  </si>
  <si>
    <t>NOS</t>
  </si>
  <si>
    <t>Hydrogen Peroxide H2O2 (2.5L)</t>
  </si>
  <si>
    <t>Pipettes P10</t>
  </si>
  <si>
    <t>Pipettes P20</t>
  </si>
  <si>
    <t>Pipettes P200</t>
  </si>
  <si>
    <t>Pipettes P1000)</t>
  </si>
  <si>
    <t xml:space="preserve">12 Multichannel pipettes 30 - 300 µl  </t>
  </si>
  <si>
    <t>12 Multichannel Pipettes 10 - 100 µl</t>
  </si>
  <si>
    <t>SAIMR monovalent antivenom(Boomslang), EchiTab-Plusmonovalent antivenom , Saimr polyvalent</t>
  </si>
  <si>
    <t>PKT</t>
  </si>
  <si>
    <t>Petridishes</t>
  </si>
  <si>
    <t>NaCL</t>
  </si>
  <si>
    <t>NaOH</t>
  </si>
  <si>
    <t>Purified protease from bovine plasma</t>
  </si>
  <si>
    <t>DNA from calf thymus</t>
  </si>
  <si>
    <t xml:space="preserve">CaCL2  </t>
  </si>
  <si>
    <t>kg</t>
  </si>
  <si>
    <t>Agarose  500g</t>
  </si>
  <si>
    <t>boxes</t>
  </si>
  <si>
    <t>Sodium Phosphate( 500gm)</t>
  </si>
  <si>
    <t>Trichloroacetic acid( 500ml)</t>
  </si>
  <si>
    <t>sodium citrate tubes( 6ml)</t>
  </si>
  <si>
    <t>pkts</t>
  </si>
  <si>
    <t>Gelatin, (500gm)</t>
  </si>
  <si>
    <t xml:space="preserve">Triton X-100 </t>
  </si>
  <si>
    <t>Azocasein 5gm</t>
  </si>
  <si>
    <t>Human fibronogen ( 100mg)</t>
  </si>
  <si>
    <t>sachets</t>
  </si>
  <si>
    <t>9.Laboratory chemicals, reagents and kits</t>
  </si>
  <si>
    <t>kit</t>
  </si>
  <si>
    <t>One Taq 2X master mix</t>
  </si>
  <si>
    <t xml:space="preserve">Phusion Green hot star 11 high fidelity PCR master mix </t>
  </si>
  <si>
    <t xml:space="preserve">DNA sequencing </t>
  </si>
  <si>
    <t>sample</t>
  </si>
  <si>
    <t>DNA extraction kit</t>
  </si>
  <si>
    <t>purchase /lease of land for animal research</t>
  </si>
  <si>
    <t xml:space="preserve">purchase of horses </t>
  </si>
  <si>
    <t>ELISA washer and dispenser</t>
  </si>
  <si>
    <t>nitrocellulose membrane</t>
  </si>
  <si>
    <t>Diaminobenzidine( DAB) substrate</t>
  </si>
  <si>
    <t>primary and secondary antibody(elisa)</t>
  </si>
  <si>
    <t>Dried skimmed milk</t>
  </si>
  <si>
    <t xml:space="preserve">Transblot transfer system </t>
  </si>
  <si>
    <t>IgG purification kit</t>
  </si>
  <si>
    <t>Dialysis cassettes</t>
  </si>
  <si>
    <t>concetration devices</t>
  </si>
  <si>
    <t xml:space="preserve">Caprylic acid, </t>
  </si>
  <si>
    <t>ammonium sulfate</t>
  </si>
  <si>
    <t>NaCl</t>
  </si>
  <si>
    <t xml:space="preserve"> 0.22 µm filters</t>
  </si>
  <si>
    <t>pepsin</t>
  </si>
  <si>
    <t>PLC (AKTA pure)Protein A/G affinity chromatography columns (HiTrap Protein A HP 5ml and HiTrap Protein G HP 5ml)</t>
  </si>
  <si>
    <t>CD-1 MICE PROCUREMENT</t>
  </si>
  <si>
    <t>Rodent house renovation and construction of preclinical testing lab</t>
  </si>
  <si>
    <t>Water bottles</t>
  </si>
  <si>
    <t>Racks</t>
  </si>
  <si>
    <t xml:space="preserve">Mice Cages </t>
  </si>
  <si>
    <t>10.Laboratory tools and equipments</t>
  </si>
  <si>
    <t>11.Colony Supplies</t>
  </si>
  <si>
    <t>12.New snake cages</t>
  </si>
  <si>
    <t>13.F00D FOR PRIMATES AND SMALL ANIMALS</t>
  </si>
  <si>
    <t>Mice beddings</t>
  </si>
  <si>
    <t>mice feeds</t>
  </si>
  <si>
    <t>bag</t>
  </si>
  <si>
    <t>Autoclave</t>
  </si>
  <si>
    <t>cotton wool</t>
  </si>
  <si>
    <t>dissecting kit</t>
  </si>
  <si>
    <t>formaldehyde</t>
  </si>
  <si>
    <t>surgical spirit</t>
  </si>
  <si>
    <t>30 gauge insulin syringes</t>
  </si>
  <si>
    <t>roll</t>
  </si>
  <si>
    <t>2.5litres</t>
  </si>
  <si>
    <t>5litres</t>
  </si>
  <si>
    <t xml:space="preserve">Setting up a production unit at KIPRE </t>
  </si>
  <si>
    <t>Bio hazards bags</t>
  </si>
  <si>
    <t>Disposable bags</t>
  </si>
  <si>
    <t>Dustbins</t>
  </si>
  <si>
    <t>Nitrile gloves medium</t>
  </si>
  <si>
    <t>Nitrile gloves small</t>
  </si>
  <si>
    <t>Nitrile  gloves-Large</t>
  </si>
  <si>
    <t>No.</t>
  </si>
  <si>
    <t>Beakers</t>
  </si>
  <si>
    <t>Beakers 50ml</t>
  </si>
  <si>
    <t>Beakers100ml</t>
  </si>
  <si>
    <t>Beakers 250ml</t>
  </si>
  <si>
    <t>Beakers 500ml</t>
  </si>
  <si>
    <t>Beakers 1000ml</t>
  </si>
  <si>
    <t>Conical Flask 25ml</t>
  </si>
  <si>
    <t>Conical Flask 50ml</t>
  </si>
  <si>
    <t>Conical Flask 100ml</t>
  </si>
  <si>
    <t>Conical Flask 250ml</t>
  </si>
  <si>
    <t>Conical Flask 500ml</t>
  </si>
  <si>
    <t>Conical Flask 1000ml</t>
  </si>
  <si>
    <t>Wash Bottles 500ml</t>
  </si>
  <si>
    <t>Spray Bottles 500ml</t>
  </si>
  <si>
    <t>Liquid nitrogen tank</t>
  </si>
  <si>
    <t>Medium centrifuge</t>
  </si>
  <si>
    <t>lab stools</t>
  </si>
  <si>
    <t>Vortexer</t>
  </si>
  <si>
    <t>Eye wash and mounted stations</t>
  </si>
  <si>
    <t>Class II Biosafet cabinet</t>
  </si>
  <si>
    <t>Power supply extension</t>
  </si>
  <si>
    <t>UPS</t>
  </si>
  <si>
    <t>Water distiller system</t>
  </si>
  <si>
    <t>50ml</t>
  </si>
  <si>
    <t>plus 5 and minus 20 refrigerator double door 635 litres</t>
  </si>
  <si>
    <t>safety Googles</t>
  </si>
  <si>
    <t>lab coats</t>
  </si>
  <si>
    <t>Laboratory renovations</t>
  </si>
  <si>
    <t>14.TRAINING,WORKSHOPS AND CONFERENCES</t>
  </si>
  <si>
    <t xml:space="preserve">STAFF TRAINING </t>
  </si>
  <si>
    <t>15.AIR TICKETS EXPENSES</t>
  </si>
  <si>
    <t>BENCHMARKING TRIP</t>
  </si>
  <si>
    <t>TICKET</t>
  </si>
  <si>
    <t>tickets</t>
  </si>
  <si>
    <t>lab coats branded</t>
  </si>
  <si>
    <t xml:space="preserve"> Bijous</t>
  </si>
  <si>
    <t xml:space="preserve">Tris buffer </t>
  </si>
  <si>
    <t>Mice feeds</t>
  </si>
  <si>
    <t>16. INFRASTRUCTURE</t>
  </si>
  <si>
    <t>laptops</t>
  </si>
  <si>
    <t>Projector</t>
  </si>
  <si>
    <t>tablets</t>
  </si>
  <si>
    <t>Tablets</t>
  </si>
  <si>
    <t>Power Bank</t>
  </si>
  <si>
    <t>Printer</t>
  </si>
  <si>
    <t>18.STATIONERIES AND PRINTING</t>
  </si>
  <si>
    <t xml:space="preserve">Flip chart </t>
  </si>
  <si>
    <t>Flip chart stand</t>
  </si>
  <si>
    <t>Roller Banners</t>
  </si>
  <si>
    <t>Snake bite emergency kit</t>
  </si>
  <si>
    <t>19.purchase of new motor vehicle</t>
  </si>
  <si>
    <t>computer software</t>
  </si>
  <si>
    <t>4x4 motor vehicle loaded with GPS COMMUNICATION ACCESSORIES</t>
  </si>
  <si>
    <t>Double cabin motor vehicle loaded with GPS communication accessories</t>
  </si>
  <si>
    <t>Desktop computers</t>
  </si>
  <si>
    <t>External hard disk 3TB</t>
  </si>
  <si>
    <t>M &amp;E tools and software network</t>
  </si>
  <si>
    <t>ISO Certificate</t>
  </si>
  <si>
    <t xml:space="preserve">Mini Centrifuge </t>
  </si>
  <si>
    <t>Thermocycler</t>
  </si>
  <si>
    <t>BD Facs Melody Cell Sorter</t>
  </si>
  <si>
    <t>Negative 80 freezer</t>
  </si>
  <si>
    <t>Tear Drops</t>
  </si>
  <si>
    <t xml:space="preserve">Elisa 96 well plates (Nunc flat bottom),  </t>
  </si>
  <si>
    <t>Box</t>
  </si>
  <si>
    <t>Filtered Tips( 10ul)</t>
  </si>
  <si>
    <t>Filtered Tips( 200ul)</t>
  </si>
  <si>
    <t>Filtered Tips(1000ul)</t>
  </si>
  <si>
    <t>50ml Falcon Tubes</t>
  </si>
  <si>
    <t>Serological pipettes 5ml</t>
  </si>
  <si>
    <t>Serological pipettes 10ml</t>
  </si>
  <si>
    <t>Serological pipettes 25ml</t>
  </si>
  <si>
    <t>Serological pipettes 50 ml</t>
  </si>
  <si>
    <t>8.Lboratory Supplies Consumables</t>
  </si>
  <si>
    <t>9.Laboratory Chemicals, Reagents and kits</t>
  </si>
  <si>
    <t>Bags</t>
  </si>
  <si>
    <t>Trap boxes</t>
  </si>
  <si>
    <t>Water bowls/Drinkers</t>
  </si>
  <si>
    <t xml:space="preserve">Fume Hood </t>
  </si>
  <si>
    <t>Chest Freezer 480L</t>
  </si>
  <si>
    <t>HVAC Systems at Herptarium</t>
  </si>
  <si>
    <t>Automatic Lighting System  at Herptarium</t>
  </si>
  <si>
    <t xml:space="preserve">CCTV Cameras Installation </t>
  </si>
  <si>
    <t xml:space="preserve">Installation Smoke detectors </t>
  </si>
  <si>
    <t>Installation Motion Sensor Cameras</t>
  </si>
  <si>
    <t>Torch</t>
  </si>
  <si>
    <t>GPS Communicaton Devices</t>
  </si>
  <si>
    <t>Voice Recorder</t>
  </si>
  <si>
    <t>External Hards Disk 3TB</t>
  </si>
  <si>
    <t>Health Montering Devices</t>
  </si>
  <si>
    <t>N vivo qual Analysis Software License</t>
  </si>
  <si>
    <t>Digital Cameras</t>
  </si>
  <si>
    <t>Geotagging Machine</t>
  </si>
  <si>
    <t>Autoclave Machine</t>
  </si>
  <si>
    <t>Alluminium Troys</t>
  </si>
  <si>
    <t>Np.</t>
  </si>
  <si>
    <t>High Defination Binoculars</t>
  </si>
  <si>
    <t>fuel for snake mapping</t>
  </si>
  <si>
    <t xml:space="preserve">Vehicle maintainance </t>
  </si>
  <si>
    <t>several</t>
  </si>
  <si>
    <t>conference facilities</t>
  </si>
  <si>
    <t>lot</t>
  </si>
  <si>
    <t>Air ticket</t>
  </si>
  <si>
    <t>TICKETS</t>
  </si>
  <si>
    <t>lots</t>
  </si>
  <si>
    <t>20. Electricals</t>
  </si>
  <si>
    <t>21.Publicity expenses</t>
  </si>
  <si>
    <t>Media expenses</t>
  </si>
  <si>
    <t>Printing materials,data collection material and training material</t>
  </si>
  <si>
    <t>Bromophenol blue 25g</t>
  </si>
  <si>
    <t>Coomassie brilliant blue stain 25g</t>
  </si>
  <si>
    <t xml:space="preserve"> 10X PBS  1litre</t>
  </si>
  <si>
    <t>PH Meter standards 4.0 (1L)</t>
  </si>
  <si>
    <t>PH Meter standards 7.01(1L)</t>
  </si>
  <si>
    <t>PH Meter standards storage(1L)</t>
  </si>
  <si>
    <t>Tween 20 100ml</t>
  </si>
  <si>
    <t>NETWORK ASSISTED STORAGE 10TB</t>
  </si>
  <si>
    <t>Printer EcosystemM3145idn</t>
  </si>
  <si>
    <t>22.TONERS AND CATRIDGES</t>
  </si>
  <si>
    <t>Catridges for Ecosystem</t>
  </si>
  <si>
    <t>printing papers</t>
  </si>
  <si>
    <t>Branded  pens</t>
  </si>
  <si>
    <t>highlighters</t>
  </si>
  <si>
    <t>Paper flip charts</t>
  </si>
  <si>
    <t>rolls</t>
  </si>
  <si>
    <t>Pencils</t>
  </si>
  <si>
    <t>White out</t>
  </si>
  <si>
    <t>Yellow stickers</t>
  </si>
  <si>
    <t>Box file</t>
  </si>
  <si>
    <t xml:space="preserve"> Spring files</t>
  </si>
  <si>
    <t>Folders</t>
  </si>
  <si>
    <t>Portfolio</t>
  </si>
  <si>
    <t>Staplers</t>
  </si>
  <si>
    <t>Staple pins</t>
  </si>
  <si>
    <t>Thumb pin</t>
  </si>
  <si>
    <t>Paper punch</t>
  </si>
  <si>
    <t>Binders</t>
  </si>
  <si>
    <t>Paper Cutter</t>
  </si>
  <si>
    <t>Standing board</t>
  </si>
  <si>
    <t>23.OFFICE FURNITURE AND EQUIPMENT</t>
  </si>
  <si>
    <t>Office cabinets</t>
  </si>
  <si>
    <t>Binding  machines</t>
  </si>
  <si>
    <t>Biological microscope MSC-B5005M</t>
  </si>
  <si>
    <t>microscope camera BUC1D-830C( mount usb2.0 cmos)</t>
  </si>
  <si>
    <t xml:space="preserve"> </t>
  </si>
  <si>
    <t xml:space="preserve">Camera </t>
  </si>
  <si>
    <t>One Digital camera</t>
  </si>
  <si>
    <t>24. SOFTWARES</t>
  </si>
  <si>
    <r>
      <t>17.</t>
    </r>
    <r>
      <rPr>
        <b/>
        <sz val="12"/>
        <color theme="1"/>
        <rFont val="Calibri"/>
        <family val="2"/>
        <scheme val="minor"/>
      </rPr>
      <t>Computer hardware and accessories</t>
    </r>
  </si>
  <si>
    <t>Graph pad prism software((academic package 10 users package)</t>
  </si>
  <si>
    <t>SPSS Software single user</t>
  </si>
  <si>
    <t>Turnitin software</t>
  </si>
  <si>
    <t>Subscription per year for 100 students</t>
  </si>
  <si>
    <t>Geneious software</t>
  </si>
  <si>
    <t>15.insurance</t>
  </si>
  <si>
    <t>Travel 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</si>
</sst>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-* #,##0.00_-;\-* #,##0.00_-;_-* &quot;-&quot;??_-;_-@_-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Wingdings"/>
      <charset val="2"/>
    </font>
    <font>
      <sz val="12"/>
      <color theme="1"/>
      <name val="Times New Roman"/>
      <family val="1"/>
    </font>
    <font>
      <sz val="11"/>
      <color theme="1"/>
      <name val="Agency FB"/>
      <family val="2"/>
    </font>
    <font>
      <b/>
      <sz val="11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7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64" fontId="0" fillId="0" borderId="1" xfId="1" applyFont="1" applyBorder="1"/>
    <xf numFmtId="0" fontId="4" fillId="0" borderId="1" xfId="0" applyFont="1" applyBorder="1"/>
    <xf numFmtId="0" fontId="2" fillId="0" borderId="1" xfId="0" applyFont="1" applyBorder="1" applyAlignment="1">
      <alignment horizontal="left" vertical="top"/>
    </xf>
    <xf numFmtId="0" fontId="2" fillId="0" borderId="2" xfId="0" applyFont="1" applyBorder="1"/>
    <xf numFmtId="0" fontId="2" fillId="0" borderId="3" xfId="0" applyFont="1" applyBorder="1" applyAlignment="1">
      <alignment wrapText="1"/>
    </xf>
    <xf numFmtId="0" fontId="2" fillId="0" borderId="3" xfId="0" applyFont="1" applyBorder="1"/>
    <xf numFmtId="0" fontId="2" fillId="0" borderId="1" xfId="0" applyFont="1" applyBorder="1" applyAlignment="1">
      <alignment horizontal="center" wrapText="1"/>
    </xf>
    <xf numFmtId="0" fontId="2" fillId="0" borderId="8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6" fillId="0" borderId="1" xfId="0" applyFont="1" applyBorder="1"/>
    <xf numFmtId="3" fontId="0" fillId="0" borderId="0" xfId="0" applyNumberFormat="1"/>
    <xf numFmtId="43" fontId="0" fillId="0" borderId="1" xfId="0" applyNumberFormat="1" applyBorder="1"/>
    <xf numFmtId="0" fontId="5" fillId="2" borderId="1" xfId="0" applyFont="1" applyFill="1" applyBorder="1" applyAlignment="1">
      <alignment vertical="center" wrapText="1"/>
    </xf>
    <xf numFmtId="0" fontId="0" fillId="2" borderId="1" xfId="0" applyFill="1" applyBorder="1"/>
    <xf numFmtId="0" fontId="0" fillId="2" borderId="0" xfId="0" applyFill="1"/>
    <xf numFmtId="3" fontId="5" fillId="2" borderId="1" xfId="0" applyNumberFormat="1" applyFont="1" applyFill="1" applyBorder="1" applyAlignment="1">
      <alignment vertical="center" wrapText="1"/>
    </xf>
    <xf numFmtId="0" fontId="0" fillId="0" borderId="2" xfId="0" applyBorder="1"/>
    <xf numFmtId="0" fontId="5" fillId="0" borderId="1" xfId="0" applyFont="1" applyFill="1" applyBorder="1" applyAlignment="1">
      <alignment vertical="center" wrapText="1"/>
    </xf>
    <xf numFmtId="164" fontId="0" fillId="2" borderId="1" xfId="1" applyFont="1" applyFill="1" applyBorder="1"/>
    <xf numFmtId="0" fontId="0" fillId="0" borderId="3" xfId="0" applyFill="1" applyBorder="1"/>
    <xf numFmtId="0" fontId="0" fillId="0" borderId="1" xfId="0" applyBorder="1" applyAlignment="1">
      <alignment wrapText="1"/>
    </xf>
    <xf numFmtId="0" fontId="7" fillId="0" borderId="1" xfId="0" applyFont="1" applyBorder="1"/>
    <xf numFmtId="3" fontId="0" fillId="0" borderId="1" xfId="0" applyNumberFormat="1" applyBorder="1"/>
    <xf numFmtId="0" fontId="5" fillId="2" borderId="3" xfId="0" applyFont="1" applyFill="1" applyBorder="1" applyAlignment="1">
      <alignment vertical="center" wrapText="1"/>
    </xf>
    <xf numFmtId="0" fontId="5" fillId="4" borderId="1" xfId="0" applyFont="1" applyFill="1" applyBorder="1" applyAlignment="1">
      <alignment vertical="center" wrapText="1"/>
    </xf>
    <xf numFmtId="0" fontId="5" fillId="5" borderId="1" xfId="0" applyFont="1" applyFill="1" applyBorder="1" applyAlignment="1">
      <alignment vertical="center" wrapText="1"/>
    </xf>
    <xf numFmtId="0" fontId="5" fillId="6" borderId="1" xfId="0" applyFont="1" applyFill="1" applyBorder="1" applyAlignment="1">
      <alignment vertical="center" wrapText="1"/>
    </xf>
    <xf numFmtId="164" fontId="0" fillId="0" borderId="0" xfId="1" applyFont="1" applyBorder="1"/>
    <xf numFmtId="0" fontId="0" fillId="2" borderId="0" xfId="0" applyFill="1" applyBorder="1"/>
    <xf numFmtId="0" fontId="5" fillId="2" borderId="0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wrapText="1"/>
    </xf>
    <xf numFmtId="0" fontId="5" fillId="2" borderId="1" xfId="0" applyFont="1" applyFill="1" applyBorder="1"/>
    <xf numFmtId="3" fontId="5" fillId="2" borderId="1" xfId="0" applyNumberFormat="1" applyFont="1" applyFill="1" applyBorder="1"/>
    <xf numFmtId="0" fontId="2" fillId="0" borderId="1" xfId="0" applyFont="1" applyBorder="1" applyAlignment="1">
      <alignment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3" fontId="0" fillId="7" borderId="1" xfId="0" applyNumberFormat="1" applyFill="1" applyBorder="1"/>
    <xf numFmtId="0" fontId="0" fillId="7" borderId="3" xfId="0" applyFill="1" applyBorder="1"/>
    <xf numFmtId="0" fontId="0" fillId="7" borderId="3" xfId="0" applyFill="1" applyBorder="1" applyAlignment="1">
      <alignment wrapText="1"/>
    </xf>
    <xf numFmtId="0" fontId="0" fillId="3" borderId="1" xfId="0" applyFill="1" applyBorder="1"/>
    <xf numFmtId="164" fontId="0" fillId="3" borderId="1" xfId="1" applyFont="1" applyFill="1" applyBorder="1"/>
    <xf numFmtId="0" fontId="6" fillId="3" borderId="1" xfId="0" applyFont="1" applyFill="1" applyBorder="1"/>
    <xf numFmtId="0" fontId="5" fillId="7" borderId="1" xfId="0" applyFont="1" applyFill="1" applyBorder="1" applyAlignment="1">
      <alignment vertical="center" wrapText="1"/>
    </xf>
    <xf numFmtId="164" fontId="0" fillId="7" borderId="1" xfId="1" applyFont="1" applyFill="1" applyBorder="1"/>
    <xf numFmtId="0" fontId="4" fillId="7" borderId="1" xfId="0" applyFont="1" applyFill="1" applyBorder="1"/>
    <xf numFmtId="43" fontId="0" fillId="7" borderId="1" xfId="0" applyNumberFormat="1" applyFill="1" applyBorder="1"/>
    <xf numFmtId="0" fontId="0" fillId="7" borderId="0" xfId="0" applyFill="1"/>
    <xf numFmtId="0" fontId="2" fillId="7" borderId="1" xfId="0" applyFont="1" applyFill="1" applyBorder="1"/>
    <xf numFmtId="0" fontId="0" fillId="7" borderId="1" xfId="0" applyFont="1" applyFill="1" applyBorder="1"/>
    <xf numFmtId="0" fontId="0" fillId="7" borderId="1" xfId="0" applyFont="1" applyFill="1" applyBorder="1" applyAlignment="1">
      <alignment wrapText="1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2" fillId="0" borderId="4" xfId="0" applyFont="1" applyBorder="1" applyAlignment="1">
      <alignment horizontal="center" wrapText="1"/>
    </xf>
    <xf numFmtId="0" fontId="2" fillId="0" borderId="5" xfId="0" applyFont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0" borderId="7" xfId="0" applyFont="1" applyBorder="1" applyAlignment="1">
      <alignment horizontal="center" wrapText="1"/>
    </xf>
    <xf numFmtId="0" fontId="2" fillId="0" borderId="8" xfId="0" applyFont="1" applyBorder="1" applyAlignment="1">
      <alignment horizontal="center" wrapText="1"/>
    </xf>
    <xf numFmtId="164" fontId="0" fillId="2" borderId="0" xfId="0" applyNumberFormat="1" applyFill="1"/>
    <xf numFmtId="164" fontId="0" fillId="0" borderId="3" xfId="1" applyFont="1" applyFill="1" applyBorder="1"/>
    <xf numFmtId="0" fontId="0" fillId="3" borderId="1" xfId="0" applyFill="1" applyBorder="1" applyAlignment="1">
      <alignment wrapText="1"/>
    </xf>
    <xf numFmtId="43" fontId="0" fillId="2" borderId="1" xfId="0" applyNumberFormat="1" applyFill="1" applyBorder="1"/>
    <xf numFmtId="0" fontId="2" fillId="2" borderId="1" xfId="0" applyFont="1" applyFill="1" applyBorder="1"/>
    <xf numFmtId="0" fontId="9" fillId="2" borderId="1" xfId="0" applyFont="1" applyFill="1" applyBorder="1"/>
    <xf numFmtId="43" fontId="0" fillId="3" borderId="1" xfId="0" applyNumberFormat="1" applyFill="1" applyBorder="1"/>
    <xf numFmtId="0" fontId="0" fillId="3" borderId="0" xfId="0" applyFill="1"/>
    <xf numFmtId="0" fontId="0" fillId="2" borderId="1" xfId="0" applyFill="1" applyBorder="1" applyAlignment="1">
      <alignment wrapText="1"/>
    </xf>
    <xf numFmtId="3" fontId="0" fillId="2" borderId="1" xfId="0" applyNumberFormat="1" applyFill="1" applyBorder="1"/>
    <xf numFmtId="0" fontId="0" fillId="8" borderId="1" xfId="0" applyFill="1" applyBorder="1"/>
    <xf numFmtId="164" fontId="0" fillId="8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65" cy="172227"/>
    <xdr:sp macro="" textlink="">
      <xdr:nvSpPr>
        <xdr:cNvPr id="2" name="TextBox 1"/>
        <xdr:cNvSpPr txBox="1"/>
      </xdr:nvSpPr>
      <xdr:spPr>
        <a:xfrm>
          <a:off x="6638925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523875</xdr:colOff>
      <xdr:row>7</xdr:row>
      <xdr:rowOff>157162</xdr:rowOff>
    </xdr:from>
    <xdr:ext cx="65" cy="172227"/>
    <xdr:sp macro="" textlink="">
      <xdr:nvSpPr>
        <xdr:cNvPr id="2" name="TextBox 1"/>
        <xdr:cNvSpPr txBox="1"/>
      </xdr:nvSpPr>
      <xdr:spPr>
        <a:xfrm>
          <a:off x="5943600" y="1871662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39"/>
  <sheetViews>
    <sheetView zoomScaleNormal="100" workbookViewId="0">
      <selection activeCell="F13" sqref="F13"/>
    </sheetView>
  </sheetViews>
  <sheetFormatPr defaultRowHeight="15" x14ac:dyDescent="0.25"/>
  <cols>
    <col min="1" max="1" width="15" customWidth="1"/>
    <col min="2" max="2" width="29.85546875" customWidth="1"/>
    <col min="3" max="3" width="7.85546875" customWidth="1"/>
    <col min="4" max="4" width="5" bestFit="1" customWidth="1"/>
    <col min="5" max="5" width="16.7109375" customWidth="1"/>
    <col min="6" max="6" width="17.28515625" customWidth="1"/>
    <col min="7" max="7" width="10" customWidth="1"/>
    <col min="8" max="8" width="19.140625" customWidth="1"/>
    <col min="9" max="9" width="11.7109375" customWidth="1"/>
    <col min="20" max="20" width="9.7109375" customWidth="1"/>
    <col min="21" max="21" width="16.140625" customWidth="1"/>
  </cols>
  <sheetData>
    <row r="2" spans="1:21" ht="45" x14ac:dyDescent="0.25">
      <c r="A2" s="7"/>
      <c r="B2" s="8" t="s">
        <v>0</v>
      </c>
      <c r="C2" s="8" t="s">
        <v>58</v>
      </c>
      <c r="D2" s="9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9" t="s">
        <v>7</v>
      </c>
      <c r="K2" s="9" t="s">
        <v>8</v>
      </c>
      <c r="L2" s="9" t="s">
        <v>9</v>
      </c>
      <c r="M2" s="9" t="s">
        <v>16</v>
      </c>
      <c r="N2" s="56" t="s">
        <v>10</v>
      </c>
      <c r="O2" s="57"/>
      <c r="P2" s="57"/>
      <c r="Q2" s="57"/>
      <c r="R2" s="57"/>
      <c r="S2" s="57"/>
      <c r="T2" s="57"/>
      <c r="U2" s="58"/>
    </row>
    <row r="3" spans="1:21" x14ac:dyDescent="0.25">
      <c r="A3" s="7"/>
      <c r="B3" s="8"/>
      <c r="C3" s="8"/>
      <c r="D3" s="9"/>
      <c r="E3" s="8"/>
      <c r="F3" s="8"/>
      <c r="G3" s="8"/>
      <c r="H3" s="8"/>
      <c r="I3" s="8"/>
      <c r="J3" s="9"/>
      <c r="K3" s="9"/>
      <c r="L3" s="9"/>
      <c r="M3" s="9"/>
      <c r="N3" s="59" t="s">
        <v>11</v>
      </c>
      <c r="O3" s="60"/>
      <c r="P3" s="59" t="s">
        <v>12</v>
      </c>
      <c r="Q3" s="60"/>
      <c r="R3" s="59" t="s">
        <v>13</v>
      </c>
      <c r="S3" s="60"/>
      <c r="T3" s="59" t="s">
        <v>14</v>
      </c>
      <c r="U3" s="60"/>
    </row>
    <row r="4" spans="1:21" x14ac:dyDescent="0.25">
      <c r="A4" s="7"/>
      <c r="B4" s="8"/>
      <c r="C4" s="8"/>
      <c r="D4" s="9"/>
      <c r="E4" s="8"/>
      <c r="F4" s="8"/>
      <c r="G4" s="8"/>
      <c r="H4" s="8"/>
      <c r="I4" s="8"/>
      <c r="J4" s="9"/>
      <c r="K4" s="9"/>
      <c r="L4" s="9"/>
      <c r="M4" s="9"/>
      <c r="N4" t="s">
        <v>1</v>
      </c>
      <c r="O4" s="10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x14ac:dyDescent="0.25">
      <c r="A5" s="3" t="s">
        <v>17</v>
      </c>
      <c r="B5" s="6"/>
      <c r="C5" s="6"/>
      <c r="D5" s="1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13" t="s">
        <v>25</v>
      </c>
      <c r="N6" s="1"/>
      <c r="O6" s="1"/>
      <c r="P6" s="1"/>
      <c r="Q6" s="1"/>
      <c r="R6" s="1"/>
      <c r="S6" s="1"/>
      <c r="T6" s="1"/>
      <c r="U6" s="15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118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13" t="s">
        <v>25</v>
      </c>
      <c r="N7" s="1"/>
      <c r="O7" s="1"/>
      <c r="P7" s="1"/>
      <c r="Q7" s="1"/>
      <c r="R7" s="1"/>
      <c r="S7" s="1"/>
      <c r="T7" s="1">
        <v>1</v>
      </c>
      <c r="U7" s="15">
        <f t="shared" ref="U7:U118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13" t="s">
        <v>25</v>
      </c>
      <c r="N8" s="1"/>
      <c r="O8" s="1"/>
      <c r="P8" s="1"/>
      <c r="Q8" s="1"/>
      <c r="R8" s="1"/>
      <c r="S8" s="1"/>
      <c r="T8" s="1">
        <v>1</v>
      </c>
      <c r="U8" s="15">
        <f t="shared" si="1"/>
        <v>50000</v>
      </c>
    </row>
    <row r="9" spans="1:21" x14ac:dyDescent="0.25">
      <c r="A9" s="1">
        <v>4</v>
      </c>
      <c r="B9" s="1" t="s">
        <v>21</v>
      </c>
      <c r="C9" s="1"/>
      <c r="D9" s="1">
        <v>1</v>
      </c>
      <c r="E9" s="4">
        <v>13300</v>
      </c>
      <c r="F9" s="4">
        <f t="shared" si="0"/>
        <v>13300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13" t="s">
        <v>25</v>
      </c>
      <c r="N9" s="1"/>
      <c r="O9" s="1"/>
      <c r="P9" s="1"/>
      <c r="Q9" s="1"/>
      <c r="R9" s="1"/>
      <c r="S9" s="1"/>
      <c r="T9" s="1">
        <v>1</v>
      </c>
      <c r="U9" s="15">
        <f t="shared" si="1"/>
        <v>13300</v>
      </c>
    </row>
    <row r="10" spans="1:21" x14ac:dyDescent="0.25">
      <c r="A10" s="3" t="s">
        <v>26</v>
      </c>
      <c r="B10" s="3"/>
      <c r="C10" s="3"/>
      <c r="D10" s="1"/>
      <c r="E10" s="4"/>
      <c r="F10" s="4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5">
        <f t="shared" si="1"/>
        <v>0</v>
      </c>
    </row>
    <row r="11" spans="1:21" ht="15.75" x14ac:dyDescent="0.25">
      <c r="A11" s="1">
        <v>1</v>
      </c>
      <c r="B11" s="16" t="s">
        <v>30</v>
      </c>
      <c r="C11" s="16"/>
      <c r="D11" s="1">
        <v>20</v>
      </c>
      <c r="E11" s="4">
        <v>35000</v>
      </c>
      <c r="F11" s="4">
        <f t="shared" si="0"/>
        <v>700000</v>
      </c>
      <c r="G11" s="1" t="s">
        <v>23</v>
      </c>
      <c r="H11" s="1" t="s">
        <v>31</v>
      </c>
      <c r="I11" s="1" t="s">
        <v>22</v>
      </c>
      <c r="J11" s="1"/>
      <c r="K11" s="1"/>
      <c r="L11" s="1"/>
      <c r="M11" s="13" t="s">
        <v>25</v>
      </c>
      <c r="N11" s="1"/>
      <c r="O11" s="1"/>
      <c r="P11" s="1"/>
      <c r="Q11" s="1"/>
      <c r="R11" s="1"/>
      <c r="S11" s="1"/>
      <c r="T11" s="1">
        <v>20</v>
      </c>
      <c r="U11" s="15">
        <f t="shared" si="1"/>
        <v>700000</v>
      </c>
    </row>
    <row r="12" spans="1:21" x14ac:dyDescent="0.25">
      <c r="A12" s="1">
        <v>2</v>
      </c>
      <c r="B12" s="24" t="s">
        <v>106</v>
      </c>
      <c r="C12" s="1" t="s">
        <v>105</v>
      </c>
      <c r="D12" s="1">
        <v>100</v>
      </c>
      <c r="E12" s="4">
        <v>3600</v>
      </c>
      <c r="F12" s="4">
        <f t="shared" si="0"/>
        <v>360000</v>
      </c>
      <c r="G12" s="1" t="s">
        <v>23</v>
      </c>
      <c r="H12" s="1" t="s">
        <v>31</v>
      </c>
      <c r="I12" s="1" t="s">
        <v>22</v>
      </c>
      <c r="J12" s="1"/>
      <c r="K12" s="1"/>
      <c r="L12" s="1"/>
      <c r="M12" s="13" t="s">
        <v>25</v>
      </c>
      <c r="N12" s="1"/>
      <c r="O12" s="1"/>
      <c r="P12" s="1"/>
      <c r="Q12" s="1"/>
      <c r="R12" s="1"/>
      <c r="S12" s="1"/>
      <c r="T12" s="1">
        <v>100</v>
      </c>
      <c r="U12" s="15">
        <f t="shared" si="1"/>
        <v>360000</v>
      </c>
    </row>
    <row r="13" spans="1:21" ht="63" x14ac:dyDescent="0.25">
      <c r="A13" s="1"/>
      <c r="B13" s="16" t="s">
        <v>132</v>
      </c>
      <c r="C13" s="1" t="s">
        <v>133</v>
      </c>
      <c r="D13" s="1">
        <v>120</v>
      </c>
      <c r="E13" s="4">
        <v>72000</v>
      </c>
      <c r="F13" s="4">
        <f t="shared" si="0"/>
        <v>8640000</v>
      </c>
      <c r="G13" s="1"/>
      <c r="H13" s="1" t="s">
        <v>24</v>
      </c>
      <c r="I13" s="1" t="s">
        <v>22</v>
      </c>
      <c r="J13" s="1"/>
      <c r="K13" s="1"/>
      <c r="L13" s="1"/>
      <c r="M13" s="13" t="s">
        <v>25</v>
      </c>
      <c r="N13" s="1"/>
      <c r="O13" s="1"/>
      <c r="P13" s="1"/>
      <c r="Q13" s="1"/>
      <c r="R13" s="1"/>
      <c r="S13" s="1"/>
      <c r="T13" s="1">
        <v>120</v>
      </c>
      <c r="U13" s="15">
        <f t="shared" si="1"/>
        <v>8640000</v>
      </c>
    </row>
    <row r="14" spans="1:21" ht="15.75" x14ac:dyDescent="0.25">
      <c r="A14" s="1"/>
      <c r="B14" s="21" t="s">
        <v>145</v>
      </c>
      <c r="C14" s="1" t="s">
        <v>146</v>
      </c>
      <c r="D14" s="1">
        <v>5</v>
      </c>
      <c r="E14" s="4">
        <v>6200</v>
      </c>
      <c r="F14" s="4">
        <f>D14*E14</f>
        <v>31000</v>
      </c>
      <c r="G14" s="1"/>
      <c r="H14" s="1" t="s">
        <v>31</v>
      </c>
      <c r="I14" s="1" t="s">
        <v>22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5">
        <f t="shared" si="1"/>
        <v>31000</v>
      </c>
    </row>
    <row r="15" spans="1:21" ht="15.75" x14ac:dyDescent="0.25">
      <c r="A15" s="1"/>
      <c r="B15" s="16" t="s">
        <v>193</v>
      </c>
      <c r="C15" s="1" t="s">
        <v>91</v>
      </c>
      <c r="D15" s="1">
        <v>20</v>
      </c>
      <c r="E15" s="4">
        <v>3600</v>
      </c>
      <c r="F15" s="4">
        <f>D15*E15</f>
        <v>72000</v>
      </c>
      <c r="G15" s="1"/>
      <c r="H15" s="1" t="s">
        <v>31</v>
      </c>
      <c r="I15" s="1" t="s">
        <v>22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5">
        <f t="shared" si="1"/>
        <v>72000</v>
      </c>
    </row>
    <row r="16" spans="1:21" ht="15.75" x14ac:dyDescent="0.25">
      <c r="A16" s="1"/>
      <c r="B16" s="16" t="s">
        <v>189</v>
      </c>
      <c r="C16" s="1" t="s">
        <v>194</v>
      </c>
      <c r="D16" s="1">
        <v>10</v>
      </c>
      <c r="E16" s="4">
        <v>600</v>
      </c>
      <c r="F16" s="4">
        <f t="shared" ref="F16:F19" si="2">D16*E16</f>
        <v>6000</v>
      </c>
      <c r="G16" s="1"/>
      <c r="H16" s="1" t="s">
        <v>31</v>
      </c>
      <c r="I16" s="1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5"/>
    </row>
    <row r="17" spans="1:21" ht="15.75" x14ac:dyDescent="0.25">
      <c r="A17" s="1"/>
      <c r="B17" s="16" t="s">
        <v>190</v>
      </c>
      <c r="C17" s="1" t="s">
        <v>80</v>
      </c>
      <c r="D17" s="1">
        <v>3</v>
      </c>
      <c r="E17" s="4">
        <v>30000</v>
      </c>
      <c r="F17" s="4">
        <f t="shared" si="2"/>
        <v>90000</v>
      </c>
      <c r="G17" s="1"/>
      <c r="H17" s="1" t="s">
        <v>31</v>
      </c>
      <c r="I17" s="1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5"/>
    </row>
    <row r="18" spans="1:21" ht="15.75" x14ac:dyDescent="0.25">
      <c r="A18" s="1"/>
      <c r="B18" s="16" t="s">
        <v>191</v>
      </c>
      <c r="C18" s="1" t="s">
        <v>195</v>
      </c>
      <c r="D18" s="1">
        <v>4</v>
      </c>
      <c r="E18" s="4">
        <v>3600</v>
      </c>
      <c r="F18" s="4">
        <f t="shared" si="2"/>
        <v>14400</v>
      </c>
      <c r="G18" s="1"/>
      <c r="H18" s="1" t="s">
        <v>31</v>
      </c>
      <c r="I18" s="1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5"/>
    </row>
    <row r="19" spans="1:21" ht="15.75" x14ac:dyDescent="0.25">
      <c r="A19" s="1"/>
      <c r="B19" s="16" t="s">
        <v>192</v>
      </c>
      <c r="C19" s="1" t="s">
        <v>196</v>
      </c>
      <c r="D19" s="1">
        <v>4</v>
      </c>
      <c r="E19" s="4">
        <v>2600</v>
      </c>
      <c r="F19" s="4">
        <f t="shared" si="2"/>
        <v>10400</v>
      </c>
      <c r="G19" s="1"/>
      <c r="H19" s="1" t="s">
        <v>31</v>
      </c>
      <c r="I19" s="1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5"/>
    </row>
    <row r="20" spans="1:21" ht="15.75" x14ac:dyDescent="0.25">
      <c r="A20" s="1"/>
      <c r="B20" s="16" t="s">
        <v>203</v>
      </c>
      <c r="C20" s="1" t="s">
        <v>105</v>
      </c>
      <c r="D20" s="1">
        <v>30</v>
      </c>
      <c r="E20" s="4">
        <v>1600</v>
      </c>
      <c r="F20" s="4">
        <f t="shared" si="0"/>
        <v>48000</v>
      </c>
      <c r="G20" s="1"/>
      <c r="H20" s="1"/>
      <c r="I20" s="1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5">
        <f t="shared" si="1"/>
        <v>48000</v>
      </c>
    </row>
    <row r="21" spans="1:21" ht="15.75" x14ac:dyDescent="0.25">
      <c r="A21" s="1"/>
      <c r="B21" s="16" t="s">
        <v>201</v>
      </c>
      <c r="C21" s="1" t="s">
        <v>105</v>
      </c>
      <c r="D21" s="1">
        <v>30</v>
      </c>
      <c r="E21" s="4">
        <v>1500</v>
      </c>
      <c r="F21" s="4">
        <f t="shared" si="0"/>
        <v>45000</v>
      </c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5"/>
    </row>
    <row r="22" spans="1:21" ht="15.75" x14ac:dyDescent="0.25">
      <c r="A22" s="1"/>
      <c r="B22" s="16" t="s">
        <v>202</v>
      </c>
      <c r="C22" s="1" t="s">
        <v>105</v>
      </c>
      <c r="D22" s="1">
        <v>30</v>
      </c>
      <c r="E22" s="4">
        <v>1600</v>
      </c>
      <c r="F22" s="4">
        <f t="shared" si="0"/>
        <v>48000</v>
      </c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5"/>
    </row>
    <row r="23" spans="1:21" ht="15.75" x14ac:dyDescent="0.25">
      <c r="A23" s="1"/>
      <c r="B23" s="16" t="s">
        <v>198</v>
      </c>
      <c r="C23" s="1" t="s">
        <v>105</v>
      </c>
      <c r="D23" s="1">
        <v>4</v>
      </c>
      <c r="E23" s="4">
        <v>8500</v>
      </c>
      <c r="F23" s="4">
        <f t="shared" si="0"/>
        <v>34000</v>
      </c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5"/>
    </row>
    <row r="24" spans="1:21" ht="15.75" x14ac:dyDescent="0.25">
      <c r="A24" s="1"/>
      <c r="B24" s="16" t="s">
        <v>199</v>
      </c>
      <c r="C24" s="1" t="s">
        <v>105</v>
      </c>
      <c r="D24" s="1">
        <v>4</v>
      </c>
      <c r="E24" s="4">
        <v>5000</v>
      </c>
      <c r="F24" s="4">
        <f t="shared" si="0"/>
        <v>20000</v>
      </c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5"/>
    </row>
    <row r="25" spans="1:21" ht="15.75" x14ac:dyDescent="0.25">
      <c r="A25" s="1"/>
      <c r="B25" s="16" t="s">
        <v>200</v>
      </c>
      <c r="C25" s="1" t="s">
        <v>204</v>
      </c>
      <c r="D25" s="1">
        <v>10</v>
      </c>
      <c r="E25" s="4"/>
      <c r="F25" s="4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5"/>
    </row>
    <row r="26" spans="1:21" ht="15.75" x14ac:dyDescent="0.25">
      <c r="A26" s="1"/>
      <c r="B26" s="16"/>
      <c r="C26" s="1"/>
      <c r="D26" s="1"/>
      <c r="E26" s="4"/>
      <c r="F26" s="4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5"/>
    </row>
    <row r="27" spans="1:21" ht="15.75" x14ac:dyDescent="0.25">
      <c r="A27" s="1"/>
      <c r="B27" s="16"/>
      <c r="C27" s="1"/>
      <c r="D27" s="1"/>
      <c r="E27" s="4"/>
      <c r="F27" s="4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5"/>
    </row>
    <row r="28" spans="1:21" ht="15.75" x14ac:dyDescent="0.25">
      <c r="A28" s="1"/>
      <c r="B28" s="16"/>
      <c r="C28" s="1"/>
      <c r="D28" s="1"/>
      <c r="E28" s="4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5"/>
    </row>
    <row r="29" spans="1:21" ht="15.75" x14ac:dyDescent="0.25">
      <c r="A29" s="1"/>
      <c r="B29" s="16"/>
      <c r="C29" s="1"/>
      <c r="D29" s="1"/>
      <c r="E29" s="4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5"/>
    </row>
    <row r="30" spans="1:21" ht="15.75" x14ac:dyDescent="0.25">
      <c r="A30" s="1"/>
      <c r="B30" s="16"/>
      <c r="C30" s="1"/>
      <c r="D30" s="1"/>
      <c r="E30" s="4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5"/>
    </row>
    <row r="31" spans="1:21" ht="15.75" x14ac:dyDescent="0.25">
      <c r="A31" s="1"/>
      <c r="B31" s="16"/>
      <c r="C31" s="1"/>
      <c r="D31" s="1"/>
      <c r="E31" s="4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5"/>
    </row>
    <row r="32" spans="1:21" ht="15.75" x14ac:dyDescent="0.25">
      <c r="A32" s="1"/>
      <c r="B32" s="16"/>
      <c r="C32" s="1"/>
      <c r="D32" s="1"/>
      <c r="E32" s="4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5"/>
    </row>
    <row r="33" spans="1:21" ht="15.75" x14ac:dyDescent="0.25">
      <c r="A33" s="1"/>
      <c r="B33" s="16"/>
      <c r="C33" s="1"/>
      <c r="D33" s="1"/>
      <c r="E33" s="4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5"/>
    </row>
    <row r="34" spans="1:21" ht="15.75" x14ac:dyDescent="0.25">
      <c r="A34" s="1"/>
      <c r="B34" s="16"/>
      <c r="C34" s="1"/>
      <c r="D34" s="1"/>
      <c r="E34" s="4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5"/>
    </row>
    <row r="35" spans="1:21" ht="15.75" x14ac:dyDescent="0.25">
      <c r="A35" s="1"/>
      <c r="B35" s="16"/>
      <c r="C35" s="1"/>
      <c r="D35" s="1"/>
      <c r="E35" s="4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5"/>
    </row>
    <row r="36" spans="1:21" ht="15.75" x14ac:dyDescent="0.25">
      <c r="A36" s="1"/>
      <c r="B36" s="16"/>
      <c r="C36" s="1"/>
      <c r="D36" s="1"/>
      <c r="E36" s="4"/>
      <c r="F36" s="4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5"/>
    </row>
    <row r="37" spans="1:21" ht="15.75" x14ac:dyDescent="0.25">
      <c r="A37" s="1"/>
      <c r="B37" s="16"/>
      <c r="C37" s="1"/>
      <c r="D37" s="1"/>
      <c r="E37" s="4"/>
      <c r="F37" s="4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5"/>
    </row>
    <row r="38" spans="1:21" ht="15.75" x14ac:dyDescent="0.25">
      <c r="A38" s="1"/>
      <c r="B38" s="16"/>
      <c r="C38" s="1"/>
      <c r="D38" s="1"/>
      <c r="E38" s="4"/>
      <c r="F38" s="4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5"/>
    </row>
    <row r="39" spans="1:21" ht="15.75" x14ac:dyDescent="0.25">
      <c r="A39" s="1"/>
      <c r="B39" s="16"/>
      <c r="C39" s="1"/>
      <c r="D39" s="1"/>
      <c r="E39" s="4"/>
      <c r="F39" s="4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5"/>
    </row>
    <row r="40" spans="1:21" ht="15.75" x14ac:dyDescent="0.25">
      <c r="A40" s="1"/>
      <c r="B40" s="16"/>
      <c r="C40" s="1"/>
      <c r="D40" s="1"/>
      <c r="E40" s="4"/>
      <c r="F40" s="4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5"/>
    </row>
    <row r="41" spans="1:21" ht="15.75" x14ac:dyDescent="0.25">
      <c r="A41" s="1"/>
      <c r="B41" s="16"/>
      <c r="C41" s="1"/>
      <c r="D41" s="1"/>
      <c r="E41" s="4"/>
      <c r="F41" s="4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5"/>
    </row>
    <row r="42" spans="1:21" ht="15.75" x14ac:dyDescent="0.25">
      <c r="A42" s="1"/>
      <c r="B42" s="16"/>
      <c r="C42" s="1"/>
      <c r="D42" s="1"/>
      <c r="E42" s="4"/>
      <c r="F42" s="4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5"/>
    </row>
    <row r="43" spans="1:21" ht="15.75" x14ac:dyDescent="0.25">
      <c r="A43" s="1"/>
      <c r="B43" s="16"/>
      <c r="C43" s="1"/>
      <c r="D43" s="1"/>
      <c r="E43" s="4"/>
      <c r="F43" s="4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5"/>
    </row>
    <row r="44" spans="1:21" ht="15.75" x14ac:dyDescent="0.25">
      <c r="A44" s="1"/>
      <c r="B44" s="16"/>
      <c r="C44" s="1"/>
      <c r="D44" s="1"/>
      <c r="E44" s="4"/>
      <c r="F44" s="4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5"/>
    </row>
    <row r="45" spans="1:21" ht="15.75" x14ac:dyDescent="0.25">
      <c r="A45" s="1"/>
      <c r="B45" s="16"/>
      <c r="C45" s="1"/>
      <c r="D45" s="1"/>
      <c r="E45" s="4"/>
      <c r="F45" s="4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5"/>
    </row>
    <row r="46" spans="1:21" ht="15.75" x14ac:dyDescent="0.25">
      <c r="A46" s="1"/>
      <c r="B46" s="16"/>
      <c r="C46" s="1"/>
      <c r="D46" s="1"/>
      <c r="E46" s="4"/>
      <c r="F46" s="4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5"/>
    </row>
    <row r="47" spans="1:21" x14ac:dyDescent="0.25">
      <c r="A47" s="1"/>
      <c r="B47" s="1"/>
      <c r="C47" s="1"/>
      <c r="D47" s="1"/>
      <c r="E47" s="4"/>
      <c r="F47" s="4">
        <f t="shared" si="0"/>
        <v>0</v>
      </c>
      <c r="G47" s="1"/>
      <c r="H47" s="1"/>
      <c r="I47" s="1" t="s">
        <v>22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5">
        <f t="shared" si="1"/>
        <v>0</v>
      </c>
    </row>
    <row r="48" spans="1:21" x14ac:dyDescent="0.25">
      <c r="A48" s="3" t="s">
        <v>27</v>
      </c>
      <c r="B48" s="3"/>
      <c r="C48" s="3"/>
      <c r="D48" s="1"/>
      <c r="E48" s="4"/>
      <c r="F48" s="4">
        <f t="shared" si="0"/>
        <v>0</v>
      </c>
      <c r="G48" s="1"/>
      <c r="H48" s="1"/>
      <c r="I48" s="1" t="s">
        <v>22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5">
        <f t="shared" si="1"/>
        <v>0</v>
      </c>
    </row>
    <row r="49" spans="1:21" x14ac:dyDescent="0.25">
      <c r="A49" s="1"/>
      <c r="B49" s="1" t="s">
        <v>35</v>
      </c>
      <c r="C49" s="1" t="s">
        <v>102</v>
      </c>
      <c r="D49" s="1">
        <v>2</v>
      </c>
      <c r="E49" s="4">
        <v>25000</v>
      </c>
      <c r="F49" s="4">
        <f t="shared" si="0"/>
        <v>50000</v>
      </c>
      <c r="G49" s="1" t="s">
        <v>23</v>
      </c>
      <c r="H49" s="1" t="s">
        <v>31</v>
      </c>
      <c r="I49" s="1" t="s">
        <v>22</v>
      </c>
      <c r="J49" s="1"/>
      <c r="K49" s="1"/>
      <c r="L49" s="1"/>
      <c r="M49" s="13" t="s">
        <v>25</v>
      </c>
      <c r="N49" s="1"/>
      <c r="O49" s="1"/>
      <c r="P49" s="1"/>
      <c r="Q49" s="1"/>
      <c r="R49" s="1"/>
      <c r="S49" s="1"/>
      <c r="T49" s="25">
        <v>2</v>
      </c>
      <c r="U49" s="15">
        <f t="shared" si="1"/>
        <v>50000</v>
      </c>
    </row>
    <row r="50" spans="1:21" ht="15.75" x14ac:dyDescent="0.25">
      <c r="A50" s="1"/>
      <c r="B50" s="16" t="s">
        <v>51</v>
      </c>
      <c r="C50" s="16" t="s">
        <v>102</v>
      </c>
      <c r="D50" s="1">
        <v>6</v>
      </c>
      <c r="E50" s="4">
        <v>20000</v>
      </c>
      <c r="F50" s="4">
        <f t="shared" si="0"/>
        <v>120000</v>
      </c>
      <c r="G50" s="1" t="s">
        <v>23</v>
      </c>
      <c r="H50" s="1" t="s">
        <v>31</v>
      </c>
      <c r="I50" s="1" t="s">
        <v>22</v>
      </c>
      <c r="J50" s="1"/>
      <c r="K50" s="1"/>
      <c r="L50" s="1"/>
      <c r="M50" s="13" t="s">
        <v>25</v>
      </c>
      <c r="N50" s="1"/>
      <c r="O50" s="1"/>
      <c r="P50" s="1"/>
      <c r="Q50" s="1"/>
      <c r="R50" s="1"/>
      <c r="S50" s="1"/>
      <c r="T50" s="25">
        <v>6</v>
      </c>
      <c r="U50" s="15">
        <f t="shared" si="1"/>
        <v>120000</v>
      </c>
    </row>
    <row r="51" spans="1:21" x14ac:dyDescent="0.25">
      <c r="A51" s="1"/>
      <c r="B51" s="1" t="s">
        <v>218</v>
      </c>
      <c r="C51" s="1"/>
      <c r="D51" s="1">
        <v>20</v>
      </c>
      <c r="E51" s="4"/>
      <c r="F51" s="4">
        <f t="shared" si="0"/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5"/>
      <c r="U51" s="15">
        <f t="shared" si="1"/>
        <v>0</v>
      </c>
    </row>
    <row r="52" spans="1:21" x14ac:dyDescent="0.25">
      <c r="A52" s="1"/>
      <c r="B52" s="1" t="s">
        <v>217</v>
      </c>
      <c r="C52" s="1"/>
      <c r="D52" s="1">
        <v>20</v>
      </c>
      <c r="E52" s="4"/>
      <c r="F52" s="4">
        <f t="shared" si="0"/>
        <v>0</v>
      </c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5"/>
      <c r="U52" s="15">
        <f t="shared" si="1"/>
        <v>0</v>
      </c>
    </row>
    <row r="53" spans="1:21" x14ac:dyDescent="0.25">
      <c r="A53" s="1"/>
      <c r="B53" s="1"/>
      <c r="C53" s="1"/>
      <c r="D53" s="1"/>
      <c r="E53" s="4"/>
      <c r="F53" s="4">
        <f t="shared" si="0"/>
        <v>0</v>
      </c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5"/>
      <c r="U53" s="15">
        <f t="shared" si="1"/>
        <v>0</v>
      </c>
    </row>
    <row r="54" spans="1:21" x14ac:dyDescent="0.25">
      <c r="A54" s="1"/>
      <c r="B54" s="1"/>
      <c r="C54" s="1"/>
      <c r="D54" s="1"/>
      <c r="E54" s="4"/>
      <c r="F54" s="4">
        <f t="shared" si="0"/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5"/>
      <c r="U54" s="15">
        <f t="shared" si="1"/>
        <v>0</v>
      </c>
    </row>
    <row r="55" spans="1:21" x14ac:dyDescent="0.25">
      <c r="A55" s="1"/>
      <c r="B55" s="1"/>
      <c r="C55" s="1"/>
      <c r="D55" s="1"/>
      <c r="E55" s="4"/>
      <c r="F55" s="4">
        <f t="shared" si="0"/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5"/>
      <c r="U55" s="15">
        <f t="shared" si="1"/>
        <v>0</v>
      </c>
    </row>
    <row r="56" spans="1:21" x14ac:dyDescent="0.25">
      <c r="A56" s="1"/>
      <c r="B56" s="1"/>
      <c r="C56" s="1"/>
      <c r="D56" s="1"/>
      <c r="E56" s="4"/>
      <c r="F56" s="4">
        <f t="shared" si="0"/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5">
        <f t="shared" si="1"/>
        <v>0</v>
      </c>
    </row>
    <row r="57" spans="1:21" x14ac:dyDescent="0.25">
      <c r="A57" s="1"/>
      <c r="B57" s="1"/>
      <c r="C57" s="1"/>
      <c r="D57" s="1"/>
      <c r="E57" s="4"/>
      <c r="F57" s="4">
        <f t="shared" si="0"/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5">
        <f t="shared" si="1"/>
        <v>0</v>
      </c>
    </row>
    <row r="58" spans="1:21" x14ac:dyDescent="0.25">
      <c r="A58" s="1"/>
      <c r="B58" s="1"/>
      <c r="C58" s="1"/>
      <c r="D58" s="1"/>
      <c r="E58" s="4"/>
      <c r="F58" s="4">
        <f t="shared" si="0"/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5">
        <f t="shared" si="1"/>
        <v>0</v>
      </c>
    </row>
    <row r="59" spans="1:21" x14ac:dyDescent="0.25">
      <c r="A59" s="1"/>
      <c r="B59" s="1"/>
      <c r="C59" s="1"/>
      <c r="D59" s="1"/>
      <c r="E59" s="4"/>
      <c r="F59" s="4">
        <f t="shared" si="0"/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5">
        <f t="shared" si="1"/>
        <v>0</v>
      </c>
    </row>
    <row r="60" spans="1:21" x14ac:dyDescent="0.25">
      <c r="A60" s="1"/>
      <c r="B60" s="1"/>
      <c r="C60" s="1"/>
      <c r="D60" s="1"/>
      <c r="E60" s="4"/>
      <c r="F60" s="4">
        <f t="shared" si="0"/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5">
        <f t="shared" si="1"/>
        <v>0</v>
      </c>
    </row>
    <row r="61" spans="1:21" x14ac:dyDescent="0.25">
      <c r="A61" s="1"/>
      <c r="B61" s="1"/>
      <c r="C61" s="1"/>
      <c r="D61" s="1"/>
      <c r="E61" s="4"/>
      <c r="F61" s="4">
        <f t="shared" si="0"/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5">
        <f t="shared" si="1"/>
        <v>0</v>
      </c>
    </row>
    <row r="62" spans="1:21" x14ac:dyDescent="0.25">
      <c r="A62" s="1"/>
      <c r="B62" s="1"/>
      <c r="C62" s="1"/>
      <c r="D62" s="1"/>
      <c r="E62" s="4"/>
      <c r="F62" s="4">
        <f t="shared" si="0"/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5">
        <f t="shared" si="1"/>
        <v>0</v>
      </c>
    </row>
    <row r="63" spans="1:21" x14ac:dyDescent="0.25">
      <c r="A63" s="1"/>
      <c r="B63" s="1"/>
      <c r="C63" s="1"/>
      <c r="D63" s="1"/>
      <c r="E63" s="4"/>
      <c r="F63" s="4">
        <f t="shared" si="0"/>
        <v>0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5">
        <f t="shared" si="1"/>
        <v>0</v>
      </c>
    </row>
    <row r="64" spans="1:21" x14ac:dyDescent="0.25">
      <c r="A64" s="3" t="s">
        <v>28</v>
      </c>
      <c r="B64" s="3"/>
      <c r="C64" s="3"/>
      <c r="D64" s="1"/>
      <c r="E64" s="4"/>
      <c r="F64" s="4">
        <f t="shared" si="0"/>
        <v>0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5">
        <f t="shared" si="1"/>
        <v>0</v>
      </c>
    </row>
    <row r="65" spans="1:21" x14ac:dyDescent="0.25">
      <c r="A65" s="1"/>
      <c r="B65" s="1" t="s">
        <v>29</v>
      </c>
      <c r="C65" s="1" t="s">
        <v>80</v>
      </c>
      <c r="D65" s="1">
        <v>4</v>
      </c>
      <c r="E65" s="14">
        <v>16000</v>
      </c>
      <c r="F65" s="4">
        <f t="shared" si="0"/>
        <v>64000</v>
      </c>
      <c r="G65" s="1" t="s">
        <v>23</v>
      </c>
      <c r="H65" s="1" t="s">
        <v>31</v>
      </c>
      <c r="I65" s="1" t="s">
        <v>22</v>
      </c>
      <c r="J65" s="2"/>
      <c r="K65" s="2"/>
      <c r="L65" s="2"/>
      <c r="M65" s="13" t="s">
        <v>25</v>
      </c>
      <c r="N65" s="1"/>
      <c r="O65" s="1"/>
      <c r="P65" s="1"/>
      <c r="Q65" s="1"/>
      <c r="R65" s="1"/>
      <c r="S65" s="1"/>
      <c r="T65" s="25">
        <v>4</v>
      </c>
      <c r="U65" s="15">
        <f t="shared" si="1"/>
        <v>64000</v>
      </c>
    </row>
    <row r="66" spans="1:21" x14ac:dyDescent="0.25">
      <c r="A66" s="1"/>
      <c r="B66" s="1"/>
      <c r="C66" s="1"/>
      <c r="D66" s="1"/>
      <c r="E66" s="4"/>
      <c r="F66" s="4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5"/>
      <c r="U66" s="15">
        <f t="shared" si="1"/>
        <v>0</v>
      </c>
    </row>
    <row r="67" spans="1:21" x14ac:dyDescent="0.25">
      <c r="A67" s="1"/>
      <c r="B67" s="1"/>
      <c r="C67" s="1"/>
      <c r="D67" s="1"/>
      <c r="E67" s="4"/>
      <c r="F67" s="4">
        <f t="shared" si="0"/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5"/>
      <c r="U67" s="15">
        <f t="shared" si="1"/>
        <v>0</v>
      </c>
    </row>
    <row r="68" spans="1:21" x14ac:dyDescent="0.25">
      <c r="A68" s="1"/>
      <c r="B68" s="1"/>
      <c r="C68" s="1"/>
      <c r="D68" s="1"/>
      <c r="E68" s="4"/>
      <c r="F68" s="4">
        <f t="shared" si="0"/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5"/>
      <c r="U68" s="15">
        <f t="shared" si="1"/>
        <v>0</v>
      </c>
    </row>
    <row r="69" spans="1:21" x14ac:dyDescent="0.25">
      <c r="A69" s="1"/>
      <c r="B69" s="1"/>
      <c r="C69" s="1"/>
      <c r="D69" s="1"/>
      <c r="E69" s="4"/>
      <c r="F69" s="4">
        <f t="shared" si="0"/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5"/>
      <c r="U69" s="15">
        <f t="shared" si="1"/>
        <v>0</v>
      </c>
    </row>
    <row r="70" spans="1:21" x14ac:dyDescent="0.25">
      <c r="A70" s="1"/>
      <c r="B70" s="1"/>
      <c r="C70" s="1"/>
      <c r="D70" s="1"/>
      <c r="E70" s="4"/>
      <c r="F70" s="4">
        <f t="shared" si="0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5"/>
      <c r="U70" s="15">
        <f t="shared" si="1"/>
        <v>0</v>
      </c>
    </row>
    <row r="71" spans="1:21" x14ac:dyDescent="0.25">
      <c r="A71" s="1"/>
      <c r="B71" s="1"/>
      <c r="C71" s="1"/>
      <c r="D71" s="1"/>
      <c r="E71" s="4"/>
      <c r="F71" s="4">
        <f t="shared" si="0"/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5">
        <f t="shared" si="1"/>
        <v>0</v>
      </c>
    </row>
    <row r="72" spans="1:21" x14ac:dyDescent="0.25">
      <c r="A72" s="1"/>
      <c r="B72" s="1"/>
      <c r="C72" s="1"/>
      <c r="D72" s="1"/>
      <c r="E72" s="4"/>
      <c r="F72" s="4">
        <f t="shared" si="0"/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5">
        <f t="shared" si="1"/>
        <v>0</v>
      </c>
    </row>
    <row r="73" spans="1:21" x14ac:dyDescent="0.25">
      <c r="A73" s="1"/>
      <c r="B73" s="1"/>
      <c r="C73" s="1"/>
      <c r="D73" s="1"/>
      <c r="E73" s="4"/>
      <c r="F73" s="4">
        <f t="shared" si="0"/>
        <v>0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5">
        <f t="shared" si="1"/>
        <v>0</v>
      </c>
    </row>
    <row r="74" spans="1:21" x14ac:dyDescent="0.25">
      <c r="A74" s="1"/>
      <c r="B74" s="1"/>
      <c r="C74" s="1"/>
      <c r="D74" s="1"/>
      <c r="E74" s="4"/>
      <c r="F74" s="4">
        <f t="shared" si="0"/>
        <v>0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5">
        <f t="shared" si="1"/>
        <v>0</v>
      </c>
    </row>
    <row r="75" spans="1:21" x14ac:dyDescent="0.25">
      <c r="A75" s="3" t="s">
        <v>32</v>
      </c>
      <c r="B75" s="3"/>
      <c r="C75" s="3"/>
      <c r="D75" s="1"/>
      <c r="E75" s="4"/>
      <c r="F75" s="4">
        <f t="shared" si="0"/>
        <v>0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5">
        <f t="shared" si="1"/>
        <v>0</v>
      </c>
    </row>
    <row r="76" spans="1:21" ht="31.5" x14ac:dyDescent="0.25">
      <c r="A76" s="1"/>
      <c r="B76" s="16" t="s">
        <v>33</v>
      </c>
      <c r="C76" s="16" t="s">
        <v>119</v>
      </c>
      <c r="D76" s="1">
        <v>3000</v>
      </c>
      <c r="E76" s="4">
        <v>200</v>
      </c>
      <c r="F76" s="4">
        <f t="shared" si="0"/>
        <v>600000</v>
      </c>
      <c r="G76" s="1" t="s">
        <v>23</v>
      </c>
      <c r="H76" s="1" t="s">
        <v>31</v>
      </c>
      <c r="I76" s="1" t="s">
        <v>22</v>
      </c>
      <c r="J76" s="1"/>
      <c r="K76" s="1"/>
      <c r="L76" s="1"/>
      <c r="M76" s="13" t="s">
        <v>25</v>
      </c>
      <c r="N76" s="1"/>
      <c r="O76" s="1"/>
      <c r="P76" s="1"/>
      <c r="Q76" s="1"/>
      <c r="R76" s="1"/>
      <c r="S76" s="1"/>
      <c r="T76" s="1">
        <v>3000</v>
      </c>
      <c r="U76" s="15">
        <f t="shared" si="1"/>
        <v>600000</v>
      </c>
    </row>
    <row r="77" spans="1:21" x14ac:dyDescent="0.25">
      <c r="A77" s="1"/>
      <c r="B77" s="1" t="s">
        <v>34</v>
      </c>
      <c r="C77" s="1" t="s">
        <v>80</v>
      </c>
      <c r="D77" s="1"/>
      <c r="E77" s="4"/>
      <c r="F77" s="4">
        <f t="shared" si="0"/>
        <v>0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5">
        <f t="shared" si="1"/>
        <v>0</v>
      </c>
    </row>
    <row r="78" spans="1:21" x14ac:dyDescent="0.25">
      <c r="A78" s="1"/>
      <c r="B78" s="1"/>
      <c r="C78" s="1"/>
      <c r="D78" s="1"/>
      <c r="E78" s="4"/>
      <c r="F78" s="4">
        <f t="shared" si="0"/>
        <v>0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5">
        <f t="shared" si="1"/>
        <v>0</v>
      </c>
    </row>
    <row r="79" spans="1:21" x14ac:dyDescent="0.25">
      <c r="A79" s="1"/>
      <c r="B79" s="1"/>
      <c r="C79" s="1"/>
      <c r="D79" s="1"/>
      <c r="E79" s="4"/>
      <c r="F79" s="4">
        <f t="shared" si="0"/>
        <v>0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5">
        <f t="shared" si="1"/>
        <v>0</v>
      </c>
    </row>
    <row r="80" spans="1:21" x14ac:dyDescent="0.25">
      <c r="A80" s="1"/>
      <c r="B80" s="1"/>
      <c r="C80" s="1"/>
      <c r="D80" s="1"/>
      <c r="E80" s="4"/>
      <c r="F80" s="4">
        <f t="shared" si="0"/>
        <v>0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5">
        <f t="shared" si="1"/>
        <v>0</v>
      </c>
    </row>
    <row r="81" spans="1:21" x14ac:dyDescent="0.25">
      <c r="A81" s="1"/>
      <c r="B81" s="1"/>
      <c r="C81" s="1"/>
      <c r="D81" s="1"/>
      <c r="E81" s="4"/>
      <c r="F81" s="4">
        <f t="shared" si="0"/>
        <v>0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5">
        <f t="shared" si="1"/>
        <v>0</v>
      </c>
    </row>
    <row r="82" spans="1:21" x14ac:dyDescent="0.25">
      <c r="A82" s="1"/>
      <c r="B82" s="1"/>
      <c r="C82" s="1"/>
      <c r="D82" s="1"/>
      <c r="E82" s="4"/>
      <c r="F82" s="4">
        <f t="shared" si="0"/>
        <v>0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5">
        <f t="shared" si="1"/>
        <v>0</v>
      </c>
    </row>
    <row r="83" spans="1:21" x14ac:dyDescent="0.25">
      <c r="A83" s="1"/>
      <c r="B83" s="1"/>
      <c r="C83" s="1"/>
      <c r="D83" s="1"/>
      <c r="E83" s="4"/>
      <c r="F83" s="4">
        <f t="shared" si="0"/>
        <v>0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5">
        <f t="shared" si="1"/>
        <v>0</v>
      </c>
    </row>
    <row r="84" spans="1:21" x14ac:dyDescent="0.25">
      <c r="A84" s="1"/>
      <c r="B84" s="1"/>
      <c r="C84" s="1"/>
      <c r="D84" s="1"/>
      <c r="E84" s="4"/>
      <c r="F84" s="4">
        <f t="shared" si="0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5">
        <f t="shared" si="1"/>
        <v>0</v>
      </c>
    </row>
    <row r="85" spans="1:21" x14ac:dyDescent="0.25">
      <c r="A85" s="3" t="s">
        <v>36</v>
      </c>
      <c r="B85" s="3"/>
      <c r="C85" s="3"/>
      <c r="D85" s="1"/>
      <c r="E85" s="4"/>
      <c r="F85" s="4">
        <f t="shared" si="0"/>
        <v>0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5">
        <f t="shared" si="1"/>
        <v>0</v>
      </c>
    </row>
    <row r="86" spans="1:21" x14ac:dyDescent="0.25">
      <c r="A86" s="1"/>
      <c r="B86" t="s">
        <v>230</v>
      </c>
      <c r="C86" t="s">
        <v>120</v>
      </c>
      <c r="D86" s="1"/>
      <c r="E86" s="4"/>
      <c r="F86" s="4">
        <f t="shared" si="0"/>
        <v>0</v>
      </c>
      <c r="G86" s="1" t="s">
        <v>23</v>
      </c>
      <c r="H86" s="1" t="s">
        <v>31</v>
      </c>
      <c r="I86" s="1" t="s">
        <v>22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5">
        <f t="shared" si="1"/>
        <v>0</v>
      </c>
    </row>
    <row r="87" spans="1:21" x14ac:dyDescent="0.25">
      <c r="A87" s="1"/>
      <c r="B87" s="1" t="s">
        <v>37</v>
      </c>
      <c r="C87" s="1" t="s">
        <v>121</v>
      </c>
      <c r="D87" s="1"/>
      <c r="E87" s="4"/>
      <c r="F87" s="4"/>
      <c r="G87" s="1" t="s">
        <v>23</v>
      </c>
      <c r="H87" s="1" t="s">
        <v>31</v>
      </c>
      <c r="I87" s="1" t="s">
        <v>22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5">
        <f t="shared" si="1"/>
        <v>0</v>
      </c>
    </row>
    <row r="88" spans="1:21" x14ac:dyDescent="0.25">
      <c r="A88" s="1"/>
      <c r="B88" s="1" t="s">
        <v>38</v>
      </c>
      <c r="C88" s="1" t="s">
        <v>118</v>
      </c>
      <c r="D88" s="1">
        <v>10</v>
      </c>
      <c r="E88" s="4"/>
      <c r="F88" s="4"/>
      <c r="G88" s="1" t="s">
        <v>23</v>
      </c>
      <c r="H88" s="1" t="s">
        <v>31</v>
      </c>
      <c r="I88" s="1" t="s">
        <v>22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>
        <v>10</v>
      </c>
      <c r="U88" s="15">
        <f t="shared" si="1"/>
        <v>0</v>
      </c>
    </row>
    <row r="89" spans="1:21" x14ac:dyDescent="0.25">
      <c r="A89" s="1"/>
      <c r="B89" s="1" t="s">
        <v>39</v>
      </c>
      <c r="C89" s="1" t="s">
        <v>121</v>
      </c>
      <c r="D89" s="1">
        <v>10</v>
      </c>
      <c r="E89" s="4"/>
      <c r="F89" s="4"/>
      <c r="G89" s="1" t="s">
        <v>23</v>
      </c>
      <c r="H89" s="1" t="s">
        <v>31</v>
      </c>
      <c r="I89" s="1" t="s">
        <v>22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10</v>
      </c>
      <c r="U89" s="15">
        <f t="shared" si="1"/>
        <v>0</v>
      </c>
    </row>
    <row r="90" spans="1:21" x14ac:dyDescent="0.25">
      <c r="A90" s="1"/>
      <c r="B90" s="1" t="s">
        <v>40</v>
      </c>
      <c r="C90" s="1" t="s">
        <v>118</v>
      </c>
      <c r="D90" s="1">
        <v>10</v>
      </c>
      <c r="E90" s="4"/>
      <c r="F90" s="4"/>
      <c r="G90" s="1" t="s">
        <v>23</v>
      </c>
      <c r="H90" s="1" t="s">
        <v>31</v>
      </c>
      <c r="I90" s="1" t="s">
        <v>22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>
        <v>10</v>
      </c>
      <c r="U90" s="15">
        <f t="shared" si="1"/>
        <v>0</v>
      </c>
    </row>
    <row r="91" spans="1:21" x14ac:dyDescent="0.25">
      <c r="A91" s="1"/>
      <c r="B91" s="1" t="s">
        <v>41</v>
      </c>
      <c r="C91" s="1" t="s">
        <v>118</v>
      </c>
      <c r="D91" s="1">
        <v>4</v>
      </c>
      <c r="E91" s="4"/>
      <c r="F91" s="4"/>
      <c r="G91" s="1" t="s">
        <v>23</v>
      </c>
      <c r="H91" s="1" t="s">
        <v>31</v>
      </c>
      <c r="I91" s="1" t="s">
        <v>22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>
        <v>4</v>
      </c>
      <c r="U91" s="15">
        <f t="shared" si="1"/>
        <v>0</v>
      </c>
    </row>
    <row r="92" spans="1:21" x14ac:dyDescent="0.25">
      <c r="A92" s="1"/>
      <c r="B92" s="1" t="s">
        <v>42</v>
      </c>
      <c r="C92" s="1" t="s">
        <v>118</v>
      </c>
      <c r="D92" s="1">
        <v>4</v>
      </c>
      <c r="E92" s="4"/>
      <c r="F92" s="4"/>
      <c r="G92" s="1" t="s">
        <v>23</v>
      </c>
      <c r="H92" s="1" t="s">
        <v>31</v>
      </c>
      <c r="I92" s="1" t="s">
        <v>22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>
        <v>4</v>
      </c>
      <c r="U92" s="15">
        <f t="shared" si="1"/>
        <v>0</v>
      </c>
    </row>
    <row r="93" spans="1:21" x14ac:dyDescent="0.25">
      <c r="A93" s="1"/>
      <c r="B93" s="1" t="s">
        <v>43</v>
      </c>
      <c r="C93" s="1" t="s">
        <v>118</v>
      </c>
      <c r="D93" s="1">
        <v>8</v>
      </c>
      <c r="E93" s="4"/>
      <c r="F93" s="4"/>
      <c r="G93" s="1" t="s">
        <v>23</v>
      </c>
      <c r="H93" s="1" t="s">
        <v>31</v>
      </c>
      <c r="I93" s="1" t="s">
        <v>22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>
        <v>8</v>
      </c>
      <c r="U93" s="15">
        <f t="shared" si="1"/>
        <v>0</v>
      </c>
    </row>
    <row r="94" spans="1:21" x14ac:dyDescent="0.25">
      <c r="A94" s="1"/>
      <c r="B94" s="1" t="s">
        <v>44</v>
      </c>
      <c r="C94" s="1" t="s">
        <v>118</v>
      </c>
      <c r="D94" s="1">
        <v>6</v>
      </c>
      <c r="E94" s="4"/>
      <c r="F94" s="4"/>
      <c r="G94" s="1" t="s">
        <v>23</v>
      </c>
      <c r="H94" s="1" t="s">
        <v>31</v>
      </c>
      <c r="I94" s="1" t="s">
        <v>22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>
        <v>6</v>
      </c>
      <c r="U94" s="15">
        <f t="shared" si="1"/>
        <v>0</v>
      </c>
    </row>
    <row r="95" spans="1:21" x14ac:dyDescent="0.25">
      <c r="A95" s="1"/>
      <c r="B95" s="1" t="s">
        <v>45</v>
      </c>
      <c r="C95" s="1" t="s">
        <v>118</v>
      </c>
      <c r="D95" s="1">
        <v>2</v>
      </c>
      <c r="E95" s="4"/>
      <c r="F95" s="4"/>
      <c r="G95" s="1" t="s">
        <v>23</v>
      </c>
      <c r="H95" s="1" t="s">
        <v>31</v>
      </c>
      <c r="I95" s="1" t="s">
        <v>22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>
        <v>2</v>
      </c>
      <c r="U95" s="15">
        <f t="shared" si="1"/>
        <v>0</v>
      </c>
    </row>
    <row r="96" spans="1:21" ht="15.75" x14ac:dyDescent="0.25">
      <c r="A96" s="1"/>
      <c r="B96" s="30" t="s">
        <v>231</v>
      </c>
      <c r="C96" s="1"/>
      <c r="D96" s="1"/>
      <c r="E96" s="4"/>
      <c r="F96" s="4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5">
        <f t="shared" si="1"/>
        <v>0</v>
      </c>
    </row>
    <row r="97" spans="1:21" x14ac:dyDescent="0.25">
      <c r="A97" s="1"/>
      <c r="B97" s="1"/>
      <c r="C97" s="1"/>
      <c r="D97" s="1"/>
      <c r="E97" s="4"/>
      <c r="F97" s="4">
        <f t="shared" si="0"/>
        <v>0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5">
        <f t="shared" si="1"/>
        <v>0</v>
      </c>
    </row>
    <row r="98" spans="1:21" x14ac:dyDescent="0.25">
      <c r="A98" s="3" t="s">
        <v>46</v>
      </c>
      <c r="B98" s="3"/>
      <c r="C98" s="3"/>
      <c r="D98" s="1"/>
      <c r="E98" s="4"/>
      <c r="F98" s="4">
        <f t="shared" si="0"/>
        <v>0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5">
        <f t="shared" si="1"/>
        <v>0</v>
      </c>
    </row>
    <row r="99" spans="1:21" ht="15.75" x14ac:dyDescent="0.25">
      <c r="A99" s="1"/>
      <c r="B99" s="16" t="s">
        <v>49</v>
      </c>
      <c r="C99" s="16"/>
      <c r="D99" s="1">
        <v>40</v>
      </c>
      <c r="E99" s="4"/>
      <c r="F99" s="4">
        <f t="shared" si="0"/>
        <v>0</v>
      </c>
      <c r="G99" s="1" t="s">
        <v>23</v>
      </c>
      <c r="H99" s="1" t="s">
        <v>31</v>
      </c>
      <c r="I99" s="1" t="s">
        <v>22</v>
      </c>
      <c r="J99" s="1"/>
      <c r="K99" s="1"/>
      <c r="L99" s="1"/>
      <c r="M99" s="1"/>
      <c r="N99" s="1"/>
      <c r="O99" s="1"/>
      <c r="P99" s="1"/>
      <c r="Q99" s="1"/>
      <c r="R99" s="1"/>
      <c r="S99" s="1"/>
      <c r="T99" s="5"/>
      <c r="U99" s="15">
        <f t="shared" si="1"/>
        <v>0</v>
      </c>
    </row>
    <row r="100" spans="1:21" x14ac:dyDescent="0.25">
      <c r="A100" s="1"/>
      <c r="B100" s="1" t="s">
        <v>47</v>
      </c>
      <c r="C100" s="1"/>
      <c r="D100" s="1">
        <v>40</v>
      </c>
      <c r="E100" s="4"/>
      <c r="F100" s="4">
        <f t="shared" si="0"/>
        <v>0</v>
      </c>
      <c r="G100" s="1" t="s">
        <v>23</v>
      </c>
      <c r="H100" s="1" t="s">
        <v>31</v>
      </c>
      <c r="I100" s="1" t="s">
        <v>22</v>
      </c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5"/>
      <c r="U100" s="15">
        <f t="shared" si="1"/>
        <v>0</v>
      </c>
    </row>
    <row r="101" spans="1:21" ht="15.75" x14ac:dyDescent="0.25">
      <c r="A101" s="1"/>
      <c r="B101" s="16" t="s">
        <v>211</v>
      </c>
      <c r="C101" s="1"/>
      <c r="D101" s="1">
        <v>10</v>
      </c>
      <c r="E101" s="4"/>
      <c r="F101" s="4">
        <f t="shared" si="0"/>
        <v>0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5"/>
      <c r="U101" s="15">
        <f t="shared" si="1"/>
        <v>0</v>
      </c>
    </row>
    <row r="102" spans="1:21" ht="15.75" x14ac:dyDescent="0.25">
      <c r="A102" s="1"/>
      <c r="B102" s="16" t="s">
        <v>212</v>
      </c>
      <c r="C102" s="1"/>
      <c r="D102" s="1">
        <v>10</v>
      </c>
      <c r="E102" s="4"/>
      <c r="F102" s="4">
        <f t="shared" si="0"/>
        <v>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5"/>
      <c r="U102" s="15">
        <f t="shared" si="1"/>
        <v>0</v>
      </c>
    </row>
    <row r="103" spans="1:21" ht="15.75" x14ac:dyDescent="0.25">
      <c r="A103" s="1"/>
      <c r="B103" s="16" t="s">
        <v>213</v>
      </c>
      <c r="C103" s="1"/>
      <c r="D103" s="1">
        <v>15</v>
      </c>
      <c r="E103" s="4"/>
      <c r="F103" s="4">
        <f t="shared" si="0"/>
        <v>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5"/>
      <c r="U103" s="15">
        <f t="shared" si="1"/>
        <v>0</v>
      </c>
    </row>
    <row r="104" spans="1:21" ht="15.75" x14ac:dyDescent="0.25">
      <c r="A104" s="1"/>
      <c r="B104" s="16" t="s">
        <v>214</v>
      </c>
      <c r="C104" s="1"/>
      <c r="D104" s="1">
        <v>15</v>
      </c>
      <c r="E104" s="4"/>
      <c r="F104" s="4">
        <f t="shared" si="0"/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5"/>
      <c r="U104" s="15">
        <f t="shared" si="1"/>
        <v>0</v>
      </c>
    </row>
    <row r="105" spans="1:21" ht="15.75" x14ac:dyDescent="0.25">
      <c r="A105" s="1"/>
      <c r="B105" s="16" t="s">
        <v>215</v>
      </c>
      <c r="C105" s="1"/>
      <c r="D105" s="1">
        <v>15</v>
      </c>
      <c r="E105" s="4"/>
      <c r="F105" s="4">
        <f t="shared" si="0"/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5"/>
      <c r="U105" s="15">
        <f t="shared" si="1"/>
        <v>0</v>
      </c>
    </row>
    <row r="106" spans="1:21" ht="15.75" x14ac:dyDescent="0.25">
      <c r="A106" s="1"/>
      <c r="B106" s="16" t="s">
        <v>216</v>
      </c>
      <c r="C106" s="1"/>
      <c r="D106" s="1">
        <v>20</v>
      </c>
      <c r="E106" s="4"/>
      <c r="F106" s="4">
        <f t="shared" si="0"/>
        <v>0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5"/>
      <c r="U106" s="15">
        <f t="shared" si="1"/>
        <v>0</v>
      </c>
    </row>
    <row r="107" spans="1:21" ht="15.75" x14ac:dyDescent="0.25">
      <c r="A107" s="1"/>
      <c r="B107" s="16" t="s">
        <v>206</v>
      </c>
      <c r="C107" s="1" t="s">
        <v>102</v>
      </c>
      <c r="D107" s="1">
        <v>10</v>
      </c>
      <c r="E107" s="4"/>
      <c r="F107" s="4">
        <f t="shared" si="0"/>
        <v>0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5"/>
      <c r="U107" s="15">
        <f t="shared" si="1"/>
        <v>0</v>
      </c>
    </row>
    <row r="108" spans="1:21" ht="15.75" x14ac:dyDescent="0.25">
      <c r="A108" s="1"/>
      <c r="B108" s="16" t="s">
        <v>207</v>
      </c>
      <c r="C108" s="1" t="s">
        <v>102</v>
      </c>
      <c r="D108" s="1">
        <v>15</v>
      </c>
      <c r="E108" s="4"/>
      <c r="F108" s="4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5"/>
      <c r="U108" s="15"/>
    </row>
    <row r="109" spans="1:21" ht="15.75" x14ac:dyDescent="0.25">
      <c r="A109" s="1"/>
      <c r="B109" s="16" t="s">
        <v>208</v>
      </c>
      <c r="C109" s="1" t="s">
        <v>102</v>
      </c>
      <c r="D109" s="1">
        <v>15</v>
      </c>
      <c r="E109" s="4"/>
      <c r="F109" s="4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5"/>
      <c r="U109" s="15"/>
    </row>
    <row r="110" spans="1:21" ht="15.75" x14ac:dyDescent="0.25">
      <c r="A110" s="1"/>
      <c r="B110" s="16" t="s">
        <v>209</v>
      </c>
      <c r="C110" s="1" t="s">
        <v>102</v>
      </c>
      <c r="D110" s="1">
        <v>10</v>
      </c>
      <c r="E110" s="4"/>
      <c r="F110" s="4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5"/>
      <c r="U110" s="15"/>
    </row>
    <row r="111" spans="1:21" ht="15.75" x14ac:dyDescent="0.25">
      <c r="A111" s="1"/>
      <c r="B111" s="16" t="s">
        <v>210</v>
      </c>
      <c r="C111" s="1" t="s">
        <v>102</v>
      </c>
      <c r="D111" s="1">
        <v>10</v>
      </c>
      <c r="E111" s="4"/>
      <c r="F111" s="4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5"/>
      <c r="U111" s="15"/>
    </row>
    <row r="112" spans="1:21" x14ac:dyDescent="0.25">
      <c r="A112" s="1"/>
      <c r="B112" s="1"/>
      <c r="C112" s="1"/>
      <c r="D112" s="1"/>
      <c r="E112" s="4"/>
      <c r="F112" s="4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5"/>
      <c r="U112" s="15"/>
    </row>
    <row r="113" spans="1:21" x14ac:dyDescent="0.25">
      <c r="A113" s="1"/>
      <c r="B113" s="1"/>
      <c r="C113" s="1"/>
      <c r="D113" s="1"/>
      <c r="E113" s="4"/>
      <c r="F113" s="4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5"/>
      <c r="U113" s="15"/>
    </row>
    <row r="114" spans="1:21" x14ac:dyDescent="0.25">
      <c r="A114" s="1"/>
      <c r="B114" s="1"/>
      <c r="C114" s="1"/>
      <c r="D114" s="1"/>
      <c r="E114" s="4"/>
      <c r="F114" s="4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5"/>
      <c r="U114" s="15"/>
    </row>
    <row r="115" spans="1:21" x14ac:dyDescent="0.25">
      <c r="A115" s="1"/>
      <c r="B115" s="1"/>
      <c r="C115" s="1"/>
      <c r="D115" s="1"/>
      <c r="E115" s="4"/>
      <c r="F115" s="4">
        <f t="shared" si="0"/>
        <v>0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5"/>
      <c r="U115" s="15">
        <f t="shared" si="1"/>
        <v>0</v>
      </c>
    </row>
    <row r="116" spans="1:21" x14ac:dyDescent="0.25">
      <c r="A116" s="1"/>
      <c r="B116" s="1"/>
      <c r="C116" s="1"/>
      <c r="D116" s="1"/>
      <c r="E116" s="4"/>
      <c r="F116" s="4">
        <f t="shared" si="0"/>
        <v>0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5"/>
      <c r="U116" s="15">
        <f t="shared" si="1"/>
        <v>0</v>
      </c>
    </row>
    <row r="117" spans="1:21" x14ac:dyDescent="0.25">
      <c r="A117" s="1"/>
      <c r="B117" s="1"/>
      <c r="C117" s="1"/>
      <c r="D117" s="1"/>
      <c r="E117" s="4"/>
      <c r="F117" s="4">
        <f t="shared" si="0"/>
        <v>0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5"/>
      <c r="U117" s="15">
        <f t="shared" si="1"/>
        <v>0</v>
      </c>
    </row>
    <row r="118" spans="1:21" x14ac:dyDescent="0.25">
      <c r="A118" s="54" t="s">
        <v>50</v>
      </c>
      <c r="B118" s="55"/>
      <c r="C118" s="12"/>
      <c r="D118" s="1"/>
      <c r="E118" s="4"/>
      <c r="F118" s="4">
        <f t="shared" si="0"/>
        <v>0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5"/>
      <c r="U118" s="15">
        <f t="shared" si="1"/>
        <v>0</v>
      </c>
    </row>
    <row r="119" spans="1:21" ht="15.75" x14ac:dyDescent="0.25">
      <c r="A119" s="1"/>
      <c r="B119" s="16" t="s">
        <v>74</v>
      </c>
      <c r="C119" s="1" t="s">
        <v>78</v>
      </c>
      <c r="D119" s="1">
        <v>1000</v>
      </c>
      <c r="E119" s="4">
        <v>50</v>
      </c>
      <c r="F119" s="4">
        <f t="shared" ref="F119:F249" si="3">D119*E119</f>
        <v>50000</v>
      </c>
      <c r="G119" s="1" t="s">
        <v>23</v>
      </c>
      <c r="H119" s="1" t="s">
        <v>31</v>
      </c>
      <c r="I119" s="1" t="s">
        <v>22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1000</v>
      </c>
      <c r="U119" s="15">
        <f t="shared" ref="U119:U152" si="4">D119*E119</f>
        <v>50000</v>
      </c>
    </row>
    <row r="120" spans="1:21" x14ac:dyDescent="0.25">
      <c r="A120" s="1"/>
      <c r="B120" s="1" t="s">
        <v>75</v>
      </c>
      <c r="C120" s="1" t="s">
        <v>78</v>
      </c>
      <c r="D120" s="1">
        <v>1000</v>
      </c>
      <c r="E120" s="4">
        <v>55</v>
      </c>
      <c r="F120" s="4">
        <f t="shared" si="3"/>
        <v>55000</v>
      </c>
      <c r="G120" s="1" t="s">
        <v>23</v>
      </c>
      <c r="H120" s="1" t="s">
        <v>31</v>
      </c>
      <c r="I120" s="1" t="s">
        <v>22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>
        <v>1000</v>
      </c>
      <c r="U120" s="15">
        <f t="shared" si="4"/>
        <v>55000</v>
      </c>
    </row>
    <row r="121" spans="1:21" x14ac:dyDescent="0.25">
      <c r="A121" s="1"/>
      <c r="B121" s="1" t="s">
        <v>76</v>
      </c>
      <c r="C121" s="1" t="s">
        <v>78</v>
      </c>
      <c r="D121" s="1">
        <v>1000</v>
      </c>
      <c r="E121" s="4">
        <v>60</v>
      </c>
      <c r="F121" s="4">
        <f t="shared" si="3"/>
        <v>60000</v>
      </c>
      <c r="G121" s="1" t="s">
        <v>23</v>
      </c>
      <c r="H121" s="1" t="s">
        <v>31</v>
      </c>
      <c r="I121" s="1" t="s">
        <v>22</v>
      </c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>
        <v>1000</v>
      </c>
      <c r="U121" s="15">
        <f t="shared" si="4"/>
        <v>60000</v>
      </c>
    </row>
    <row r="122" spans="1:21" x14ac:dyDescent="0.25">
      <c r="A122" s="1"/>
      <c r="B122" s="1" t="s">
        <v>77</v>
      </c>
      <c r="C122" s="1" t="s">
        <v>78</v>
      </c>
      <c r="D122" s="1">
        <v>500</v>
      </c>
      <c r="E122" s="4">
        <v>70</v>
      </c>
      <c r="F122" s="4">
        <f t="shared" si="3"/>
        <v>35000</v>
      </c>
      <c r="G122" s="1" t="s">
        <v>23</v>
      </c>
      <c r="H122" s="1" t="s">
        <v>31</v>
      </c>
      <c r="I122" s="1" t="s">
        <v>22</v>
      </c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>
        <v>500</v>
      </c>
      <c r="U122" s="15">
        <f t="shared" si="4"/>
        <v>35000</v>
      </c>
    </row>
    <row r="123" spans="1:21" ht="15.75" x14ac:dyDescent="0.25">
      <c r="A123" s="1"/>
      <c r="B123" s="16" t="s">
        <v>88</v>
      </c>
      <c r="C123" s="1" t="s">
        <v>90</v>
      </c>
      <c r="D123" s="1">
        <v>6</v>
      </c>
      <c r="E123" s="4">
        <v>6500</v>
      </c>
      <c r="F123" s="4">
        <f t="shared" si="3"/>
        <v>39000</v>
      </c>
      <c r="G123" s="1" t="s">
        <v>23</v>
      </c>
      <c r="H123" s="1" t="s">
        <v>31</v>
      </c>
      <c r="I123" s="1" t="s">
        <v>22</v>
      </c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>
        <v>6</v>
      </c>
      <c r="U123" s="15">
        <f t="shared" si="4"/>
        <v>39000</v>
      </c>
    </row>
    <row r="124" spans="1:21" ht="15.75" x14ac:dyDescent="0.25">
      <c r="A124" s="1"/>
      <c r="B124" s="16" t="s">
        <v>84</v>
      </c>
      <c r="C124" s="1" t="s">
        <v>91</v>
      </c>
      <c r="D124" s="1">
        <v>3</v>
      </c>
      <c r="E124" s="4">
        <v>35000</v>
      </c>
      <c r="F124" s="4">
        <f t="shared" si="3"/>
        <v>105000</v>
      </c>
      <c r="G124" s="1" t="s">
        <v>23</v>
      </c>
      <c r="H124" s="1" t="s">
        <v>31</v>
      </c>
      <c r="I124" s="1" t="s">
        <v>22</v>
      </c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>
        <v>3</v>
      </c>
      <c r="U124" s="15">
        <f t="shared" si="4"/>
        <v>105000</v>
      </c>
    </row>
    <row r="125" spans="1:21" ht="15.75" x14ac:dyDescent="0.25">
      <c r="A125" s="1"/>
      <c r="B125" s="16" t="s">
        <v>92</v>
      </c>
      <c r="C125" s="1" t="s">
        <v>90</v>
      </c>
      <c r="D125" s="1">
        <v>20</v>
      </c>
      <c r="E125" s="4">
        <v>2400</v>
      </c>
      <c r="F125" s="4">
        <f t="shared" si="3"/>
        <v>48000</v>
      </c>
      <c r="G125" s="1" t="s">
        <v>23</v>
      </c>
      <c r="H125" s="1" t="s">
        <v>31</v>
      </c>
      <c r="I125" s="1" t="s">
        <v>22</v>
      </c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>
        <v>20</v>
      </c>
      <c r="U125" s="15">
        <f t="shared" si="4"/>
        <v>48000</v>
      </c>
    </row>
    <row r="126" spans="1:21" ht="15.75" x14ac:dyDescent="0.25">
      <c r="A126" s="1"/>
      <c r="B126" s="16" t="s">
        <v>116</v>
      </c>
      <c r="C126" s="1" t="s">
        <v>90</v>
      </c>
      <c r="D126" s="1">
        <v>20</v>
      </c>
      <c r="E126" s="4">
        <v>2800</v>
      </c>
      <c r="F126" s="4">
        <f t="shared" si="3"/>
        <v>56000</v>
      </c>
      <c r="G126" s="1" t="s">
        <v>23</v>
      </c>
      <c r="H126" s="1" t="s">
        <v>31</v>
      </c>
      <c r="I126" s="1" t="s">
        <v>22</v>
      </c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>
        <v>20</v>
      </c>
      <c r="U126" s="15">
        <f t="shared" si="4"/>
        <v>56000</v>
      </c>
    </row>
    <row r="127" spans="1:21" ht="15.75" x14ac:dyDescent="0.25">
      <c r="A127" s="1"/>
      <c r="B127" s="16" t="s">
        <v>85</v>
      </c>
      <c r="C127" s="1" t="s">
        <v>91</v>
      </c>
      <c r="D127" s="1">
        <v>3</v>
      </c>
      <c r="E127" s="4">
        <v>15800</v>
      </c>
      <c r="F127" s="4">
        <f t="shared" si="3"/>
        <v>47400</v>
      </c>
      <c r="G127" s="1" t="s">
        <v>23</v>
      </c>
      <c r="H127" s="1" t="s">
        <v>31</v>
      </c>
      <c r="I127" s="1" t="s">
        <v>22</v>
      </c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>
        <v>3</v>
      </c>
      <c r="U127" s="15">
        <f t="shared" si="4"/>
        <v>47400</v>
      </c>
    </row>
    <row r="128" spans="1:21" ht="15.75" x14ac:dyDescent="0.25">
      <c r="A128" s="1"/>
      <c r="B128" s="16" t="s">
        <v>86</v>
      </c>
      <c r="C128" s="1" t="s">
        <v>91</v>
      </c>
      <c r="D128" s="1">
        <v>3</v>
      </c>
      <c r="E128" s="4">
        <v>14800</v>
      </c>
      <c r="F128" s="4">
        <f t="shared" si="3"/>
        <v>44400</v>
      </c>
      <c r="G128" s="1" t="s">
        <v>23</v>
      </c>
      <c r="H128" s="1" t="s">
        <v>31</v>
      </c>
      <c r="I128" s="1" t="s">
        <v>22</v>
      </c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>
        <v>3</v>
      </c>
      <c r="U128" s="15">
        <f t="shared" si="4"/>
        <v>44400</v>
      </c>
    </row>
    <row r="129" spans="1:21" x14ac:dyDescent="0.25">
      <c r="A129" s="1"/>
      <c r="B129" s="17" t="s">
        <v>87</v>
      </c>
      <c r="C129" s="1" t="s">
        <v>91</v>
      </c>
      <c r="D129" s="1">
        <v>3</v>
      </c>
      <c r="E129" s="4">
        <v>15800</v>
      </c>
      <c r="F129" s="4">
        <f t="shared" si="3"/>
        <v>47400</v>
      </c>
      <c r="G129" s="1" t="s">
        <v>23</v>
      </c>
      <c r="H129" s="1" t="s">
        <v>31</v>
      </c>
      <c r="I129" s="1" t="s">
        <v>22</v>
      </c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>
        <v>3</v>
      </c>
      <c r="U129" s="15">
        <f t="shared" si="4"/>
        <v>47400</v>
      </c>
    </row>
    <row r="130" spans="1:21" ht="47.25" x14ac:dyDescent="0.25">
      <c r="A130" s="1"/>
      <c r="B130" s="16" t="s">
        <v>100</v>
      </c>
      <c r="C130" s="20" t="s">
        <v>80</v>
      </c>
      <c r="D130" s="23">
        <v>4</v>
      </c>
      <c r="E130" s="4">
        <v>78000</v>
      </c>
      <c r="F130" s="4">
        <f>D130*E130</f>
        <v>312000</v>
      </c>
      <c r="G130" s="1" t="s">
        <v>23</v>
      </c>
      <c r="H130" s="1" t="s">
        <v>31</v>
      </c>
      <c r="I130" s="1" t="s">
        <v>22</v>
      </c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23">
        <v>4</v>
      </c>
      <c r="U130" s="15">
        <f>D130*E130</f>
        <v>312000</v>
      </c>
    </row>
    <row r="131" spans="1:21" ht="31.5" x14ac:dyDescent="0.25">
      <c r="A131" s="1"/>
      <c r="B131" s="16" t="s">
        <v>107</v>
      </c>
      <c r="C131" s="24"/>
      <c r="D131" s="24"/>
      <c r="E131" s="4"/>
      <c r="F131" s="4"/>
      <c r="G131" s="1" t="s">
        <v>23</v>
      </c>
      <c r="H131" s="1" t="s">
        <v>31</v>
      </c>
      <c r="I131" s="1" t="s">
        <v>22</v>
      </c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24"/>
      <c r="U131" s="15"/>
    </row>
    <row r="132" spans="1:21" ht="15.75" x14ac:dyDescent="0.25">
      <c r="A132" s="1"/>
      <c r="B132" s="21" t="s">
        <v>134</v>
      </c>
      <c r="C132" s="1" t="s">
        <v>142</v>
      </c>
      <c r="D132" s="1">
        <v>2</v>
      </c>
      <c r="E132" s="4">
        <v>17500</v>
      </c>
      <c r="F132" s="4">
        <f>D132*E132</f>
        <v>35000</v>
      </c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5"/>
      <c r="U132" s="15"/>
    </row>
    <row r="133" spans="1:21" ht="15.75" x14ac:dyDescent="0.25">
      <c r="A133" s="1"/>
      <c r="B133" s="16" t="s">
        <v>173</v>
      </c>
      <c r="C133" s="24" t="s">
        <v>90</v>
      </c>
      <c r="D133" s="24"/>
      <c r="E133" s="4">
        <v>24000</v>
      </c>
      <c r="F133" s="4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5"/>
      <c r="U133" s="15"/>
    </row>
    <row r="134" spans="1:21" ht="15.75" x14ac:dyDescent="0.25">
      <c r="A134" s="1"/>
      <c r="B134" s="16"/>
      <c r="C134" s="24"/>
      <c r="D134" s="24"/>
      <c r="E134" s="4"/>
      <c r="F134" s="4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5"/>
      <c r="U134" s="15"/>
    </row>
    <row r="135" spans="1:21" ht="15.75" x14ac:dyDescent="0.25">
      <c r="A135" s="1"/>
      <c r="B135" s="16"/>
      <c r="C135" s="24"/>
      <c r="D135" s="24"/>
      <c r="E135" s="4"/>
      <c r="F135" s="4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5"/>
      <c r="U135" s="15"/>
    </row>
    <row r="136" spans="1:21" ht="15.75" x14ac:dyDescent="0.25">
      <c r="A136" s="1"/>
      <c r="B136" s="16"/>
      <c r="C136" s="24"/>
      <c r="D136" s="24"/>
      <c r="E136" s="4"/>
      <c r="F136" s="4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5"/>
      <c r="U136" s="15"/>
    </row>
    <row r="137" spans="1:21" ht="15.75" x14ac:dyDescent="0.25">
      <c r="A137" s="1"/>
      <c r="B137" s="16"/>
      <c r="C137" s="24"/>
      <c r="D137" s="24"/>
      <c r="E137" s="4"/>
      <c r="F137" s="4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5"/>
      <c r="U137" s="15"/>
    </row>
    <row r="138" spans="1:21" ht="15.75" x14ac:dyDescent="0.25">
      <c r="A138" s="1"/>
      <c r="B138" s="16"/>
      <c r="C138" s="24"/>
      <c r="D138" s="24"/>
      <c r="E138" s="4"/>
      <c r="F138" s="4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5"/>
      <c r="U138" s="15"/>
    </row>
    <row r="139" spans="1:21" ht="15.75" x14ac:dyDescent="0.25">
      <c r="A139" s="1"/>
      <c r="B139" s="16"/>
      <c r="C139" s="24"/>
      <c r="D139" s="24"/>
      <c r="E139" s="4"/>
      <c r="F139" s="4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5"/>
      <c r="U139" s="15"/>
    </row>
    <row r="140" spans="1:21" ht="15.75" x14ac:dyDescent="0.25">
      <c r="A140" s="1"/>
      <c r="B140" s="16"/>
      <c r="C140" s="24"/>
      <c r="D140" s="24"/>
      <c r="E140" s="4"/>
      <c r="F140" s="4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5"/>
      <c r="U140" s="15"/>
    </row>
    <row r="141" spans="1:21" ht="15.75" x14ac:dyDescent="0.25">
      <c r="A141" s="1"/>
      <c r="B141" s="16"/>
      <c r="C141" s="1"/>
      <c r="D141" s="1"/>
      <c r="E141" s="4"/>
      <c r="F141" s="4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5"/>
      <c r="U141" s="15"/>
    </row>
    <row r="142" spans="1:21" ht="15.75" x14ac:dyDescent="0.25">
      <c r="A142" s="1"/>
      <c r="B142" s="16"/>
      <c r="C142" s="1"/>
      <c r="D142" s="1"/>
      <c r="E142" s="4"/>
      <c r="F142" s="4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5"/>
      <c r="U142" s="15"/>
    </row>
    <row r="143" spans="1:21" x14ac:dyDescent="0.25">
      <c r="A143" s="1"/>
      <c r="B143" s="1"/>
      <c r="C143" s="1"/>
      <c r="D143" s="1"/>
      <c r="E143" s="4"/>
      <c r="F143" s="4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5"/>
      <c r="U143" s="15"/>
    </row>
    <row r="144" spans="1:21" x14ac:dyDescent="0.25">
      <c r="A144" s="1" t="s">
        <v>152</v>
      </c>
      <c r="B144" s="1"/>
      <c r="C144" s="1"/>
      <c r="D144" s="1"/>
      <c r="E144" s="4"/>
      <c r="F144" s="4">
        <f>C143*E144</f>
        <v>0</v>
      </c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5"/>
      <c r="U144" s="15">
        <f>C143*E144</f>
        <v>0</v>
      </c>
    </row>
    <row r="145" spans="1:21" ht="15.75" x14ac:dyDescent="0.25">
      <c r="A145" s="1"/>
      <c r="B145" s="16" t="s">
        <v>73</v>
      </c>
      <c r="C145" s="1"/>
      <c r="D145" s="1">
        <v>2</v>
      </c>
      <c r="E145" s="4"/>
      <c r="F145" s="4">
        <f>C144*E145</f>
        <v>0</v>
      </c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5">
        <f>C144*E145</f>
        <v>0</v>
      </c>
    </row>
    <row r="146" spans="1:21" x14ac:dyDescent="0.25">
      <c r="A146" s="1"/>
      <c r="B146" s="1" t="s">
        <v>67</v>
      </c>
      <c r="C146" s="1"/>
      <c r="D146" s="1">
        <v>2</v>
      </c>
      <c r="E146" s="4"/>
      <c r="F146" s="4">
        <f>C145*E146</f>
        <v>0</v>
      </c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5">
        <f>C145*E146</f>
        <v>0</v>
      </c>
    </row>
    <row r="147" spans="1:21" x14ac:dyDescent="0.25">
      <c r="A147" s="1"/>
      <c r="B147" s="1" t="s">
        <v>68</v>
      </c>
      <c r="C147" s="1"/>
      <c r="D147" s="1">
        <v>2</v>
      </c>
      <c r="E147" s="4"/>
      <c r="F147" s="4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5"/>
    </row>
    <row r="148" spans="1:21" x14ac:dyDescent="0.25">
      <c r="A148" s="1"/>
      <c r="B148" s="1" t="s">
        <v>69</v>
      </c>
      <c r="C148" s="1"/>
      <c r="D148" s="1">
        <v>2</v>
      </c>
      <c r="E148" s="4"/>
      <c r="F148" s="4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5"/>
    </row>
    <row r="149" spans="1:21" x14ac:dyDescent="0.25">
      <c r="A149" s="1"/>
      <c r="B149" s="1" t="s">
        <v>70</v>
      </c>
      <c r="C149" s="1"/>
      <c r="D149" s="1">
        <v>2</v>
      </c>
      <c r="E149" s="4"/>
      <c r="F149" s="4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5"/>
    </row>
    <row r="150" spans="1:21" x14ac:dyDescent="0.25">
      <c r="A150" s="1"/>
      <c r="B150" s="1" t="s">
        <v>71</v>
      </c>
      <c r="C150" s="1"/>
      <c r="D150" s="1">
        <v>2</v>
      </c>
      <c r="E150" s="4"/>
      <c r="F150" s="4">
        <f>C146*E150</f>
        <v>0</v>
      </c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5">
        <f>C146*E150</f>
        <v>0</v>
      </c>
    </row>
    <row r="151" spans="1:21" ht="19.5" customHeight="1" x14ac:dyDescent="0.25">
      <c r="A151" s="1"/>
      <c r="B151" s="1" t="s">
        <v>72</v>
      </c>
      <c r="C151" s="1"/>
      <c r="D151" s="1">
        <v>2</v>
      </c>
      <c r="E151" s="4"/>
      <c r="F151" s="4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5">
        <f t="shared" si="4"/>
        <v>0</v>
      </c>
    </row>
    <row r="152" spans="1:21" ht="15.75" x14ac:dyDescent="0.25">
      <c r="A152" s="1"/>
      <c r="B152" s="21" t="s">
        <v>83</v>
      </c>
      <c r="C152" s="1" t="s">
        <v>89</v>
      </c>
      <c r="D152" s="1">
        <v>5</v>
      </c>
      <c r="E152" s="4"/>
      <c r="F152" s="4">
        <f t="shared" si="3"/>
        <v>0</v>
      </c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5">
        <f t="shared" si="4"/>
        <v>0</v>
      </c>
    </row>
    <row r="153" spans="1:21" ht="15.75" x14ac:dyDescent="0.25">
      <c r="A153" s="1"/>
      <c r="B153" s="21" t="s">
        <v>81</v>
      </c>
      <c r="C153" s="1" t="s">
        <v>89</v>
      </c>
      <c r="D153" s="1">
        <v>5</v>
      </c>
      <c r="E153" s="4"/>
      <c r="F153" s="4">
        <f t="shared" si="3"/>
        <v>0</v>
      </c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5"/>
    </row>
    <row r="154" spans="1:21" ht="15.75" x14ac:dyDescent="0.25">
      <c r="A154" s="1"/>
      <c r="B154" s="21" t="s">
        <v>82</v>
      </c>
      <c r="C154" s="1" t="s">
        <v>89</v>
      </c>
      <c r="D154" s="1">
        <v>5</v>
      </c>
      <c r="E154" s="4"/>
      <c r="F154" s="4">
        <f t="shared" si="3"/>
        <v>0</v>
      </c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5"/>
    </row>
    <row r="155" spans="1:21" ht="15.75" x14ac:dyDescent="0.25">
      <c r="A155" s="1"/>
      <c r="B155" s="16" t="s">
        <v>93</v>
      </c>
      <c r="C155" s="1" t="s">
        <v>96</v>
      </c>
      <c r="D155" s="1">
        <v>2</v>
      </c>
      <c r="E155" s="4"/>
      <c r="F155" s="4">
        <f t="shared" si="3"/>
        <v>0</v>
      </c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5"/>
    </row>
    <row r="156" spans="1:21" ht="15.75" x14ac:dyDescent="0.25">
      <c r="A156" s="1"/>
      <c r="B156" s="16" t="s">
        <v>94</v>
      </c>
      <c r="C156" s="1" t="s">
        <v>96</v>
      </c>
      <c r="D156" s="1">
        <v>2</v>
      </c>
      <c r="F156" s="4">
        <f t="shared" si="3"/>
        <v>0</v>
      </c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5"/>
    </row>
    <row r="157" spans="1:21" ht="15.75" x14ac:dyDescent="0.25">
      <c r="A157" s="1"/>
      <c r="B157" s="16" t="s">
        <v>95</v>
      </c>
      <c r="C157" s="1" t="s">
        <v>96</v>
      </c>
      <c r="D157" s="1">
        <v>2</v>
      </c>
      <c r="E157" s="4"/>
      <c r="F157" s="4">
        <f t="shared" si="3"/>
        <v>0</v>
      </c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5"/>
    </row>
    <row r="158" spans="1:21" ht="31.5" x14ac:dyDescent="0.25">
      <c r="A158" s="1"/>
      <c r="B158" s="21" t="s">
        <v>97</v>
      </c>
      <c r="C158" s="1" t="s">
        <v>89</v>
      </c>
      <c r="D158" s="1">
        <v>20</v>
      </c>
      <c r="E158" s="4"/>
      <c r="F158" s="4">
        <f t="shared" si="3"/>
        <v>0</v>
      </c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5"/>
    </row>
    <row r="159" spans="1:21" ht="31.5" x14ac:dyDescent="0.25">
      <c r="A159" s="1"/>
      <c r="B159" s="21" t="s">
        <v>98</v>
      </c>
      <c r="C159" s="1" t="s">
        <v>89</v>
      </c>
      <c r="D159" s="1">
        <v>20</v>
      </c>
      <c r="E159" s="4"/>
      <c r="F159" s="4">
        <f t="shared" si="3"/>
        <v>0</v>
      </c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5"/>
    </row>
    <row r="160" spans="1:21" ht="31.5" x14ac:dyDescent="0.25">
      <c r="A160" s="1"/>
      <c r="B160" s="21" t="s">
        <v>99</v>
      </c>
      <c r="C160" s="1" t="s">
        <v>89</v>
      </c>
      <c r="D160" s="1">
        <v>20</v>
      </c>
      <c r="E160" s="4"/>
      <c r="F160" s="4">
        <f t="shared" si="3"/>
        <v>0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5"/>
    </row>
    <row r="161" spans="1:21" ht="15.75" x14ac:dyDescent="0.25">
      <c r="A161" s="1"/>
      <c r="B161" s="21" t="s">
        <v>113</v>
      </c>
      <c r="C161" s="1"/>
      <c r="D161" s="1"/>
      <c r="E161" s="4"/>
      <c r="F161" s="4">
        <f t="shared" si="3"/>
        <v>0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5"/>
    </row>
    <row r="162" spans="1:21" ht="15.75" x14ac:dyDescent="0.25">
      <c r="A162" s="1"/>
      <c r="B162" s="21" t="s">
        <v>108</v>
      </c>
      <c r="C162" s="1"/>
      <c r="D162" s="1"/>
      <c r="E162" s="4"/>
      <c r="F162" s="4">
        <f t="shared" si="3"/>
        <v>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5"/>
    </row>
    <row r="163" spans="1:21" ht="47.25" x14ac:dyDescent="0.25">
      <c r="A163" s="1"/>
      <c r="B163" s="21" t="s">
        <v>109</v>
      </c>
      <c r="C163" s="1"/>
      <c r="D163" s="1"/>
      <c r="E163" s="4"/>
      <c r="F163" s="4">
        <f t="shared" si="3"/>
        <v>0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5"/>
    </row>
    <row r="164" spans="1:21" ht="15.75" x14ac:dyDescent="0.25">
      <c r="A164" s="1"/>
      <c r="B164" s="21" t="s">
        <v>110</v>
      </c>
      <c r="C164" s="1"/>
      <c r="D164" s="1"/>
      <c r="E164" s="4"/>
      <c r="F164" s="4">
        <f t="shared" si="3"/>
        <v>0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5"/>
    </row>
    <row r="165" spans="1:21" ht="15.75" x14ac:dyDescent="0.25">
      <c r="A165" s="1"/>
      <c r="B165" s="21" t="s">
        <v>111</v>
      </c>
      <c r="C165" s="1"/>
      <c r="D165" s="1"/>
      <c r="E165" s="4"/>
      <c r="F165" s="4">
        <f t="shared" si="3"/>
        <v>0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5"/>
    </row>
    <row r="166" spans="1:21" ht="15.75" x14ac:dyDescent="0.25">
      <c r="A166" s="1"/>
      <c r="B166" s="21" t="s">
        <v>112</v>
      </c>
      <c r="C166" s="1"/>
      <c r="D166" s="1"/>
      <c r="E166" s="4"/>
      <c r="F166" s="4">
        <f t="shared" si="3"/>
        <v>0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5"/>
    </row>
    <row r="167" spans="1:21" ht="31.5" x14ac:dyDescent="0.25">
      <c r="A167" s="1"/>
      <c r="B167" s="21" t="s">
        <v>125</v>
      </c>
      <c r="C167" s="1"/>
      <c r="D167" s="1"/>
      <c r="E167" s="4"/>
      <c r="F167" s="4">
        <f t="shared" si="3"/>
        <v>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5"/>
    </row>
    <row r="168" spans="1:21" ht="15.75" x14ac:dyDescent="0.25">
      <c r="A168" s="1"/>
      <c r="B168" s="16" t="s">
        <v>147</v>
      </c>
      <c r="C168" s="1" t="s">
        <v>89</v>
      </c>
      <c r="D168" s="1">
        <v>3</v>
      </c>
      <c r="E168" s="4">
        <v>71500</v>
      </c>
      <c r="F168" s="4">
        <f t="shared" si="3"/>
        <v>214500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5"/>
    </row>
    <row r="169" spans="1:21" ht="15.75" x14ac:dyDescent="0.25">
      <c r="A169" s="1"/>
      <c r="B169" s="21" t="s">
        <v>148</v>
      </c>
      <c r="C169" s="1" t="s">
        <v>119</v>
      </c>
      <c r="D169" s="1">
        <v>3</v>
      </c>
      <c r="E169" s="4">
        <v>26000</v>
      </c>
      <c r="F169" s="4">
        <f t="shared" si="3"/>
        <v>78000</v>
      </c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5"/>
    </row>
    <row r="170" spans="1:21" ht="15.75" x14ac:dyDescent="0.25">
      <c r="A170" s="1"/>
      <c r="B170" s="21" t="s">
        <v>149</v>
      </c>
      <c r="C170" s="1" t="s">
        <v>89</v>
      </c>
      <c r="D170" s="1">
        <v>3</v>
      </c>
      <c r="E170" s="4">
        <v>62200</v>
      </c>
      <c r="F170" s="4">
        <f t="shared" si="3"/>
        <v>186600</v>
      </c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5"/>
    </row>
    <row r="171" spans="1:21" ht="15.75" x14ac:dyDescent="0.25">
      <c r="A171" s="1"/>
      <c r="B171" s="21" t="s">
        <v>144</v>
      </c>
      <c r="C171" s="1" t="s">
        <v>89</v>
      </c>
      <c r="D171" s="1">
        <v>5</v>
      </c>
      <c r="E171" s="4"/>
      <c r="F171" s="4">
        <f t="shared" si="3"/>
        <v>0</v>
      </c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5"/>
    </row>
    <row r="172" spans="1:21" ht="15.75" x14ac:dyDescent="0.25">
      <c r="A172" s="1"/>
      <c r="B172" s="21" t="s">
        <v>143</v>
      </c>
      <c r="C172" s="1" t="s">
        <v>89</v>
      </c>
      <c r="D172" s="1">
        <v>3</v>
      </c>
      <c r="E172" s="4"/>
      <c r="F172" s="4">
        <f t="shared" si="3"/>
        <v>0</v>
      </c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5"/>
    </row>
    <row r="173" spans="1:21" ht="15.75" x14ac:dyDescent="0.25">
      <c r="A173" s="1"/>
      <c r="B173" s="21" t="s">
        <v>141</v>
      </c>
      <c r="C173" s="1" t="s">
        <v>89</v>
      </c>
      <c r="D173" s="1">
        <v>10</v>
      </c>
      <c r="E173" s="4"/>
      <c r="F173" s="4">
        <f t="shared" si="3"/>
        <v>0</v>
      </c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5"/>
    </row>
    <row r="174" spans="1:21" ht="15.75" x14ac:dyDescent="0.25">
      <c r="A174" s="1"/>
      <c r="B174" s="21" t="s">
        <v>150</v>
      </c>
      <c r="C174" s="1" t="s">
        <v>151</v>
      </c>
      <c r="D174" s="1">
        <v>3</v>
      </c>
      <c r="E174" s="4">
        <v>43800</v>
      </c>
      <c r="F174" s="4">
        <f t="shared" si="3"/>
        <v>131400</v>
      </c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5"/>
    </row>
    <row r="175" spans="1:21" x14ac:dyDescent="0.25">
      <c r="A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5"/>
    </row>
    <row r="176" spans="1:21" ht="15.75" x14ac:dyDescent="0.25">
      <c r="A176" s="1"/>
      <c r="B176" s="21" t="s">
        <v>139</v>
      </c>
      <c r="C176" s="1" t="s">
        <v>140</v>
      </c>
      <c r="D176" s="1">
        <v>5</v>
      </c>
      <c r="E176" s="4"/>
      <c r="F176" s="4">
        <f t="shared" si="3"/>
        <v>0</v>
      </c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5"/>
    </row>
    <row r="177" spans="1:21" ht="15.75" x14ac:dyDescent="0.25">
      <c r="A177" s="1"/>
      <c r="B177" s="21" t="s">
        <v>135</v>
      </c>
      <c r="C177" s="1" t="s">
        <v>140</v>
      </c>
      <c r="D177" s="1">
        <v>5</v>
      </c>
      <c r="E177" s="4"/>
      <c r="F177" s="4">
        <f t="shared" si="3"/>
        <v>0</v>
      </c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5"/>
    </row>
    <row r="178" spans="1:21" ht="15.75" x14ac:dyDescent="0.25">
      <c r="A178" s="1"/>
      <c r="B178" s="21" t="s">
        <v>136</v>
      </c>
      <c r="C178" s="1" t="s">
        <v>140</v>
      </c>
      <c r="D178" s="1">
        <v>5</v>
      </c>
      <c r="E178" s="4"/>
      <c r="F178" s="4">
        <f t="shared" si="3"/>
        <v>0</v>
      </c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5"/>
    </row>
    <row r="179" spans="1:21" ht="31.5" x14ac:dyDescent="0.25">
      <c r="A179" s="1"/>
      <c r="B179" s="21" t="s">
        <v>137</v>
      </c>
      <c r="C179" s="1"/>
      <c r="D179" s="1"/>
      <c r="E179" s="4"/>
      <c r="F179" s="4">
        <f t="shared" si="3"/>
        <v>0</v>
      </c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5"/>
    </row>
    <row r="180" spans="1:21" ht="15.75" x14ac:dyDescent="0.25">
      <c r="A180" s="1"/>
      <c r="B180" s="21" t="s">
        <v>138</v>
      </c>
      <c r="C180" s="1"/>
      <c r="D180" s="1">
        <v>2</v>
      </c>
      <c r="E180" s="4"/>
      <c r="F180" s="4">
        <f t="shared" si="3"/>
        <v>0</v>
      </c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5"/>
    </row>
    <row r="181" spans="1:21" ht="15.75" x14ac:dyDescent="0.25">
      <c r="A181" s="1"/>
      <c r="B181" s="21" t="s">
        <v>154</v>
      </c>
      <c r="C181" s="1" t="s">
        <v>153</v>
      </c>
      <c r="D181" s="1">
        <v>2</v>
      </c>
      <c r="E181" s="4"/>
      <c r="F181" s="4">
        <f t="shared" si="3"/>
        <v>0</v>
      </c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5"/>
    </row>
    <row r="182" spans="1:21" ht="31.5" x14ac:dyDescent="0.25">
      <c r="A182" s="1"/>
      <c r="B182" s="21" t="s">
        <v>155</v>
      </c>
      <c r="C182" s="1" t="s">
        <v>153</v>
      </c>
      <c r="D182" s="1">
        <v>2</v>
      </c>
      <c r="E182" s="4">
        <v>78600</v>
      </c>
      <c r="F182" s="4">
        <f t="shared" si="3"/>
        <v>157200</v>
      </c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5"/>
    </row>
    <row r="183" spans="1:21" ht="15.75" x14ac:dyDescent="0.25">
      <c r="A183" s="1"/>
      <c r="B183" s="21" t="s">
        <v>156</v>
      </c>
      <c r="C183" s="1" t="s">
        <v>157</v>
      </c>
      <c r="D183" s="1">
        <v>2</v>
      </c>
      <c r="E183" s="4">
        <v>1050</v>
      </c>
      <c r="F183" s="4">
        <f t="shared" si="3"/>
        <v>2100</v>
      </c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5"/>
    </row>
    <row r="184" spans="1:21" ht="15.75" x14ac:dyDescent="0.25">
      <c r="A184" s="1"/>
      <c r="B184" s="21" t="s">
        <v>158</v>
      </c>
      <c r="C184" s="1" t="s">
        <v>153</v>
      </c>
      <c r="D184" s="1">
        <v>2</v>
      </c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5"/>
    </row>
    <row r="185" spans="1:21" ht="15.75" x14ac:dyDescent="0.25">
      <c r="A185" s="1"/>
      <c r="B185" s="16" t="s">
        <v>165</v>
      </c>
      <c r="C185" s="1"/>
      <c r="D185" s="1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5"/>
    </row>
    <row r="186" spans="1:21" ht="15.75" x14ac:dyDescent="0.25">
      <c r="A186" s="1"/>
      <c r="B186" s="16" t="s">
        <v>162</v>
      </c>
      <c r="C186" s="1"/>
      <c r="D186" s="1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5"/>
    </row>
    <row r="187" spans="1:21" ht="31.5" x14ac:dyDescent="0.25">
      <c r="A187" s="1"/>
      <c r="B187" s="16" t="s">
        <v>163</v>
      </c>
      <c r="C187" s="1"/>
      <c r="D187" s="1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5"/>
    </row>
    <row r="188" spans="1:21" ht="31.5" x14ac:dyDescent="0.25">
      <c r="A188" s="1"/>
      <c r="B188" s="16" t="s">
        <v>164</v>
      </c>
      <c r="C188" s="1" t="s">
        <v>153</v>
      </c>
      <c r="D188" s="1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5"/>
    </row>
    <row r="189" spans="1:21" ht="15.75" x14ac:dyDescent="0.25">
      <c r="A189" s="1"/>
      <c r="B189" s="16" t="s">
        <v>170</v>
      </c>
      <c r="C189" s="1" t="s">
        <v>153</v>
      </c>
      <c r="D189" s="1"/>
      <c r="E189" s="4"/>
      <c r="F189" s="4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5"/>
    </row>
    <row r="190" spans="1:21" ht="15.75" x14ac:dyDescent="0.25">
      <c r="A190" s="1"/>
      <c r="B190" s="16" t="s">
        <v>167</v>
      </c>
      <c r="C190" s="1" t="s">
        <v>153</v>
      </c>
      <c r="D190" s="1"/>
      <c r="E190" s="4"/>
      <c r="F190" s="4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5"/>
    </row>
    <row r="191" spans="1:21" ht="15.75" x14ac:dyDescent="0.25">
      <c r="A191" s="1"/>
      <c r="B191" s="16" t="s">
        <v>168</v>
      </c>
      <c r="C191" s="1" t="s">
        <v>153</v>
      </c>
      <c r="D191" s="1"/>
      <c r="E191" s="4"/>
      <c r="F191" s="4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5"/>
    </row>
    <row r="192" spans="1:21" ht="15.75" x14ac:dyDescent="0.25">
      <c r="A192" s="1"/>
      <c r="B192" s="21" t="s">
        <v>169</v>
      </c>
      <c r="C192" s="1" t="s">
        <v>153</v>
      </c>
      <c r="D192" s="1"/>
      <c r="E192" s="4"/>
      <c r="F192" s="4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5"/>
    </row>
    <row r="193" spans="1:21" ht="15.75" x14ac:dyDescent="0.25">
      <c r="A193" s="1"/>
      <c r="B193" s="21" t="s">
        <v>174</v>
      </c>
      <c r="C193" s="1" t="s">
        <v>140</v>
      </c>
      <c r="D193" s="1">
        <v>1</v>
      </c>
      <c r="E193" s="4"/>
      <c r="F193" s="4">
        <f t="shared" si="3"/>
        <v>0</v>
      </c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5"/>
    </row>
    <row r="194" spans="1:21" ht="15.75" x14ac:dyDescent="0.25">
      <c r="A194" s="1"/>
      <c r="B194" s="21" t="s">
        <v>171</v>
      </c>
      <c r="C194" s="1" t="s">
        <v>140</v>
      </c>
      <c r="D194" s="1">
        <v>1</v>
      </c>
      <c r="E194" s="4"/>
      <c r="F194" s="4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5"/>
    </row>
    <row r="195" spans="1:21" ht="15.75" x14ac:dyDescent="0.25">
      <c r="A195" s="1"/>
      <c r="B195" s="21" t="s">
        <v>136</v>
      </c>
      <c r="C195" s="1" t="s">
        <v>140</v>
      </c>
      <c r="D195" s="1">
        <v>1</v>
      </c>
      <c r="E195" s="4"/>
      <c r="F195" s="4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5"/>
    </row>
    <row r="196" spans="1:21" ht="15.75" x14ac:dyDescent="0.25">
      <c r="A196" s="1"/>
      <c r="B196" s="21" t="s">
        <v>172</v>
      </c>
      <c r="C196" s="1" t="s">
        <v>140</v>
      </c>
      <c r="D196" s="1">
        <v>1</v>
      </c>
      <c r="E196" s="4"/>
      <c r="F196" s="4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5"/>
    </row>
    <row r="197" spans="1:21" ht="15.75" x14ac:dyDescent="0.25">
      <c r="A197" s="1"/>
      <c r="B197" s="21"/>
      <c r="C197" s="1"/>
      <c r="D197" s="1"/>
      <c r="E197" s="4"/>
      <c r="F197" s="4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5"/>
    </row>
    <row r="198" spans="1:21" ht="15.75" x14ac:dyDescent="0.25">
      <c r="A198" s="1"/>
      <c r="B198" s="21"/>
      <c r="C198" s="1"/>
      <c r="D198" s="1"/>
      <c r="E198" s="4"/>
      <c r="F198" s="4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5"/>
    </row>
    <row r="199" spans="1:21" ht="15.75" x14ac:dyDescent="0.25">
      <c r="A199" s="1"/>
      <c r="B199" s="21"/>
      <c r="C199" s="1"/>
      <c r="D199" s="1"/>
      <c r="E199" s="4"/>
      <c r="F199" s="4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5"/>
    </row>
    <row r="200" spans="1:21" ht="15.75" x14ac:dyDescent="0.25">
      <c r="A200" s="1"/>
      <c r="B200" s="21"/>
      <c r="C200" s="1"/>
      <c r="D200" s="1"/>
      <c r="E200" s="4"/>
      <c r="F200" s="4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5"/>
    </row>
    <row r="201" spans="1:21" ht="15.75" x14ac:dyDescent="0.25">
      <c r="A201" s="1"/>
      <c r="B201" s="21"/>
      <c r="C201" s="1"/>
      <c r="D201" s="1"/>
      <c r="E201" s="4"/>
      <c r="F201" s="4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5"/>
    </row>
    <row r="202" spans="1:21" ht="15.75" x14ac:dyDescent="0.25">
      <c r="A202" s="3" t="s">
        <v>181</v>
      </c>
      <c r="B202" s="21"/>
      <c r="C202" s="3"/>
      <c r="D202" s="1"/>
      <c r="E202" s="4"/>
      <c r="F202" s="4">
        <f t="shared" si="3"/>
        <v>0</v>
      </c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5">
        <f t="shared" ref="U202:U222" si="5">D202*E202</f>
        <v>0</v>
      </c>
    </row>
    <row r="203" spans="1:21" x14ac:dyDescent="0.25">
      <c r="A203" s="1"/>
      <c r="B203" s="17" t="s">
        <v>48</v>
      </c>
      <c r="C203" s="1"/>
      <c r="D203" s="1"/>
      <c r="E203" s="4"/>
      <c r="F203" s="4">
        <f t="shared" si="3"/>
        <v>0</v>
      </c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5"/>
      <c r="U203" s="15">
        <f t="shared" si="5"/>
        <v>0</v>
      </c>
    </row>
    <row r="204" spans="1:21" ht="15.75" x14ac:dyDescent="0.25">
      <c r="A204" s="1"/>
      <c r="C204" s="16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25">
        <v>1</v>
      </c>
      <c r="U204" s="15">
        <f>D205*E205</f>
        <v>170000</v>
      </c>
    </row>
    <row r="205" spans="1:21" ht="15.75" x14ac:dyDescent="0.25">
      <c r="A205" s="1"/>
      <c r="B205" s="16" t="s">
        <v>52</v>
      </c>
      <c r="C205" s="16" t="s">
        <v>102</v>
      </c>
      <c r="D205" s="16">
        <v>1</v>
      </c>
      <c r="E205" s="19">
        <v>170000</v>
      </c>
      <c r="F205" s="22">
        <f>D205*E205</f>
        <v>170000</v>
      </c>
      <c r="G205" s="1"/>
      <c r="H205" s="1" t="s">
        <v>31</v>
      </c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25">
        <v>2</v>
      </c>
      <c r="U205" s="15">
        <f>D206*E206</f>
        <v>3600000</v>
      </c>
    </row>
    <row r="206" spans="1:21" ht="15.75" x14ac:dyDescent="0.25">
      <c r="A206" s="1"/>
      <c r="B206" s="16" t="s">
        <v>53</v>
      </c>
      <c r="C206" s="16" t="s">
        <v>102</v>
      </c>
      <c r="D206" s="16">
        <v>2</v>
      </c>
      <c r="E206" s="19">
        <v>1800000</v>
      </c>
      <c r="F206" s="22">
        <f>D206*E206</f>
        <v>3600000</v>
      </c>
      <c r="G206" s="1"/>
      <c r="H206" s="1" t="s">
        <v>31</v>
      </c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25">
        <v>1</v>
      </c>
      <c r="U206" s="15">
        <f>D207*E207</f>
        <v>250000</v>
      </c>
    </row>
    <row r="207" spans="1:21" ht="15.75" x14ac:dyDescent="0.25">
      <c r="A207" s="1"/>
      <c r="B207" s="16" t="s">
        <v>54</v>
      </c>
      <c r="C207" s="16" t="s">
        <v>102</v>
      </c>
      <c r="D207" s="16">
        <v>1</v>
      </c>
      <c r="E207" s="19">
        <v>250000</v>
      </c>
      <c r="F207" s="22">
        <f>D207*E207</f>
        <v>250000</v>
      </c>
      <c r="G207" s="1"/>
      <c r="H207" s="1" t="s">
        <v>31</v>
      </c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5"/>
      <c r="U207" s="15" t="e">
        <f>#REF!*#REF!</f>
        <v>#REF!</v>
      </c>
    </row>
    <row r="208" spans="1:21" ht="94.5" x14ac:dyDescent="0.25">
      <c r="A208" s="1"/>
      <c r="B208" s="16" t="s">
        <v>79</v>
      </c>
      <c r="C208" s="17" t="s">
        <v>102</v>
      </c>
      <c r="D208" s="17">
        <v>1</v>
      </c>
      <c r="E208" s="22">
        <v>650000</v>
      </c>
      <c r="F208" s="22">
        <f t="shared" si="3"/>
        <v>650000</v>
      </c>
      <c r="G208" s="1"/>
      <c r="H208" s="1" t="s">
        <v>31</v>
      </c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5"/>
      <c r="U208" s="15">
        <f t="shared" si="5"/>
        <v>650000</v>
      </c>
    </row>
    <row r="209" spans="1:21" ht="31.5" x14ac:dyDescent="0.25">
      <c r="A209" s="1"/>
      <c r="B209" s="16" t="s">
        <v>101</v>
      </c>
      <c r="C209" s="1" t="s">
        <v>102</v>
      </c>
      <c r="D209" s="1">
        <v>1</v>
      </c>
      <c r="E209" s="4">
        <v>29738800</v>
      </c>
      <c r="F209" s="4">
        <f t="shared" si="3"/>
        <v>29738800</v>
      </c>
      <c r="G209" s="1"/>
      <c r="H209" s="1" t="s">
        <v>122</v>
      </c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5"/>
      <c r="U209" s="15">
        <f t="shared" si="5"/>
        <v>29738800</v>
      </c>
    </row>
    <row r="210" spans="1:21" ht="45" x14ac:dyDescent="0.25">
      <c r="A210" s="1"/>
      <c r="B210" s="24" t="s">
        <v>103</v>
      </c>
      <c r="C210" s="1" t="s">
        <v>102</v>
      </c>
      <c r="D210" s="1">
        <v>1</v>
      </c>
      <c r="E210" s="4">
        <v>4417595</v>
      </c>
      <c r="F210" s="4">
        <f t="shared" si="3"/>
        <v>4417595</v>
      </c>
      <c r="G210" s="1"/>
      <c r="H210" s="1" t="s">
        <v>122</v>
      </c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5"/>
      <c r="U210" s="15">
        <f t="shared" si="5"/>
        <v>4417595</v>
      </c>
    </row>
    <row r="211" spans="1:21" x14ac:dyDescent="0.25">
      <c r="A211" s="1"/>
      <c r="B211" s="1" t="s">
        <v>104</v>
      </c>
      <c r="C211" s="1" t="s">
        <v>102</v>
      </c>
      <c r="D211" s="1">
        <v>1</v>
      </c>
      <c r="E211" s="4">
        <v>8920670</v>
      </c>
      <c r="F211" s="4">
        <f t="shared" si="3"/>
        <v>8920670</v>
      </c>
      <c r="G211" s="1"/>
      <c r="H211" s="1" t="s">
        <v>122</v>
      </c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5"/>
      <c r="U211" s="15">
        <f t="shared" si="5"/>
        <v>8920670</v>
      </c>
    </row>
    <row r="212" spans="1:21" x14ac:dyDescent="0.25">
      <c r="A212" s="1"/>
      <c r="B212" s="1" t="s">
        <v>114</v>
      </c>
      <c r="C212" s="1" t="s">
        <v>102</v>
      </c>
      <c r="D212" s="1">
        <v>3</v>
      </c>
      <c r="E212" s="4">
        <v>25000</v>
      </c>
      <c r="F212" s="4">
        <f t="shared" si="3"/>
        <v>75000</v>
      </c>
      <c r="G212" s="1"/>
      <c r="H212" s="1" t="s">
        <v>31</v>
      </c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5"/>
      <c r="U212" s="15">
        <f t="shared" si="5"/>
        <v>75000</v>
      </c>
    </row>
    <row r="213" spans="1:21" x14ac:dyDescent="0.25">
      <c r="A213" s="1"/>
      <c r="B213" s="1" t="s">
        <v>115</v>
      </c>
      <c r="C213" s="1" t="s">
        <v>102</v>
      </c>
      <c r="D213" s="1">
        <v>2</v>
      </c>
      <c r="E213" s="4">
        <v>3900000</v>
      </c>
      <c r="F213" s="4">
        <f t="shared" si="3"/>
        <v>7800000</v>
      </c>
      <c r="G213" s="1"/>
      <c r="H213" s="1" t="s">
        <v>123</v>
      </c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5"/>
      <c r="U213" s="15">
        <f t="shared" si="5"/>
        <v>7800000</v>
      </c>
    </row>
    <row r="214" spans="1:21" ht="63" x14ac:dyDescent="0.25">
      <c r="A214" s="1"/>
      <c r="B214" s="16" t="s">
        <v>117</v>
      </c>
      <c r="C214" s="1" t="s">
        <v>102</v>
      </c>
      <c r="D214" s="1">
        <v>1</v>
      </c>
      <c r="E214" s="19">
        <v>419830</v>
      </c>
      <c r="F214" s="4">
        <f t="shared" si="3"/>
        <v>419830</v>
      </c>
      <c r="G214" s="1"/>
      <c r="H214" s="1" t="s">
        <v>31</v>
      </c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5"/>
      <c r="U214" s="15">
        <f t="shared" si="5"/>
        <v>419830</v>
      </c>
    </row>
    <row r="215" spans="1:21" x14ac:dyDescent="0.25">
      <c r="A215" s="1"/>
      <c r="B215" s="1" t="s">
        <v>126</v>
      </c>
      <c r="C215" s="1" t="s">
        <v>102</v>
      </c>
      <c r="D215" s="1">
        <v>2</v>
      </c>
      <c r="E215" s="4">
        <v>55000</v>
      </c>
      <c r="F215" s="4">
        <f t="shared" si="3"/>
        <v>110000</v>
      </c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5"/>
      <c r="U215" s="15">
        <f t="shared" si="5"/>
        <v>110000</v>
      </c>
    </row>
    <row r="216" spans="1:21" x14ac:dyDescent="0.25">
      <c r="A216" s="1"/>
      <c r="B216" s="1" t="s">
        <v>127</v>
      </c>
      <c r="C216" s="1" t="s">
        <v>102</v>
      </c>
      <c r="D216" s="1">
        <v>2</v>
      </c>
      <c r="E216" s="4">
        <v>55000</v>
      </c>
      <c r="F216" s="4">
        <f t="shared" si="3"/>
        <v>110000</v>
      </c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5"/>
      <c r="U216" s="15">
        <f t="shared" si="5"/>
        <v>110000</v>
      </c>
    </row>
    <row r="217" spans="1:21" x14ac:dyDescent="0.25">
      <c r="A217" s="1"/>
      <c r="B217" s="1" t="s">
        <v>128</v>
      </c>
      <c r="C217" s="1" t="s">
        <v>102</v>
      </c>
      <c r="D217" s="1">
        <v>2</v>
      </c>
      <c r="E217" s="4">
        <v>55000</v>
      </c>
      <c r="F217" s="4">
        <f t="shared" si="3"/>
        <v>110000</v>
      </c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5"/>
      <c r="U217" s="15">
        <f t="shared" si="5"/>
        <v>110000</v>
      </c>
    </row>
    <row r="218" spans="1:21" x14ac:dyDescent="0.25">
      <c r="A218" s="1"/>
      <c r="B218" s="1" t="s">
        <v>129</v>
      </c>
      <c r="C218" s="1" t="s">
        <v>102</v>
      </c>
      <c r="D218" s="1">
        <v>2</v>
      </c>
      <c r="E218" s="4">
        <v>55000</v>
      </c>
      <c r="F218" s="4">
        <f t="shared" si="3"/>
        <v>110000</v>
      </c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5"/>
      <c r="U218" s="15">
        <f t="shared" si="5"/>
        <v>110000</v>
      </c>
    </row>
    <row r="219" spans="1:21" ht="30" x14ac:dyDescent="0.25">
      <c r="A219" s="1"/>
      <c r="B219" s="24" t="s">
        <v>130</v>
      </c>
      <c r="C219" s="1" t="s">
        <v>102</v>
      </c>
      <c r="D219" s="1">
        <v>2</v>
      </c>
      <c r="E219" s="4">
        <v>178000</v>
      </c>
      <c r="F219" s="4">
        <f t="shared" si="3"/>
        <v>356000</v>
      </c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5"/>
      <c r="U219" s="15">
        <f t="shared" si="5"/>
        <v>356000</v>
      </c>
    </row>
    <row r="220" spans="1:21" ht="30" x14ac:dyDescent="0.25">
      <c r="A220" s="1"/>
      <c r="B220" s="24" t="s">
        <v>131</v>
      </c>
      <c r="C220" s="1" t="s">
        <v>102</v>
      </c>
      <c r="D220" s="1">
        <v>2</v>
      </c>
      <c r="E220" s="4">
        <v>178000</v>
      </c>
      <c r="F220" s="4">
        <f t="shared" si="3"/>
        <v>356000</v>
      </c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5"/>
      <c r="U220" s="15">
        <f t="shared" si="5"/>
        <v>356000</v>
      </c>
    </row>
    <row r="221" spans="1:21" ht="15.75" x14ac:dyDescent="0.25">
      <c r="A221" s="1"/>
      <c r="B221" s="16" t="s">
        <v>161</v>
      </c>
      <c r="C221" s="1" t="s">
        <v>80</v>
      </c>
      <c r="D221" s="1">
        <v>1</v>
      </c>
      <c r="E221" s="19">
        <v>4900000</v>
      </c>
      <c r="F221" s="4">
        <f t="shared" si="3"/>
        <v>4900000</v>
      </c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5"/>
      <c r="U221" s="15">
        <f t="shared" si="5"/>
        <v>4900000</v>
      </c>
    </row>
    <row r="222" spans="1:21" ht="15.75" x14ac:dyDescent="0.25">
      <c r="A222" s="1"/>
      <c r="B222" s="16" t="s">
        <v>166</v>
      </c>
      <c r="C222" s="1" t="s">
        <v>102</v>
      </c>
      <c r="D222" s="1">
        <v>1</v>
      </c>
      <c r="E222" s="19">
        <v>965126</v>
      </c>
      <c r="F222" s="4">
        <f t="shared" si="3"/>
        <v>965126</v>
      </c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5"/>
      <c r="U222" s="15">
        <f t="shared" si="5"/>
        <v>965126</v>
      </c>
    </row>
    <row r="223" spans="1:21" ht="75" x14ac:dyDescent="0.25">
      <c r="A223" s="1"/>
      <c r="B223" s="24" t="s">
        <v>175</v>
      </c>
      <c r="C223" s="1" t="s">
        <v>102</v>
      </c>
      <c r="D223" s="1">
        <v>5</v>
      </c>
      <c r="E223" s="4">
        <v>300000</v>
      </c>
      <c r="F223" s="4">
        <f>D223*E223</f>
        <v>1500000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5"/>
      <c r="U223" s="15" t="e">
        <f>#REF!*#REF!</f>
        <v>#REF!</v>
      </c>
    </row>
    <row r="224" spans="1:21" ht="15.75" x14ac:dyDescent="0.25">
      <c r="A224" s="1"/>
      <c r="B224" s="16" t="s">
        <v>188</v>
      </c>
      <c r="C224" s="17" t="s">
        <v>102</v>
      </c>
      <c r="D224" s="16">
        <v>1</v>
      </c>
      <c r="E224" s="4"/>
      <c r="F224" s="4">
        <f t="shared" ref="F224:F234" si="6">D224*E224</f>
        <v>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5"/>
      <c r="U224" s="15" t="e">
        <f>#REF!*#REF!</f>
        <v>#REF!</v>
      </c>
    </row>
    <row r="225" spans="1:21" ht="15.75" x14ac:dyDescent="0.25">
      <c r="A225" s="1"/>
      <c r="B225" s="34" t="s">
        <v>219</v>
      </c>
      <c r="C225" s="17" t="s">
        <v>228</v>
      </c>
      <c r="D225" s="35">
        <v>1</v>
      </c>
      <c r="E225" s="36">
        <v>152000</v>
      </c>
      <c r="F225" s="4">
        <f t="shared" si="6"/>
        <v>152000</v>
      </c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5"/>
      <c r="U225" s="15"/>
    </row>
    <row r="226" spans="1:21" ht="15.75" x14ac:dyDescent="0.25">
      <c r="A226" s="1"/>
      <c r="B226" s="34" t="s">
        <v>220</v>
      </c>
      <c r="C226" s="17"/>
      <c r="D226" s="35">
        <v>1</v>
      </c>
      <c r="E226" s="36">
        <v>50157</v>
      </c>
      <c r="F226" s="4">
        <f t="shared" si="6"/>
        <v>50157</v>
      </c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5"/>
      <c r="U226" s="15"/>
    </row>
    <row r="227" spans="1:21" ht="31.5" x14ac:dyDescent="0.25">
      <c r="A227" s="1"/>
      <c r="B227" s="34" t="s">
        <v>229</v>
      </c>
      <c r="C227" s="17"/>
      <c r="D227" s="35">
        <v>1</v>
      </c>
      <c r="E227" s="36">
        <v>280000</v>
      </c>
      <c r="F227" s="4">
        <f t="shared" si="6"/>
        <v>280000</v>
      </c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5"/>
      <c r="U227" s="15"/>
    </row>
    <row r="228" spans="1:21" ht="15.75" x14ac:dyDescent="0.25">
      <c r="A228" s="1"/>
      <c r="B228" s="34" t="s">
        <v>221</v>
      </c>
      <c r="C228" s="17"/>
      <c r="D228" s="35">
        <v>15</v>
      </c>
      <c r="E228" s="36">
        <v>75000</v>
      </c>
      <c r="F228" s="4">
        <f t="shared" si="6"/>
        <v>1125000</v>
      </c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5"/>
      <c r="U228" s="15"/>
    </row>
    <row r="229" spans="1:21" ht="15.75" x14ac:dyDescent="0.25">
      <c r="A229" s="1"/>
      <c r="B229" s="34" t="s">
        <v>222</v>
      </c>
      <c r="C229" s="17"/>
      <c r="D229" s="35">
        <v>1</v>
      </c>
      <c r="E229" s="36">
        <v>45000</v>
      </c>
      <c r="F229" s="4">
        <f t="shared" si="6"/>
        <v>45000</v>
      </c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5"/>
      <c r="U229" s="15"/>
    </row>
    <row r="230" spans="1:21" ht="15.75" x14ac:dyDescent="0.25">
      <c r="A230" s="1"/>
      <c r="B230" s="34" t="s">
        <v>223</v>
      </c>
      <c r="C230" s="17"/>
      <c r="D230" s="35">
        <v>5</v>
      </c>
      <c r="E230" s="36">
        <v>50000</v>
      </c>
      <c r="F230" s="4">
        <f t="shared" si="6"/>
        <v>250000</v>
      </c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5"/>
      <c r="U230" s="15"/>
    </row>
    <row r="231" spans="1:21" ht="15.75" x14ac:dyDescent="0.25">
      <c r="A231" s="1"/>
      <c r="B231" s="34" t="s">
        <v>224</v>
      </c>
      <c r="C231" s="17"/>
      <c r="D231" s="35">
        <v>1</v>
      </c>
      <c r="E231" s="36">
        <v>1058600</v>
      </c>
      <c r="F231" s="4">
        <f t="shared" si="6"/>
        <v>1058600</v>
      </c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5"/>
      <c r="U231" s="15"/>
    </row>
    <row r="232" spans="1:21" ht="15.75" x14ac:dyDescent="0.25">
      <c r="A232" s="1"/>
      <c r="B232" s="34" t="s">
        <v>225</v>
      </c>
      <c r="C232" s="17"/>
      <c r="D232" s="35">
        <v>7</v>
      </c>
      <c r="E232" s="36">
        <v>14000</v>
      </c>
      <c r="F232" s="4">
        <f t="shared" si="6"/>
        <v>98000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5"/>
      <c r="U232" s="15"/>
    </row>
    <row r="233" spans="1:21" ht="15.75" x14ac:dyDescent="0.25">
      <c r="A233" s="1"/>
      <c r="B233" s="34" t="s">
        <v>226</v>
      </c>
      <c r="C233" s="17"/>
      <c r="D233" s="35">
        <v>3</v>
      </c>
      <c r="E233" s="36">
        <v>323700</v>
      </c>
      <c r="F233" s="4">
        <f t="shared" si="6"/>
        <v>971100</v>
      </c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5"/>
      <c r="U233" s="15"/>
    </row>
    <row r="234" spans="1:21" ht="15.75" x14ac:dyDescent="0.25">
      <c r="A234" s="1"/>
      <c r="B234" s="34" t="s">
        <v>227</v>
      </c>
      <c r="C234" s="17"/>
      <c r="D234" s="35"/>
      <c r="E234" s="36">
        <v>3000000</v>
      </c>
      <c r="F234" s="4">
        <f t="shared" si="6"/>
        <v>0</v>
      </c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5"/>
      <c r="U234" s="15"/>
    </row>
    <row r="235" spans="1:21" ht="15.75" x14ac:dyDescent="0.25">
      <c r="A235" s="1"/>
      <c r="B235" s="16"/>
      <c r="C235" s="17"/>
      <c r="D235" s="16"/>
      <c r="E235" s="22"/>
      <c r="F235" s="4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5"/>
      <c r="U235" s="15"/>
    </row>
    <row r="236" spans="1:21" ht="15.75" x14ac:dyDescent="0.25">
      <c r="A236" s="1"/>
      <c r="B236" s="16"/>
      <c r="C236" s="17"/>
      <c r="D236" s="16"/>
      <c r="E236" s="4"/>
      <c r="F236" s="4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5"/>
      <c r="U236" s="15"/>
    </row>
    <row r="237" spans="1:21" ht="15.75" x14ac:dyDescent="0.25">
      <c r="A237" s="1"/>
      <c r="B237" s="16"/>
      <c r="C237" s="17"/>
      <c r="D237" s="16"/>
      <c r="E237" s="4"/>
      <c r="F237" s="4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5"/>
      <c r="U237" s="15">
        <f>D223*E223</f>
        <v>1500000</v>
      </c>
    </row>
    <row r="238" spans="1:21" ht="15.75" x14ac:dyDescent="0.25">
      <c r="A238" s="1"/>
      <c r="B238" s="16"/>
      <c r="C238" s="17"/>
      <c r="D238" s="16"/>
      <c r="E238" s="4"/>
      <c r="F238" s="4"/>
      <c r="G238" s="1"/>
      <c r="H238" s="1"/>
      <c r="I238" s="1"/>
      <c r="J238" s="1"/>
      <c r="K238" s="5"/>
      <c r="L238" s="1"/>
      <c r="M238" s="1"/>
      <c r="N238" s="1"/>
      <c r="O238" s="1"/>
      <c r="P238" s="1"/>
      <c r="Q238" s="1"/>
      <c r="R238" s="1"/>
      <c r="S238" s="1"/>
      <c r="T238" s="5"/>
      <c r="U238" s="15">
        <f>D224*E224</f>
        <v>0</v>
      </c>
    </row>
    <row r="239" spans="1:21" ht="15.75" x14ac:dyDescent="0.25">
      <c r="A239" s="1"/>
      <c r="B239" s="16"/>
      <c r="C239" s="32"/>
      <c r="D239" s="33"/>
      <c r="E239" s="31"/>
      <c r="F239" s="31"/>
      <c r="G239" s="1"/>
      <c r="H239" s="1"/>
      <c r="I239" s="1"/>
      <c r="J239" s="1"/>
      <c r="K239" s="5"/>
      <c r="L239" s="1"/>
      <c r="M239" s="1"/>
      <c r="N239" s="1"/>
      <c r="O239" s="1"/>
      <c r="P239" s="1"/>
      <c r="Q239" s="1"/>
      <c r="R239" s="1"/>
      <c r="S239" s="1"/>
      <c r="T239" s="5"/>
      <c r="U239" s="15"/>
    </row>
    <row r="240" spans="1:21" x14ac:dyDescent="0.25">
      <c r="A240" s="1"/>
      <c r="B240" s="17"/>
      <c r="C240" s="18"/>
      <c r="D240" s="18"/>
      <c r="G240" s="1"/>
      <c r="H240" s="1"/>
      <c r="I240" s="1"/>
      <c r="J240" s="1"/>
      <c r="K240" s="5"/>
      <c r="L240" s="1"/>
      <c r="M240" s="1"/>
      <c r="N240" s="1"/>
      <c r="O240" s="1"/>
      <c r="P240" s="1"/>
      <c r="Q240" s="1"/>
      <c r="R240" s="1"/>
      <c r="S240" s="1"/>
      <c r="T240" s="5"/>
      <c r="U240" s="15">
        <f>D237*E237</f>
        <v>0</v>
      </c>
    </row>
    <row r="241" spans="1:21" x14ac:dyDescent="0.25">
      <c r="A241" s="1"/>
      <c r="B241" s="17"/>
      <c r="C241" s="17"/>
      <c r="D241" s="17"/>
      <c r="E241" s="4"/>
      <c r="F241" s="4">
        <f t="shared" si="3"/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5"/>
      <c r="U241" s="15">
        <f>D238*E238</f>
        <v>0</v>
      </c>
    </row>
    <row r="242" spans="1:21" x14ac:dyDescent="0.25">
      <c r="A242" s="1"/>
      <c r="B242" s="1"/>
      <c r="C242" s="1"/>
      <c r="D242" s="1"/>
      <c r="E242" s="4"/>
      <c r="F242" s="4">
        <f t="shared" si="3"/>
        <v>0</v>
      </c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5"/>
      <c r="U242" s="15">
        <f t="shared" ref="U242:U249" si="7">D241*E241</f>
        <v>0</v>
      </c>
    </row>
    <row r="243" spans="1:21" ht="15.75" x14ac:dyDescent="0.25">
      <c r="A243" s="1"/>
      <c r="B243" s="16"/>
      <c r="C243" s="3"/>
      <c r="D243" s="1"/>
      <c r="E243" s="4"/>
      <c r="F243" s="4">
        <f t="shared" si="3"/>
        <v>0</v>
      </c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5"/>
      <c r="U243" s="15">
        <f t="shared" si="7"/>
        <v>0</v>
      </c>
    </row>
    <row r="244" spans="1:21" ht="15.75" x14ac:dyDescent="0.25">
      <c r="A244" s="3" t="s">
        <v>182</v>
      </c>
      <c r="B244" s="1"/>
      <c r="C244" s="16"/>
      <c r="D244" s="1"/>
      <c r="E244" s="4"/>
      <c r="F244" s="4">
        <f t="shared" si="3"/>
        <v>0</v>
      </c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5"/>
      <c r="U244" s="15">
        <f t="shared" si="7"/>
        <v>0</v>
      </c>
    </row>
    <row r="245" spans="1:21" ht="15.75" x14ac:dyDescent="0.25">
      <c r="A245" s="1"/>
      <c r="B245" s="16" t="s">
        <v>57</v>
      </c>
      <c r="C245" s="1"/>
      <c r="D245" s="1"/>
      <c r="E245" s="4"/>
      <c r="F245" s="4">
        <f t="shared" si="3"/>
        <v>0</v>
      </c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5"/>
      <c r="U245" s="15">
        <f t="shared" si="7"/>
        <v>0</v>
      </c>
    </row>
    <row r="246" spans="1:21" x14ac:dyDescent="0.25">
      <c r="A246" s="1"/>
      <c r="B246" s="1" t="s">
        <v>55</v>
      </c>
      <c r="C246" s="1"/>
      <c r="D246" s="1"/>
      <c r="E246" s="4"/>
      <c r="F246" s="4">
        <f t="shared" si="3"/>
        <v>0</v>
      </c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5"/>
      <c r="U246" s="15">
        <f t="shared" si="7"/>
        <v>0</v>
      </c>
    </row>
    <row r="247" spans="1:21" x14ac:dyDescent="0.25">
      <c r="A247" s="1"/>
      <c r="B247" s="1" t="s">
        <v>56</v>
      </c>
      <c r="C247" s="1"/>
      <c r="D247" s="1"/>
      <c r="E247" s="4"/>
      <c r="F247" s="4">
        <f t="shared" si="3"/>
        <v>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5"/>
      <c r="U247" s="15">
        <f t="shared" si="7"/>
        <v>0</v>
      </c>
    </row>
    <row r="248" spans="1:21" ht="15.75" x14ac:dyDescent="0.25">
      <c r="A248" s="1"/>
      <c r="B248" s="28" t="s">
        <v>185</v>
      </c>
      <c r="C248" s="1"/>
      <c r="D248" s="1"/>
      <c r="E248" s="4"/>
      <c r="F248" s="4">
        <f t="shared" si="3"/>
        <v>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5"/>
      <c r="U248" s="15">
        <f t="shared" si="7"/>
        <v>0</v>
      </c>
    </row>
    <row r="249" spans="1:21" x14ac:dyDescent="0.25">
      <c r="A249" s="1"/>
      <c r="B249" s="1"/>
      <c r="C249" s="3"/>
      <c r="D249" s="1"/>
      <c r="E249" s="4"/>
      <c r="F249" s="4">
        <f t="shared" si="3"/>
        <v>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5">
        <f t="shared" si="7"/>
        <v>0</v>
      </c>
    </row>
    <row r="250" spans="1:21" x14ac:dyDescent="0.25">
      <c r="A250" s="1"/>
      <c r="B250" s="1"/>
      <c r="C250" s="1"/>
      <c r="D250" s="1"/>
      <c r="E250" s="4"/>
      <c r="F250" s="4">
        <f t="shared" ref="F250:F251" si="8">D250*E250</f>
        <v>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5"/>
      <c r="U250" s="15" t="e">
        <f>#REF!*#REF!</f>
        <v>#REF!</v>
      </c>
    </row>
    <row r="251" spans="1:21" x14ac:dyDescent="0.25">
      <c r="A251" s="1"/>
      <c r="B251" s="1"/>
      <c r="C251" s="1"/>
      <c r="D251" s="1"/>
      <c r="E251" s="4"/>
      <c r="F251" s="4">
        <f t="shared" si="8"/>
        <v>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5"/>
      <c r="U251" s="15">
        <f t="shared" ref="U251:U313" si="9">D250*E250</f>
        <v>0</v>
      </c>
    </row>
    <row r="252" spans="1:21" ht="15.75" x14ac:dyDescent="0.25">
      <c r="A252" s="1"/>
      <c r="B252" s="16"/>
      <c r="C252" s="1"/>
      <c r="D252" s="16"/>
      <c r="E252" s="18"/>
      <c r="F252" s="19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5">
        <f t="shared" si="9"/>
        <v>0</v>
      </c>
    </row>
    <row r="253" spans="1:21" ht="15.75" x14ac:dyDescent="0.25">
      <c r="A253" s="1" t="s">
        <v>183</v>
      </c>
      <c r="B253" s="16"/>
      <c r="C253" s="17"/>
      <c r="D253" s="16"/>
      <c r="E253" s="18"/>
      <c r="F253" s="19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5" t="e">
        <f>#REF!*#REF!</f>
        <v>#REF!</v>
      </c>
    </row>
    <row r="254" spans="1:21" ht="15.75" x14ac:dyDescent="0.25">
      <c r="A254" s="1">
        <v>1</v>
      </c>
      <c r="B254" s="16" t="s">
        <v>64</v>
      </c>
      <c r="C254" s="1"/>
      <c r="D254" s="16">
        <v>40</v>
      </c>
      <c r="E254" s="18">
        <v>32000</v>
      </c>
      <c r="F254" s="19">
        <f>D254*E254</f>
        <v>1280000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>
        <v>40</v>
      </c>
      <c r="U254" s="15">
        <f>D252*E252</f>
        <v>0</v>
      </c>
    </row>
    <row r="255" spans="1:21" ht="15.75" x14ac:dyDescent="0.25">
      <c r="A255" s="1">
        <v>2</v>
      </c>
      <c r="B255" s="16" t="s">
        <v>65</v>
      </c>
      <c r="C255" s="17"/>
      <c r="D255" s="16">
        <v>14</v>
      </c>
      <c r="E255" s="18">
        <v>12000</v>
      </c>
      <c r="F255" s="19">
        <f>D255*E255</f>
        <v>168000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>
        <v>14</v>
      </c>
      <c r="U255" s="15">
        <f>D253*E253</f>
        <v>0</v>
      </c>
    </row>
    <row r="256" spans="1:21" ht="15.75" x14ac:dyDescent="0.25">
      <c r="A256" s="1">
        <v>3</v>
      </c>
      <c r="B256" s="28" t="s">
        <v>180</v>
      </c>
      <c r="C256" s="1" t="s">
        <v>102</v>
      </c>
      <c r="D256" s="28">
        <v>70</v>
      </c>
      <c r="E256" s="4">
        <v>24000</v>
      </c>
      <c r="F256" s="4">
        <f>D256*E256</f>
        <v>1680000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>
        <v>14</v>
      </c>
      <c r="U256" s="15">
        <f t="shared" si="9"/>
        <v>168000</v>
      </c>
    </row>
    <row r="257" spans="1:21" ht="15.75" x14ac:dyDescent="0.25">
      <c r="A257" s="1"/>
      <c r="B257" s="28" t="s">
        <v>178</v>
      </c>
      <c r="C257" s="1" t="s">
        <v>102</v>
      </c>
      <c r="D257" s="28">
        <v>100</v>
      </c>
      <c r="E257" s="4">
        <v>1800</v>
      </c>
      <c r="F257" s="4">
        <f>D257*E257</f>
        <v>180000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5"/>
    </row>
    <row r="258" spans="1:21" ht="15.75" x14ac:dyDescent="0.25">
      <c r="A258" s="1"/>
      <c r="B258" s="28" t="s">
        <v>179</v>
      </c>
      <c r="C258" s="1" t="s">
        <v>102</v>
      </c>
      <c r="D258" s="28">
        <v>5</v>
      </c>
      <c r="E258" s="4">
        <v>20000</v>
      </c>
      <c r="F258" s="4">
        <f>D258*E258</f>
        <v>100000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5"/>
    </row>
    <row r="259" spans="1:21" x14ac:dyDescent="0.25">
      <c r="A259" s="1"/>
      <c r="C259" s="1"/>
      <c r="D259" s="1"/>
      <c r="E259" s="4"/>
      <c r="F259" s="4">
        <f t="shared" ref="F259:F281" si="10">D259*E259</f>
        <v>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5"/>
    </row>
    <row r="260" spans="1:21" x14ac:dyDescent="0.25">
      <c r="A260" s="1"/>
      <c r="B260" s="1"/>
      <c r="C260" s="1"/>
      <c r="D260" s="1"/>
      <c r="E260" s="4"/>
      <c r="F260" s="4">
        <f t="shared" si="10"/>
        <v>0</v>
      </c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5">
        <f>D256*E256</f>
        <v>1680000</v>
      </c>
    </row>
    <row r="261" spans="1:21" x14ac:dyDescent="0.25">
      <c r="A261" s="1"/>
      <c r="B261" s="1"/>
      <c r="C261" s="1"/>
      <c r="D261" s="1"/>
      <c r="E261" s="4"/>
      <c r="F261" s="4">
        <f t="shared" si="10"/>
        <v>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5">
        <f t="shared" si="9"/>
        <v>0</v>
      </c>
    </row>
    <row r="262" spans="1:21" x14ac:dyDescent="0.25">
      <c r="A262" s="1" t="s">
        <v>184</v>
      </c>
      <c r="B262" s="1"/>
      <c r="C262" s="1"/>
      <c r="D262" s="1"/>
      <c r="E262" s="4"/>
      <c r="F262" s="4">
        <f t="shared" si="10"/>
        <v>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5">
        <f t="shared" si="9"/>
        <v>0</v>
      </c>
    </row>
    <row r="263" spans="1:21" ht="15.75" x14ac:dyDescent="0.25">
      <c r="A263" s="1"/>
      <c r="B263" s="28"/>
      <c r="C263" s="1"/>
      <c r="D263" s="1"/>
      <c r="E263" s="4"/>
      <c r="F263" s="4">
        <f t="shared" si="10"/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5">
        <f t="shared" si="9"/>
        <v>0</v>
      </c>
    </row>
    <row r="264" spans="1:21" ht="15.75" x14ac:dyDescent="0.25">
      <c r="A264" s="1"/>
      <c r="B264" s="28" t="s">
        <v>186</v>
      </c>
      <c r="C264" s="1" t="s">
        <v>187</v>
      </c>
      <c r="D264" s="1">
        <v>120</v>
      </c>
      <c r="E264" s="4">
        <v>4000</v>
      </c>
      <c r="F264" s="4">
        <f t="shared" si="10"/>
        <v>480000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5">
        <f t="shared" si="9"/>
        <v>0</v>
      </c>
    </row>
    <row r="265" spans="1:21" x14ac:dyDescent="0.25">
      <c r="A265" s="1"/>
      <c r="B265" s="1"/>
      <c r="C265" s="1"/>
      <c r="D265" s="1"/>
      <c r="E265" s="4"/>
      <c r="F265" s="4">
        <f t="shared" si="10"/>
        <v>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5">
        <f t="shared" si="9"/>
        <v>480000</v>
      </c>
    </row>
    <row r="266" spans="1:21" x14ac:dyDescent="0.25">
      <c r="A266" s="1"/>
      <c r="B266" s="1"/>
      <c r="C266" s="1"/>
      <c r="D266" s="1"/>
      <c r="E266" s="4"/>
      <c r="F266" s="4">
        <f t="shared" si="10"/>
        <v>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5"/>
      <c r="U266" s="15">
        <f t="shared" si="9"/>
        <v>0</v>
      </c>
    </row>
    <row r="267" spans="1:21" x14ac:dyDescent="0.25">
      <c r="A267" s="1"/>
      <c r="B267" s="1"/>
      <c r="C267" s="1"/>
      <c r="D267" s="1"/>
      <c r="E267" s="4"/>
      <c r="F267" s="4">
        <f t="shared" si="10"/>
        <v>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5"/>
      <c r="U267" s="15">
        <f t="shared" si="9"/>
        <v>0</v>
      </c>
    </row>
    <row r="268" spans="1:21" x14ac:dyDescent="0.25">
      <c r="A268" s="1"/>
      <c r="B268" s="1"/>
      <c r="C268" s="1"/>
      <c r="D268" s="1"/>
      <c r="E268" s="4"/>
      <c r="F268" s="4">
        <f t="shared" si="10"/>
        <v>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5">
        <f t="shared" si="9"/>
        <v>0</v>
      </c>
    </row>
    <row r="269" spans="1:21" x14ac:dyDescent="0.25">
      <c r="A269" s="1"/>
      <c r="B269" s="1"/>
      <c r="C269" s="1"/>
      <c r="D269" s="1"/>
      <c r="E269" s="4"/>
      <c r="F269" s="4">
        <f t="shared" si="10"/>
        <v>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5">
        <f t="shared" si="9"/>
        <v>0</v>
      </c>
    </row>
    <row r="270" spans="1:21" x14ac:dyDescent="0.25">
      <c r="A270" s="1" t="s">
        <v>233</v>
      </c>
      <c r="B270" s="1"/>
      <c r="C270" s="1"/>
      <c r="D270" s="1"/>
      <c r="E270" s="4"/>
      <c r="F270" s="4">
        <f t="shared" si="10"/>
        <v>0</v>
      </c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5">
        <f t="shared" si="9"/>
        <v>0</v>
      </c>
    </row>
    <row r="271" spans="1:21" x14ac:dyDescent="0.25">
      <c r="A271" s="1">
        <v>1</v>
      </c>
      <c r="B271" s="1"/>
      <c r="C271" s="1"/>
      <c r="D271" s="1"/>
      <c r="E271" s="4"/>
      <c r="F271" s="4">
        <f t="shared" si="10"/>
        <v>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5">
        <f t="shared" si="9"/>
        <v>0</v>
      </c>
    </row>
    <row r="272" spans="1:21" x14ac:dyDescent="0.25">
      <c r="A272" s="1"/>
      <c r="B272" s="1" t="s">
        <v>234</v>
      </c>
      <c r="C272" s="1" t="s">
        <v>61</v>
      </c>
      <c r="D272" s="1">
        <v>1</v>
      </c>
      <c r="E272" s="4">
        <v>2500000</v>
      </c>
      <c r="F272" s="4">
        <f t="shared" si="10"/>
        <v>2500000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5">
        <f t="shared" si="9"/>
        <v>0</v>
      </c>
    </row>
    <row r="273" spans="1:21" x14ac:dyDescent="0.25">
      <c r="A273" s="1"/>
      <c r="B273" s="1"/>
      <c r="C273" s="1"/>
      <c r="D273" s="1"/>
      <c r="E273" s="4"/>
      <c r="F273" s="4">
        <f t="shared" si="10"/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5">
        <f t="shared" si="9"/>
        <v>2500000</v>
      </c>
    </row>
    <row r="274" spans="1:21" x14ac:dyDescent="0.25">
      <c r="A274" s="1"/>
      <c r="B274" s="1"/>
      <c r="C274" s="1"/>
      <c r="D274" s="1"/>
      <c r="E274" s="4"/>
      <c r="F274" s="4">
        <f t="shared" si="10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5">
        <f t="shared" si="9"/>
        <v>0</v>
      </c>
    </row>
    <row r="275" spans="1:21" x14ac:dyDescent="0.25">
      <c r="A275" s="1"/>
      <c r="B275" s="1"/>
      <c r="C275" s="1"/>
      <c r="D275" s="1"/>
      <c r="E275" s="4"/>
      <c r="F275" s="4">
        <f t="shared" si="10"/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5">
        <f t="shared" si="9"/>
        <v>0</v>
      </c>
    </row>
    <row r="276" spans="1:21" x14ac:dyDescent="0.25">
      <c r="A276" s="1"/>
      <c r="B276" s="1"/>
      <c r="C276" s="1"/>
      <c r="D276" s="1"/>
      <c r="E276" s="4"/>
      <c r="F276" s="4">
        <f t="shared" si="10"/>
        <v>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5">
        <f t="shared" si="9"/>
        <v>0</v>
      </c>
    </row>
    <row r="277" spans="1:21" x14ac:dyDescent="0.25">
      <c r="A277" s="1"/>
      <c r="B277" s="1"/>
      <c r="C277" s="1"/>
      <c r="D277" s="1"/>
      <c r="E277" s="4"/>
      <c r="F277" s="4">
        <f t="shared" si="10"/>
        <v>0</v>
      </c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5">
        <f t="shared" si="9"/>
        <v>0</v>
      </c>
    </row>
    <row r="278" spans="1:21" x14ac:dyDescent="0.25">
      <c r="A278" s="1"/>
      <c r="B278" s="1"/>
      <c r="C278" s="1"/>
      <c r="D278" s="1"/>
      <c r="E278" s="4"/>
      <c r="F278" s="4">
        <f t="shared" si="10"/>
        <v>0</v>
      </c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5">
        <f t="shared" si="9"/>
        <v>0</v>
      </c>
    </row>
    <row r="279" spans="1:21" x14ac:dyDescent="0.25">
      <c r="A279" s="1"/>
      <c r="B279" s="1"/>
      <c r="C279" s="1"/>
      <c r="D279" s="1"/>
      <c r="E279" s="4"/>
      <c r="F279" s="4">
        <f t="shared" si="10"/>
        <v>0</v>
      </c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5">
        <f t="shared" si="9"/>
        <v>0</v>
      </c>
    </row>
    <row r="280" spans="1:21" x14ac:dyDescent="0.25">
      <c r="A280" s="1"/>
      <c r="B280" s="1"/>
      <c r="C280" s="1"/>
      <c r="D280" s="1"/>
      <c r="E280" s="4"/>
      <c r="F280" s="4">
        <f t="shared" si="10"/>
        <v>0</v>
      </c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5">
        <f t="shared" si="9"/>
        <v>0</v>
      </c>
    </row>
    <row r="281" spans="1:21" x14ac:dyDescent="0.25">
      <c r="A281" s="1" t="s">
        <v>235</v>
      </c>
      <c r="B281" s="1"/>
      <c r="C281" s="1"/>
      <c r="D281" s="1"/>
      <c r="E281" s="4"/>
      <c r="F281" s="4">
        <f t="shared" si="10"/>
        <v>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5">
        <f t="shared" si="9"/>
        <v>0</v>
      </c>
    </row>
    <row r="282" spans="1:21" x14ac:dyDescent="0.25">
      <c r="A282" s="1">
        <v>1</v>
      </c>
      <c r="B282" s="1" t="s">
        <v>236</v>
      </c>
      <c r="C282" s="1" t="s">
        <v>237</v>
      </c>
      <c r="D282" s="1"/>
      <c r="E282" s="4"/>
      <c r="F282" s="4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5">
        <f t="shared" si="9"/>
        <v>0</v>
      </c>
    </row>
    <row r="283" spans="1:21" x14ac:dyDescent="0.25">
      <c r="A283" s="1"/>
      <c r="B283" s="1"/>
      <c r="C283" s="1"/>
      <c r="D283" s="1"/>
      <c r="E283" s="4"/>
      <c r="F283" s="4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5">
        <f t="shared" si="9"/>
        <v>0</v>
      </c>
    </row>
    <row r="284" spans="1:21" x14ac:dyDescent="0.25">
      <c r="A284" s="1"/>
      <c r="B284" s="1"/>
      <c r="C284" s="1"/>
      <c r="D284" s="1"/>
      <c r="E284" s="4"/>
      <c r="F284" s="4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5">
        <f t="shared" si="9"/>
        <v>0</v>
      </c>
    </row>
    <row r="285" spans="1:21" x14ac:dyDescent="0.25">
      <c r="A285" s="1"/>
      <c r="B285" s="1"/>
      <c r="C285" s="1"/>
      <c r="D285" s="1"/>
      <c r="E285" s="4"/>
      <c r="F285" s="4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5">
        <f t="shared" si="9"/>
        <v>0</v>
      </c>
    </row>
    <row r="286" spans="1:21" x14ac:dyDescent="0.25">
      <c r="A286" s="1"/>
      <c r="B286" s="1"/>
      <c r="C286" s="1"/>
      <c r="D286" s="1"/>
      <c r="E286" s="4"/>
      <c r="F286" s="4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5">
        <f t="shared" si="9"/>
        <v>0</v>
      </c>
    </row>
    <row r="287" spans="1:21" x14ac:dyDescent="0.25">
      <c r="A287" s="1"/>
      <c r="B287" s="1"/>
      <c r="C287" s="1"/>
      <c r="D287" s="1"/>
      <c r="E287" s="4"/>
      <c r="F287" s="4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5">
        <f t="shared" si="9"/>
        <v>0</v>
      </c>
    </row>
    <row r="288" spans="1:21" x14ac:dyDescent="0.25">
      <c r="A288" s="1"/>
      <c r="B288" s="1"/>
      <c r="C288" s="1"/>
      <c r="D288" s="1"/>
      <c r="E288" s="4"/>
      <c r="F288" s="4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5">
        <f t="shared" si="9"/>
        <v>0</v>
      </c>
    </row>
    <row r="289" spans="1:21" x14ac:dyDescent="0.25">
      <c r="A289" s="1"/>
      <c r="B289" s="1"/>
      <c r="C289" s="1"/>
      <c r="D289" s="1"/>
      <c r="E289" s="4"/>
      <c r="F289" s="4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5">
        <f t="shared" si="9"/>
        <v>0</v>
      </c>
    </row>
    <row r="290" spans="1:21" x14ac:dyDescent="0.25">
      <c r="A290" s="1"/>
      <c r="B290" s="1"/>
      <c r="C290" s="1"/>
      <c r="D290" s="1"/>
      <c r="E290" s="4"/>
      <c r="F290" s="4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5">
        <f t="shared" si="9"/>
        <v>0</v>
      </c>
    </row>
    <row r="291" spans="1:21" x14ac:dyDescent="0.25">
      <c r="A291" s="1"/>
      <c r="B291" s="1"/>
      <c r="C291" s="1"/>
      <c r="D291" s="1"/>
      <c r="E291" s="4"/>
      <c r="F291" s="4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5">
        <f t="shared" si="9"/>
        <v>0</v>
      </c>
    </row>
    <row r="292" spans="1:21" x14ac:dyDescent="0.25">
      <c r="A292" s="1"/>
      <c r="B292" s="1"/>
      <c r="C292" s="1"/>
      <c r="D292" s="1"/>
      <c r="E292" s="4"/>
      <c r="F292" s="4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5">
        <f t="shared" si="9"/>
        <v>0</v>
      </c>
    </row>
    <row r="293" spans="1:21" x14ac:dyDescent="0.25">
      <c r="A293" s="1"/>
      <c r="B293" s="1"/>
      <c r="C293" s="1"/>
      <c r="D293" s="1"/>
      <c r="E293" s="4"/>
      <c r="F293" s="4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5">
        <f t="shared" si="9"/>
        <v>0</v>
      </c>
    </row>
    <row r="294" spans="1:21" x14ac:dyDescent="0.25">
      <c r="A294" s="1"/>
      <c r="B294" s="1"/>
      <c r="C294" s="1"/>
      <c r="D294" s="1"/>
      <c r="E294" s="4"/>
      <c r="F294" s="4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5">
        <f t="shared" si="9"/>
        <v>0</v>
      </c>
    </row>
    <row r="295" spans="1:21" x14ac:dyDescent="0.25">
      <c r="A295" s="1"/>
      <c r="B295" s="1"/>
      <c r="C295" s="1"/>
      <c r="D295" s="1"/>
      <c r="E295" s="4"/>
      <c r="F295" s="4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5">
        <f t="shared" si="9"/>
        <v>0</v>
      </c>
    </row>
    <row r="296" spans="1:21" x14ac:dyDescent="0.25">
      <c r="A296" s="1"/>
      <c r="B296" s="1"/>
      <c r="C296" s="1"/>
      <c r="D296" s="1"/>
      <c r="E296" s="4"/>
      <c r="F296" s="4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5">
        <f t="shared" si="9"/>
        <v>0</v>
      </c>
    </row>
    <row r="297" spans="1:21" x14ac:dyDescent="0.25">
      <c r="A297" s="1"/>
      <c r="B297" s="1"/>
      <c r="C297" s="1"/>
      <c r="D297" s="1"/>
      <c r="E297" s="4"/>
      <c r="F297" s="4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5">
        <f t="shared" si="9"/>
        <v>0</v>
      </c>
    </row>
    <row r="298" spans="1:21" x14ac:dyDescent="0.25">
      <c r="A298" s="1"/>
      <c r="B298" s="1"/>
      <c r="C298" s="1"/>
      <c r="D298" s="1"/>
      <c r="E298" s="4"/>
      <c r="F298" s="4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5">
        <f t="shared" si="9"/>
        <v>0</v>
      </c>
    </row>
    <row r="299" spans="1:21" x14ac:dyDescent="0.25">
      <c r="A299" s="1"/>
      <c r="B299" s="1"/>
      <c r="C299" s="1"/>
      <c r="D299" s="1"/>
      <c r="E299" s="4"/>
      <c r="F299" s="4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5">
        <f t="shared" si="9"/>
        <v>0</v>
      </c>
    </row>
    <row r="300" spans="1:21" x14ac:dyDescent="0.25">
      <c r="A300" s="1"/>
      <c r="B300" s="1"/>
      <c r="C300" s="1"/>
      <c r="D300" s="1"/>
      <c r="E300" s="4"/>
      <c r="F300" s="4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5">
        <f t="shared" si="9"/>
        <v>0</v>
      </c>
    </row>
    <row r="301" spans="1:21" x14ac:dyDescent="0.25">
      <c r="A301" s="1"/>
      <c r="B301" s="1"/>
      <c r="C301" s="1"/>
      <c r="D301" s="1"/>
      <c r="E301" s="4"/>
      <c r="F301" s="4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5">
        <f t="shared" si="9"/>
        <v>0</v>
      </c>
    </row>
    <row r="302" spans="1:21" x14ac:dyDescent="0.25">
      <c r="A302" s="1"/>
      <c r="B302" s="1"/>
      <c r="C302" s="1"/>
      <c r="D302" s="1"/>
      <c r="E302" s="4"/>
      <c r="F302" s="4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5">
        <f t="shared" si="9"/>
        <v>0</v>
      </c>
    </row>
    <row r="303" spans="1:21" x14ac:dyDescent="0.25">
      <c r="A303" s="1"/>
      <c r="B303" s="1"/>
      <c r="C303" s="1"/>
      <c r="D303" s="1"/>
      <c r="E303" s="4"/>
      <c r="F303" s="4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5">
        <f t="shared" si="9"/>
        <v>0</v>
      </c>
    </row>
    <row r="304" spans="1:21" x14ac:dyDescent="0.25">
      <c r="A304" s="1"/>
      <c r="B304" s="1"/>
      <c r="C304" s="1"/>
      <c r="D304" s="1"/>
      <c r="E304" s="4"/>
      <c r="F304" s="4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5">
        <f t="shared" si="9"/>
        <v>0</v>
      </c>
    </row>
    <row r="305" spans="1:21" x14ac:dyDescent="0.25">
      <c r="A305" s="1"/>
      <c r="B305" s="1"/>
      <c r="C305" s="1"/>
      <c r="D305" s="1"/>
      <c r="E305" s="4"/>
      <c r="F305" s="4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5">
        <f t="shared" si="9"/>
        <v>0</v>
      </c>
    </row>
    <row r="306" spans="1:21" x14ac:dyDescent="0.25">
      <c r="A306" s="1"/>
      <c r="B306" s="1"/>
      <c r="C306" s="1"/>
      <c r="D306" s="1"/>
      <c r="E306" s="4"/>
      <c r="F306" s="4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5">
        <f t="shared" si="9"/>
        <v>0</v>
      </c>
    </row>
    <row r="307" spans="1:21" x14ac:dyDescent="0.25">
      <c r="A307" s="1"/>
      <c r="B307" s="1"/>
      <c r="C307" s="1"/>
      <c r="D307" s="1"/>
      <c r="E307" s="4"/>
      <c r="F307" s="4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5">
        <f t="shared" si="9"/>
        <v>0</v>
      </c>
    </row>
    <row r="308" spans="1:21" x14ac:dyDescent="0.25">
      <c r="A308" s="1"/>
      <c r="B308" s="1"/>
      <c r="C308" s="1"/>
      <c r="D308" s="1"/>
      <c r="E308" s="4"/>
      <c r="F308" s="4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5">
        <f t="shared" si="9"/>
        <v>0</v>
      </c>
    </row>
    <row r="309" spans="1:21" x14ac:dyDescent="0.25">
      <c r="A309" s="1"/>
      <c r="B309" s="1"/>
      <c r="C309" s="1"/>
      <c r="D309" s="1"/>
      <c r="E309" s="4"/>
      <c r="F309" s="4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5">
        <f t="shared" si="9"/>
        <v>0</v>
      </c>
    </row>
    <row r="310" spans="1:21" x14ac:dyDescent="0.25">
      <c r="A310" s="1"/>
      <c r="B310" s="1"/>
      <c r="C310" s="1"/>
      <c r="D310" s="1"/>
      <c r="E310" s="4"/>
      <c r="F310" s="4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5">
        <f t="shared" si="9"/>
        <v>0</v>
      </c>
    </row>
    <row r="311" spans="1:21" x14ac:dyDescent="0.25">
      <c r="A311" s="1"/>
      <c r="B311" s="1"/>
      <c r="C311" s="1"/>
      <c r="D311" s="1"/>
      <c r="E311" s="4"/>
      <c r="F311" s="4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5">
        <f t="shared" si="9"/>
        <v>0</v>
      </c>
    </row>
    <row r="312" spans="1:21" x14ac:dyDescent="0.25">
      <c r="A312" s="1"/>
      <c r="B312" s="1"/>
      <c r="C312" s="1"/>
      <c r="D312" s="1"/>
      <c r="E312" s="4"/>
      <c r="F312" s="4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5">
        <f t="shared" si="9"/>
        <v>0</v>
      </c>
    </row>
    <row r="313" spans="1:21" x14ac:dyDescent="0.25">
      <c r="A313" s="1"/>
      <c r="B313" s="1"/>
      <c r="C313" s="1"/>
      <c r="D313" s="1"/>
      <c r="E313" s="4"/>
      <c r="F313" s="4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5">
        <f t="shared" si="9"/>
        <v>0</v>
      </c>
    </row>
    <row r="314" spans="1:21" x14ac:dyDescent="0.25">
      <c r="A314" s="1"/>
      <c r="B314" s="1"/>
      <c r="C314" s="1"/>
      <c r="D314" s="1"/>
      <c r="E314" s="4"/>
      <c r="F314" s="4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5"/>
    </row>
    <row r="315" spans="1:21" x14ac:dyDescent="0.25">
      <c r="A315" s="1" t="s">
        <v>59</v>
      </c>
      <c r="B315" s="1"/>
      <c r="C315" s="1"/>
      <c r="D315" s="1"/>
      <c r="E315" s="4"/>
      <c r="F315" s="4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5">
        <f>D316*E316</f>
        <v>0</v>
      </c>
    </row>
    <row r="316" spans="1:21" x14ac:dyDescent="0.25">
      <c r="B316" s="1"/>
      <c r="C316" s="1" t="s">
        <v>61</v>
      </c>
      <c r="D316" s="1"/>
      <c r="E316" s="4"/>
      <c r="F316" s="4">
        <f>D316*E316</f>
        <v>0</v>
      </c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5">
        <f>D317*E317</f>
        <v>1920000</v>
      </c>
    </row>
    <row r="317" spans="1:21" ht="15.75" x14ac:dyDescent="0.25">
      <c r="A317" s="1">
        <v>1</v>
      </c>
      <c r="B317" s="1" t="s">
        <v>60</v>
      </c>
      <c r="C317" s="1"/>
      <c r="D317" s="17">
        <v>1</v>
      </c>
      <c r="E317" s="19">
        <v>1920000</v>
      </c>
      <c r="F317" s="4">
        <f>D317*E316:E317</f>
        <v>1920000</v>
      </c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5">
        <f t="shared" ref="U317:U319" si="11">D318*E318</f>
        <v>75000</v>
      </c>
    </row>
    <row r="318" spans="1:21" ht="15.75" x14ac:dyDescent="0.25">
      <c r="A318" s="1">
        <v>2</v>
      </c>
      <c r="B318" s="16" t="s">
        <v>62</v>
      </c>
      <c r="C318" s="1"/>
      <c r="D318" s="17">
        <v>1</v>
      </c>
      <c r="E318" s="19">
        <v>75000</v>
      </c>
      <c r="F318" s="4">
        <f t="shared" ref="F318:F320" si="12">D318*E317:E318</f>
        <v>75000</v>
      </c>
      <c r="G318" s="1"/>
      <c r="H318" s="1" t="s">
        <v>31</v>
      </c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5">
        <f t="shared" si="11"/>
        <v>1000000</v>
      </c>
    </row>
    <row r="319" spans="1:21" ht="15.75" x14ac:dyDescent="0.25">
      <c r="A319" s="1">
        <v>3</v>
      </c>
      <c r="B319" s="16" t="s">
        <v>63</v>
      </c>
      <c r="C319" s="1"/>
      <c r="D319" s="17">
        <v>1</v>
      </c>
      <c r="E319" s="19">
        <v>1000000</v>
      </c>
      <c r="F319" s="4">
        <f t="shared" si="12"/>
        <v>1000000</v>
      </c>
      <c r="G319" s="1"/>
      <c r="H319" s="1" t="s">
        <v>31</v>
      </c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5">
        <f t="shared" si="11"/>
        <v>750000</v>
      </c>
    </row>
    <row r="320" spans="1:21" ht="31.5" x14ac:dyDescent="0.25">
      <c r="A320" s="1">
        <v>4</v>
      </c>
      <c r="B320" s="16" t="s">
        <v>66</v>
      </c>
      <c r="C320" s="1"/>
      <c r="D320" s="17">
        <v>1</v>
      </c>
      <c r="E320" s="19">
        <v>750000</v>
      </c>
      <c r="F320" s="4">
        <f t="shared" si="12"/>
        <v>750000</v>
      </c>
      <c r="G320" s="1"/>
      <c r="H320" s="1" t="s">
        <v>31</v>
      </c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5" t="e">
        <f>#REF!*#REF!</f>
        <v>#REF!</v>
      </c>
    </row>
    <row r="321" spans="1:21" ht="31.5" x14ac:dyDescent="0.25">
      <c r="A321" s="1"/>
      <c r="B321" s="16" t="s">
        <v>159</v>
      </c>
      <c r="C321" s="1" t="s">
        <v>80</v>
      </c>
      <c r="D321" s="1">
        <v>1</v>
      </c>
      <c r="E321" s="26">
        <v>2200000</v>
      </c>
      <c r="F321" s="4">
        <f>D321*E321</f>
        <v>2200000</v>
      </c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5">
        <f t="shared" ref="U321:U326" si="13">D321*E321</f>
        <v>2200000</v>
      </c>
    </row>
    <row r="322" spans="1:21" ht="15.75" x14ac:dyDescent="0.25">
      <c r="A322" s="1"/>
      <c r="B322" s="27" t="s">
        <v>160</v>
      </c>
      <c r="C322" s="1"/>
      <c r="D322" s="1">
        <v>24</v>
      </c>
      <c r="E322" s="26">
        <v>600000</v>
      </c>
      <c r="F322" s="4">
        <f>D322*E322</f>
        <v>14400000</v>
      </c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5">
        <f t="shared" si="13"/>
        <v>14400000</v>
      </c>
    </row>
    <row r="323" spans="1:21" x14ac:dyDescent="0.25">
      <c r="A323" s="1"/>
      <c r="B323" s="1" t="s">
        <v>176</v>
      </c>
      <c r="C323" s="1"/>
      <c r="D323" s="1"/>
      <c r="E323" s="1"/>
      <c r="F323" s="4">
        <f t="shared" ref="F323:F326" si="14">D323*E323</f>
        <v>0</v>
      </c>
      <c r="G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5">
        <f t="shared" si="13"/>
        <v>0</v>
      </c>
    </row>
    <row r="324" spans="1:21" ht="45" x14ac:dyDescent="0.25">
      <c r="A324" s="1"/>
      <c r="B324" s="24" t="s">
        <v>177</v>
      </c>
      <c r="C324" s="1" t="s">
        <v>61</v>
      </c>
      <c r="D324" s="1"/>
      <c r="E324" s="1"/>
      <c r="F324" s="4">
        <f t="shared" si="14"/>
        <v>0</v>
      </c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5">
        <f t="shared" si="13"/>
        <v>0</v>
      </c>
    </row>
    <row r="325" spans="1:21" ht="31.5" x14ac:dyDescent="0.25">
      <c r="A325" s="1"/>
      <c r="B325" s="29" t="s">
        <v>197</v>
      </c>
      <c r="C325" s="1"/>
      <c r="D325" s="1"/>
      <c r="E325" s="1"/>
      <c r="F325" s="4">
        <f t="shared" si="14"/>
        <v>0</v>
      </c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5">
        <f t="shared" si="13"/>
        <v>0</v>
      </c>
    </row>
    <row r="326" spans="1:21" ht="15.75" x14ac:dyDescent="0.25">
      <c r="A326" s="1"/>
      <c r="B326" s="30" t="s">
        <v>232</v>
      </c>
      <c r="C326" s="1" t="s">
        <v>80</v>
      </c>
      <c r="D326" s="1">
        <v>1</v>
      </c>
      <c r="E326" s="4">
        <v>1500000</v>
      </c>
      <c r="F326" s="4">
        <f t="shared" si="14"/>
        <v>1500000</v>
      </c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5">
        <f t="shared" si="13"/>
        <v>1500000</v>
      </c>
    </row>
    <row r="327" spans="1:21" x14ac:dyDescent="0.25">
      <c r="A327" s="1"/>
      <c r="B327" s="24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5"/>
    </row>
    <row r="328" spans="1:21" x14ac:dyDescent="0.25">
      <c r="A328" s="1"/>
      <c r="B328" s="24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5"/>
    </row>
    <row r="329" spans="1:21" x14ac:dyDescent="0.25">
      <c r="A329" s="1"/>
      <c r="B329" s="24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5"/>
    </row>
    <row r="330" spans="1:21" x14ac:dyDescent="0.25">
      <c r="A330" s="1"/>
      <c r="B330" s="24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5"/>
    </row>
    <row r="331" spans="1:21" x14ac:dyDescent="0.25">
      <c r="A331" s="1"/>
      <c r="B331" s="24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5"/>
    </row>
    <row r="332" spans="1:21" x14ac:dyDescent="0.25">
      <c r="A332" s="1"/>
      <c r="B332" s="24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5"/>
    </row>
    <row r="333" spans="1:21" x14ac:dyDescent="0.25">
      <c r="A333" s="1"/>
      <c r="B333" s="24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5"/>
    </row>
    <row r="334" spans="1:21" x14ac:dyDescent="0.25">
      <c r="A334" s="1"/>
      <c r="B334" s="24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5"/>
    </row>
    <row r="335" spans="1:21" x14ac:dyDescent="0.25">
      <c r="A335" s="1"/>
      <c r="B335" s="24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5"/>
    </row>
    <row r="336" spans="1:2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5"/>
    </row>
    <row r="337" spans="1:2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5"/>
    </row>
    <row r="338" spans="1:21" x14ac:dyDescent="0.25">
      <c r="A338" s="1"/>
      <c r="B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 x14ac:dyDescent="0.25">
      <c r="B339" s="1"/>
      <c r="G339" s="1"/>
      <c r="H339" s="1"/>
    </row>
  </sheetData>
  <mergeCells count="6">
    <mergeCell ref="A118:B118"/>
    <mergeCell ref="N2:U2"/>
    <mergeCell ref="N3:O3"/>
    <mergeCell ref="P3:Q3"/>
    <mergeCell ref="R3:S3"/>
    <mergeCell ref="T3:U3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05"/>
  <sheetViews>
    <sheetView tabSelected="1" topLeftCell="A247" zoomScale="115" zoomScaleNormal="115" workbookViewId="0">
      <selection activeCell="K264" sqref="K264"/>
    </sheetView>
  </sheetViews>
  <sheetFormatPr defaultRowHeight="15" x14ac:dyDescent="0.25"/>
  <cols>
    <col min="1" max="1" width="15" customWidth="1"/>
    <col min="2" max="2" width="29.85546875" customWidth="1"/>
    <col min="3" max="3" width="7.85546875" customWidth="1"/>
    <col min="4" max="4" width="6.7109375" customWidth="1"/>
    <col min="5" max="5" width="16.7109375" customWidth="1"/>
    <col min="6" max="6" width="19.42578125" customWidth="1"/>
    <col min="7" max="7" width="10" customWidth="1"/>
    <col min="8" max="8" width="19.140625" customWidth="1"/>
    <col min="9" max="9" width="11.7109375" customWidth="1"/>
    <col min="20" max="20" width="9.7109375" customWidth="1"/>
    <col min="21" max="21" width="16.140625" customWidth="1"/>
  </cols>
  <sheetData>
    <row r="2" spans="1:21" ht="30" x14ac:dyDescent="0.25">
      <c r="A2" s="7"/>
      <c r="B2" s="8" t="s">
        <v>0</v>
      </c>
      <c r="C2" s="8" t="s">
        <v>58</v>
      </c>
      <c r="D2" s="9" t="s">
        <v>1</v>
      </c>
      <c r="E2" s="8" t="s">
        <v>2</v>
      </c>
      <c r="F2" s="8" t="s">
        <v>3</v>
      </c>
      <c r="G2" s="8" t="s">
        <v>4</v>
      </c>
      <c r="H2" s="8" t="s">
        <v>5</v>
      </c>
      <c r="I2" s="8" t="s">
        <v>6</v>
      </c>
      <c r="J2" s="9" t="s">
        <v>7</v>
      </c>
      <c r="K2" s="9" t="s">
        <v>8</v>
      </c>
      <c r="L2" s="9" t="s">
        <v>9</v>
      </c>
      <c r="M2" s="9" t="s">
        <v>16</v>
      </c>
      <c r="N2" s="56" t="s">
        <v>10</v>
      </c>
      <c r="O2" s="57"/>
      <c r="P2" s="57"/>
      <c r="Q2" s="57"/>
      <c r="R2" s="57"/>
      <c r="S2" s="57"/>
      <c r="T2" s="57"/>
      <c r="U2" s="58"/>
    </row>
    <row r="3" spans="1:21" x14ac:dyDescent="0.25">
      <c r="A3" s="7"/>
      <c r="B3" s="8"/>
      <c r="C3" s="8"/>
      <c r="D3" s="9"/>
      <c r="E3" s="8"/>
      <c r="F3" s="8"/>
      <c r="G3" s="8"/>
      <c r="H3" s="8"/>
      <c r="I3" s="8"/>
      <c r="J3" s="9"/>
      <c r="K3" s="9"/>
      <c r="L3" s="9"/>
      <c r="M3" s="9"/>
      <c r="N3" s="59" t="s">
        <v>11</v>
      </c>
      <c r="O3" s="60"/>
      <c r="P3" s="59" t="s">
        <v>12</v>
      </c>
      <c r="Q3" s="60"/>
      <c r="R3" s="59" t="s">
        <v>13</v>
      </c>
      <c r="S3" s="60"/>
      <c r="T3" s="59" t="s">
        <v>14</v>
      </c>
      <c r="U3" s="60"/>
    </row>
    <row r="4" spans="1:21" x14ac:dyDescent="0.25">
      <c r="A4" s="7"/>
      <c r="B4" s="8"/>
      <c r="C4" s="8"/>
      <c r="D4" s="9"/>
      <c r="E4" s="8"/>
      <c r="F4" s="8"/>
      <c r="G4" s="8"/>
      <c r="H4" s="8"/>
      <c r="I4" s="8"/>
      <c r="J4" s="9"/>
      <c r="K4" s="9"/>
      <c r="L4" s="9"/>
      <c r="M4" s="9"/>
      <c r="N4" t="s">
        <v>1</v>
      </c>
      <c r="O4" s="10" t="s">
        <v>15</v>
      </c>
      <c r="P4" t="s">
        <v>1</v>
      </c>
      <c r="Q4" s="1" t="s">
        <v>15</v>
      </c>
      <c r="R4" t="s">
        <v>1</v>
      </c>
      <c r="S4" s="1" t="s">
        <v>15</v>
      </c>
      <c r="T4" t="s">
        <v>1</v>
      </c>
      <c r="U4" s="1" t="s">
        <v>15</v>
      </c>
    </row>
    <row r="5" spans="1:21" x14ac:dyDescent="0.25">
      <c r="A5" s="3" t="s">
        <v>17</v>
      </c>
      <c r="B5" s="6"/>
      <c r="C5" s="6"/>
      <c r="D5" s="1"/>
      <c r="E5" s="4"/>
      <c r="F5" s="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x14ac:dyDescent="0.25">
      <c r="A6" s="1">
        <v>1</v>
      </c>
      <c r="B6" s="1" t="s">
        <v>18</v>
      </c>
      <c r="C6" s="1"/>
      <c r="D6" s="1">
        <v>1</v>
      </c>
      <c r="E6" s="4">
        <v>10000</v>
      </c>
      <c r="F6" s="4">
        <f>D6*E6</f>
        <v>10000</v>
      </c>
      <c r="G6" s="1" t="s">
        <v>23</v>
      </c>
      <c r="H6" s="1" t="s">
        <v>24</v>
      </c>
      <c r="I6" s="1" t="s">
        <v>22</v>
      </c>
      <c r="J6" s="1"/>
      <c r="K6" s="1"/>
      <c r="L6" s="1"/>
      <c r="M6" s="13" t="s">
        <v>25</v>
      </c>
      <c r="N6" s="1"/>
      <c r="O6" s="1"/>
      <c r="P6" s="1"/>
      <c r="Q6" s="1"/>
      <c r="R6" s="1"/>
      <c r="S6" s="1"/>
      <c r="T6" s="1">
        <v>1</v>
      </c>
      <c r="U6" s="15">
        <f>D6*E6</f>
        <v>10000</v>
      </c>
    </row>
    <row r="7" spans="1:21" x14ac:dyDescent="0.25">
      <c r="A7" s="1">
        <v>2</v>
      </c>
      <c r="B7" s="1" t="s">
        <v>19</v>
      </c>
      <c r="C7" s="1"/>
      <c r="D7" s="1">
        <v>1</v>
      </c>
      <c r="E7" s="4">
        <v>10000</v>
      </c>
      <c r="F7" s="4">
        <f t="shared" ref="F7:F105" si="0">D7*E7</f>
        <v>10000</v>
      </c>
      <c r="G7" s="1" t="s">
        <v>23</v>
      </c>
      <c r="H7" s="1" t="s">
        <v>24</v>
      </c>
      <c r="I7" s="1" t="s">
        <v>22</v>
      </c>
      <c r="J7" s="1"/>
      <c r="K7" s="1"/>
      <c r="L7" s="1"/>
      <c r="M7" s="13" t="s">
        <v>25</v>
      </c>
      <c r="N7" s="1"/>
      <c r="O7" s="1"/>
      <c r="P7" s="1"/>
      <c r="Q7" s="1"/>
      <c r="R7" s="1"/>
      <c r="S7" s="1"/>
      <c r="T7" s="1">
        <v>1</v>
      </c>
      <c r="U7" s="15">
        <f t="shared" ref="U7:U105" si="1">D7*E7</f>
        <v>10000</v>
      </c>
    </row>
    <row r="8" spans="1:21" x14ac:dyDescent="0.25">
      <c r="A8" s="1">
        <v>3</v>
      </c>
      <c r="B8" s="1" t="s">
        <v>20</v>
      </c>
      <c r="C8" s="1"/>
      <c r="D8" s="1">
        <v>1</v>
      </c>
      <c r="E8" s="4">
        <v>50000</v>
      </c>
      <c r="F8" s="4">
        <f t="shared" si="0"/>
        <v>50000</v>
      </c>
      <c r="G8" s="1" t="s">
        <v>23</v>
      </c>
      <c r="H8" s="1" t="s">
        <v>24</v>
      </c>
      <c r="I8" s="1" t="s">
        <v>22</v>
      </c>
      <c r="J8" s="1"/>
      <c r="K8" s="1"/>
      <c r="L8" s="1"/>
      <c r="M8" s="13" t="s">
        <v>25</v>
      </c>
      <c r="N8" s="1"/>
      <c r="O8" s="1"/>
      <c r="P8" s="1"/>
      <c r="Q8" s="1"/>
      <c r="R8" s="1"/>
      <c r="S8" s="1"/>
      <c r="T8" s="1">
        <v>1</v>
      </c>
      <c r="U8" s="15">
        <f t="shared" si="1"/>
        <v>50000</v>
      </c>
    </row>
    <row r="9" spans="1:21" x14ac:dyDescent="0.25">
      <c r="A9" s="1">
        <v>4</v>
      </c>
      <c r="B9" s="1" t="s">
        <v>21</v>
      </c>
      <c r="C9" s="1"/>
      <c r="D9" s="1">
        <v>1</v>
      </c>
      <c r="E9" s="4">
        <v>13300</v>
      </c>
      <c r="F9" s="4">
        <f t="shared" si="0"/>
        <v>13300</v>
      </c>
      <c r="G9" s="1" t="s">
        <v>23</v>
      </c>
      <c r="H9" s="1" t="s">
        <v>24</v>
      </c>
      <c r="I9" s="1" t="s">
        <v>22</v>
      </c>
      <c r="J9" s="1"/>
      <c r="K9" s="1"/>
      <c r="L9" s="1"/>
      <c r="M9" s="13" t="s">
        <v>25</v>
      </c>
      <c r="N9" s="1"/>
      <c r="O9" s="1"/>
      <c r="P9" s="1"/>
      <c r="Q9" s="1"/>
      <c r="R9" s="1"/>
      <c r="S9" s="1"/>
      <c r="T9" s="1">
        <v>1</v>
      </c>
      <c r="U9" s="15">
        <f t="shared" si="1"/>
        <v>13300</v>
      </c>
    </row>
    <row r="10" spans="1:21" x14ac:dyDescent="0.25">
      <c r="A10" s="43">
        <v>5</v>
      </c>
      <c r="B10" s="43" t="s">
        <v>262</v>
      </c>
      <c r="C10" s="43"/>
      <c r="D10" s="43">
        <v>1</v>
      </c>
      <c r="E10" s="44"/>
      <c r="F10" s="44"/>
      <c r="G10" s="43" t="s">
        <v>23</v>
      </c>
      <c r="H10" s="43" t="s">
        <v>24</v>
      </c>
      <c r="I10" s="43" t="s">
        <v>22</v>
      </c>
      <c r="J10" s="43"/>
      <c r="K10" s="43"/>
      <c r="L10" s="43"/>
      <c r="M10" s="45" t="s">
        <v>25</v>
      </c>
      <c r="N10" s="1"/>
      <c r="O10" s="1"/>
      <c r="P10" s="1"/>
      <c r="Q10" s="1"/>
      <c r="R10" s="1"/>
      <c r="S10" s="1"/>
      <c r="T10" s="1"/>
      <c r="U10" s="15"/>
    </row>
    <row r="11" spans="1:21" x14ac:dyDescent="0.25">
      <c r="A11" s="1"/>
      <c r="B11" s="1"/>
      <c r="C11" s="1"/>
      <c r="D11" s="1"/>
      <c r="E11" s="4"/>
      <c r="F11" s="4"/>
      <c r="G11" s="1"/>
      <c r="H11" s="1"/>
      <c r="I11" s="1"/>
      <c r="J11" s="1"/>
      <c r="K11" s="1"/>
      <c r="L11" s="1"/>
      <c r="M11" s="13"/>
      <c r="N11" s="1"/>
      <c r="O11" s="1"/>
      <c r="P11" s="1"/>
      <c r="Q11" s="1"/>
      <c r="R11" s="1"/>
      <c r="S11" s="1"/>
      <c r="T11" s="1"/>
      <c r="U11" s="15"/>
    </row>
    <row r="12" spans="1:21" x14ac:dyDescent="0.25">
      <c r="A12" s="1"/>
      <c r="B12" s="1"/>
      <c r="C12" s="1"/>
      <c r="D12" s="1"/>
      <c r="E12" s="4"/>
      <c r="F12" s="4"/>
      <c r="G12" s="1"/>
      <c r="H12" s="1"/>
      <c r="I12" s="1"/>
      <c r="J12" s="1"/>
      <c r="K12" s="1"/>
      <c r="L12" s="1"/>
      <c r="M12" s="13"/>
      <c r="N12" s="1"/>
      <c r="O12" s="1"/>
      <c r="P12" s="1"/>
      <c r="Q12" s="1"/>
      <c r="R12" s="1"/>
      <c r="S12" s="1"/>
      <c r="T12" s="1"/>
      <c r="U12" s="15"/>
    </row>
    <row r="13" spans="1:21" x14ac:dyDescent="0.25">
      <c r="A13" s="3" t="s">
        <v>26</v>
      </c>
      <c r="B13" s="3"/>
      <c r="C13" s="3"/>
      <c r="D13" s="1"/>
      <c r="E13" s="4"/>
      <c r="F13" s="4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5">
        <f t="shared" si="1"/>
        <v>0</v>
      </c>
    </row>
    <row r="14" spans="1:21" x14ac:dyDescent="0.25">
      <c r="A14" s="1">
        <v>1</v>
      </c>
      <c r="B14" s="24" t="s">
        <v>106</v>
      </c>
      <c r="C14" s="1" t="s">
        <v>105</v>
      </c>
      <c r="D14" s="1">
        <v>100</v>
      </c>
      <c r="E14" s="4">
        <v>3600</v>
      </c>
      <c r="F14" s="4">
        <f t="shared" si="0"/>
        <v>360000</v>
      </c>
      <c r="G14" s="1" t="s">
        <v>23</v>
      </c>
      <c r="H14" s="1" t="s">
        <v>31</v>
      </c>
      <c r="I14" s="1" t="s">
        <v>22</v>
      </c>
      <c r="J14" s="1"/>
      <c r="K14" s="1"/>
      <c r="L14" s="1"/>
      <c r="M14" s="13" t="s">
        <v>25</v>
      </c>
      <c r="N14" s="1"/>
      <c r="O14" s="1"/>
      <c r="P14" s="1"/>
      <c r="Q14" s="1"/>
      <c r="R14" s="1"/>
      <c r="S14" s="1"/>
      <c r="T14" s="1">
        <v>100</v>
      </c>
      <c r="U14" s="15">
        <f t="shared" si="1"/>
        <v>360000</v>
      </c>
    </row>
    <row r="15" spans="1:21" ht="63" x14ac:dyDescent="0.25">
      <c r="A15" s="1">
        <v>2</v>
      </c>
      <c r="B15" s="16" t="s">
        <v>132</v>
      </c>
      <c r="C15" s="1" t="s">
        <v>133</v>
      </c>
      <c r="D15" s="1">
        <v>120</v>
      </c>
      <c r="E15" s="4">
        <v>72000</v>
      </c>
      <c r="F15" s="4">
        <f t="shared" si="0"/>
        <v>8640000</v>
      </c>
      <c r="G15" s="1"/>
      <c r="H15" s="1" t="s">
        <v>24</v>
      </c>
      <c r="I15" s="1" t="s">
        <v>22</v>
      </c>
      <c r="J15" s="1"/>
      <c r="K15" s="1"/>
      <c r="L15" s="1"/>
      <c r="M15" s="13" t="s">
        <v>25</v>
      </c>
      <c r="N15" s="1"/>
      <c r="O15" s="1"/>
      <c r="P15" s="1"/>
      <c r="Q15" s="1"/>
      <c r="R15" s="1"/>
      <c r="S15" s="1"/>
      <c r="T15" s="1">
        <v>120</v>
      </c>
      <c r="U15" s="15">
        <f t="shared" si="1"/>
        <v>8640000</v>
      </c>
    </row>
    <row r="16" spans="1:21" ht="15.75" x14ac:dyDescent="0.25">
      <c r="A16" s="1">
        <v>3</v>
      </c>
      <c r="B16" s="21" t="s">
        <v>145</v>
      </c>
      <c r="C16" s="1" t="s">
        <v>146</v>
      </c>
      <c r="D16" s="1">
        <v>5</v>
      </c>
      <c r="E16" s="4">
        <v>6200</v>
      </c>
      <c r="F16" s="4">
        <f>D16*E16</f>
        <v>31000</v>
      </c>
      <c r="G16" s="1"/>
      <c r="H16" s="1" t="s">
        <v>31</v>
      </c>
      <c r="I16" s="1" t="s">
        <v>22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>
        <v>5</v>
      </c>
      <c r="U16" s="15">
        <f t="shared" si="1"/>
        <v>31000</v>
      </c>
    </row>
    <row r="17" spans="1:21" ht="15.75" x14ac:dyDescent="0.25">
      <c r="A17" s="1">
        <v>4</v>
      </c>
      <c r="B17" s="16" t="s">
        <v>193</v>
      </c>
      <c r="C17" s="1" t="s">
        <v>91</v>
      </c>
      <c r="D17" s="1">
        <v>20</v>
      </c>
      <c r="E17" s="4">
        <v>3600</v>
      </c>
      <c r="F17" s="4">
        <f>D17*E17</f>
        <v>72000</v>
      </c>
      <c r="G17" s="1"/>
      <c r="H17" s="1" t="s">
        <v>31</v>
      </c>
      <c r="I17" s="1" t="s">
        <v>22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>
        <v>20</v>
      </c>
      <c r="U17" s="15">
        <f>D17*E17</f>
        <v>72000</v>
      </c>
    </row>
    <row r="18" spans="1:21" ht="15.75" x14ac:dyDescent="0.25">
      <c r="A18" s="1">
        <v>5</v>
      </c>
      <c r="B18" s="16" t="s">
        <v>189</v>
      </c>
      <c r="C18" s="1" t="s">
        <v>194</v>
      </c>
      <c r="D18" s="1">
        <v>10</v>
      </c>
      <c r="E18" s="4">
        <v>600</v>
      </c>
      <c r="F18" s="4">
        <f t="shared" ref="F18:F21" si="2">D18*E18</f>
        <v>6000</v>
      </c>
      <c r="G18" s="1"/>
      <c r="H18" s="1" t="s">
        <v>31</v>
      </c>
      <c r="I18" s="1" t="s">
        <v>22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>
        <v>10</v>
      </c>
      <c r="U18" s="15">
        <f t="shared" ref="U18:U21" si="3">D18*E18</f>
        <v>6000</v>
      </c>
    </row>
    <row r="19" spans="1:21" ht="15.75" x14ac:dyDescent="0.25">
      <c r="A19" s="1">
        <v>6</v>
      </c>
      <c r="B19" s="16" t="s">
        <v>190</v>
      </c>
      <c r="C19" s="1" t="s">
        <v>80</v>
      </c>
      <c r="D19" s="1">
        <v>3</v>
      </c>
      <c r="E19" s="4">
        <v>30000</v>
      </c>
      <c r="F19" s="4">
        <f t="shared" si="2"/>
        <v>90000</v>
      </c>
      <c r="G19" s="1"/>
      <c r="H19" s="1" t="s">
        <v>31</v>
      </c>
      <c r="I19" s="1" t="s">
        <v>22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>
        <v>3</v>
      </c>
      <c r="U19" s="15">
        <f t="shared" si="3"/>
        <v>90000</v>
      </c>
    </row>
    <row r="20" spans="1:21" ht="15.75" x14ac:dyDescent="0.25">
      <c r="A20" s="1">
        <v>7</v>
      </c>
      <c r="B20" s="16" t="s">
        <v>191</v>
      </c>
      <c r="C20" s="1" t="s">
        <v>195</v>
      </c>
      <c r="D20" s="1">
        <v>4</v>
      </c>
      <c r="E20" s="4">
        <v>3600</v>
      </c>
      <c r="F20" s="4">
        <f t="shared" si="2"/>
        <v>14400</v>
      </c>
      <c r="G20" s="1"/>
      <c r="H20" s="1" t="s">
        <v>31</v>
      </c>
      <c r="I20" s="1" t="s">
        <v>22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>
        <v>4</v>
      </c>
      <c r="U20" s="15">
        <f t="shared" si="3"/>
        <v>14400</v>
      </c>
    </row>
    <row r="21" spans="1:21" ht="15.75" x14ac:dyDescent="0.25">
      <c r="A21" s="1">
        <v>8</v>
      </c>
      <c r="B21" s="16" t="s">
        <v>192</v>
      </c>
      <c r="C21" s="1" t="s">
        <v>196</v>
      </c>
      <c r="D21" s="1">
        <v>4</v>
      </c>
      <c r="E21" s="4">
        <v>2600</v>
      </c>
      <c r="F21" s="4">
        <f t="shared" si="2"/>
        <v>10400</v>
      </c>
      <c r="G21" s="1"/>
      <c r="H21" s="1" t="s">
        <v>31</v>
      </c>
      <c r="I21" s="1" t="s">
        <v>22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>
        <v>4</v>
      </c>
      <c r="U21" s="15">
        <f t="shared" si="3"/>
        <v>10400</v>
      </c>
    </row>
    <row r="22" spans="1:21" ht="15.75" x14ac:dyDescent="0.25">
      <c r="A22" s="1">
        <v>9</v>
      </c>
      <c r="B22" s="16" t="s">
        <v>203</v>
      </c>
      <c r="C22" s="1" t="s">
        <v>105</v>
      </c>
      <c r="D22" s="1">
        <v>30</v>
      </c>
      <c r="E22" s="4">
        <v>1600</v>
      </c>
      <c r="F22" s="4">
        <f t="shared" si="0"/>
        <v>48000</v>
      </c>
      <c r="G22" s="1"/>
      <c r="H22" s="1" t="s">
        <v>31</v>
      </c>
      <c r="I22" s="1" t="s">
        <v>22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>
        <v>30</v>
      </c>
      <c r="U22" s="15">
        <f t="shared" si="1"/>
        <v>48000</v>
      </c>
    </row>
    <row r="23" spans="1:21" ht="15.75" x14ac:dyDescent="0.25">
      <c r="A23" s="1">
        <v>10</v>
      </c>
      <c r="B23" s="16" t="s">
        <v>201</v>
      </c>
      <c r="C23" s="1" t="s">
        <v>105</v>
      </c>
      <c r="D23" s="1">
        <v>30</v>
      </c>
      <c r="E23" s="4">
        <v>1500</v>
      </c>
      <c r="F23" s="4">
        <f t="shared" si="0"/>
        <v>45000</v>
      </c>
      <c r="G23" s="1"/>
      <c r="H23" s="1" t="s">
        <v>31</v>
      </c>
      <c r="I23" s="1" t="s">
        <v>22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>
        <v>30</v>
      </c>
      <c r="U23" s="15">
        <f t="shared" si="1"/>
        <v>45000</v>
      </c>
    </row>
    <row r="24" spans="1:21" ht="15.75" x14ac:dyDescent="0.25">
      <c r="A24" s="1">
        <v>11</v>
      </c>
      <c r="B24" s="16" t="s">
        <v>202</v>
      </c>
      <c r="C24" s="1" t="s">
        <v>105</v>
      </c>
      <c r="D24" s="1">
        <v>30</v>
      </c>
      <c r="E24" s="4">
        <v>1600</v>
      </c>
      <c r="F24" s="4">
        <f t="shared" si="0"/>
        <v>48000</v>
      </c>
      <c r="G24" s="1"/>
      <c r="H24" s="1" t="s">
        <v>31</v>
      </c>
      <c r="I24" s="1" t="s">
        <v>22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>
        <v>30</v>
      </c>
      <c r="U24" s="15">
        <f t="shared" si="1"/>
        <v>48000</v>
      </c>
    </row>
    <row r="25" spans="1:21" ht="15.75" x14ac:dyDescent="0.25">
      <c r="A25" s="1">
        <v>12</v>
      </c>
      <c r="B25" s="16" t="s">
        <v>198</v>
      </c>
      <c r="C25" s="1" t="s">
        <v>105</v>
      </c>
      <c r="D25" s="1">
        <v>4</v>
      </c>
      <c r="E25" s="4">
        <v>8500</v>
      </c>
      <c r="F25" s="4">
        <f t="shared" si="0"/>
        <v>34000</v>
      </c>
      <c r="G25" s="1"/>
      <c r="H25" s="1" t="s">
        <v>31</v>
      </c>
      <c r="I25" s="1" t="s">
        <v>22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>
        <v>4</v>
      </c>
      <c r="U25" s="15">
        <f t="shared" si="1"/>
        <v>34000</v>
      </c>
    </row>
    <row r="26" spans="1:21" ht="15.75" x14ac:dyDescent="0.25">
      <c r="A26" s="1">
        <v>13</v>
      </c>
      <c r="B26" s="16" t="s">
        <v>199</v>
      </c>
      <c r="C26" s="1" t="s">
        <v>105</v>
      </c>
      <c r="D26" s="1">
        <v>4</v>
      </c>
      <c r="E26" s="4">
        <v>5000</v>
      </c>
      <c r="F26" s="4">
        <f t="shared" si="0"/>
        <v>20000</v>
      </c>
      <c r="G26" s="1"/>
      <c r="H26" s="1" t="s">
        <v>31</v>
      </c>
      <c r="I26" s="1" t="s">
        <v>22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>
        <v>4</v>
      </c>
      <c r="U26" s="15">
        <f t="shared" si="1"/>
        <v>20000</v>
      </c>
    </row>
    <row r="27" spans="1:21" ht="15.75" x14ac:dyDescent="0.25">
      <c r="A27" s="1">
        <v>14</v>
      </c>
      <c r="B27" s="16" t="s">
        <v>200</v>
      </c>
      <c r="C27" s="1" t="s">
        <v>204</v>
      </c>
      <c r="D27" s="1">
        <v>10</v>
      </c>
      <c r="E27" s="4">
        <v>9200</v>
      </c>
      <c r="F27" s="4">
        <f t="shared" si="0"/>
        <v>92000</v>
      </c>
      <c r="G27" s="1"/>
      <c r="H27" s="1" t="s">
        <v>31</v>
      </c>
      <c r="I27" s="1" t="s">
        <v>22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>
        <v>10</v>
      </c>
      <c r="U27" s="15">
        <f t="shared" si="1"/>
        <v>92000</v>
      </c>
    </row>
    <row r="28" spans="1:21" ht="15.75" x14ac:dyDescent="0.25">
      <c r="A28" s="1"/>
      <c r="B28" s="16"/>
      <c r="C28" s="1"/>
      <c r="D28" s="1"/>
      <c r="E28" s="4"/>
      <c r="F28" s="4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5"/>
    </row>
    <row r="29" spans="1:21" ht="15.75" x14ac:dyDescent="0.25">
      <c r="A29" s="1"/>
      <c r="B29" s="16"/>
      <c r="C29" s="1"/>
      <c r="D29" s="1"/>
      <c r="E29" s="4"/>
      <c r="F29" s="4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5"/>
    </row>
    <row r="30" spans="1:21" ht="15.75" x14ac:dyDescent="0.25">
      <c r="A30" s="1"/>
      <c r="B30" s="16"/>
      <c r="C30" s="1"/>
      <c r="D30" s="1"/>
      <c r="E30" s="4"/>
      <c r="F30" s="4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5"/>
    </row>
    <row r="31" spans="1:21" ht="15.75" x14ac:dyDescent="0.25">
      <c r="A31" s="1"/>
      <c r="B31" s="16"/>
      <c r="C31" s="1"/>
      <c r="D31" s="1"/>
      <c r="E31" s="4"/>
      <c r="F31" s="4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5"/>
    </row>
    <row r="32" spans="1:21" ht="15.75" x14ac:dyDescent="0.25">
      <c r="A32" s="1"/>
      <c r="B32" s="16"/>
      <c r="C32" s="1"/>
      <c r="D32" s="1"/>
      <c r="E32" s="4"/>
      <c r="F32" s="4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5"/>
    </row>
    <row r="33" spans="1:21" ht="15.75" x14ac:dyDescent="0.25">
      <c r="A33" s="1"/>
      <c r="B33" s="16"/>
      <c r="C33" s="1"/>
      <c r="D33" s="1"/>
      <c r="E33" s="4"/>
      <c r="F33" s="4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5"/>
    </row>
    <row r="34" spans="1:21" x14ac:dyDescent="0.25">
      <c r="A34" s="1"/>
      <c r="B34" s="1"/>
      <c r="C34" s="1"/>
      <c r="D34" s="1"/>
      <c r="E34" s="4"/>
      <c r="F34" s="4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5">
        <f t="shared" si="1"/>
        <v>0</v>
      </c>
    </row>
    <row r="35" spans="1:21" x14ac:dyDescent="0.25">
      <c r="A35" s="3" t="s">
        <v>27</v>
      </c>
      <c r="B35" s="3"/>
      <c r="C35" s="3"/>
      <c r="D35" s="1"/>
      <c r="E35" s="4"/>
      <c r="F35" s="4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5">
        <f t="shared" si="1"/>
        <v>0</v>
      </c>
    </row>
    <row r="36" spans="1:21" x14ac:dyDescent="0.25">
      <c r="A36" s="1">
        <v>1</v>
      </c>
      <c r="B36" s="1" t="s">
        <v>35</v>
      </c>
      <c r="C36" s="1" t="s">
        <v>102</v>
      </c>
      <c r="D36" s="1">
        <v>2</v>
      </c>
      <c r="E36" s="4">
        <v>25000</v>
      </c>
      <c r="F36" s="4">
        <f t="shared" si="0"/>
        <v>50000</v>
      </c>
      <c r="G36" s="1" t="s">
        <v>23</v>
      </c>
      <c r="H36" s="1" t="s">
        <v>31</v>
      </c>
      <c r="I36" s="1" t="s">
        <v>22</v>
      </c>
      <c r="J36" s="1"/>
      <c r="K36" s="1"/>
      <c r="L36" s="1"/>
      <c r="M36" s="13" t="s">
        <v>25</v>
      </c>
      <c r="N36" s="1"/>
      <c r="O36" s="1"/>
      <c r="P36" s="1"/>
      <c r="Q36" s="1"/>
      <c r="R36" s="1"/>
      <c r="S36" s="1"/>
      <c r="T36" s="25">
        <v>2</v>
      </c>
      <c r="U36" s="15">
        <f t="shared" si="1"/>
        <v>50000</v>
      </c>
    </row>
    <row r="37" spans="1:21" ht="15.75" x14ac:dyDescent="0.25">
      <c r="A37" s="1">
        <v>2</v>
      </c>
      <c r="B37" s="16" t="s">
        <v>51</v>
      </c>
      <c r="C37" s="16" t="s">
        <v>102</v>
      </c>
      <c r="D37" s="1">
        <v>6</v>
      </c>
      <c r="E37" s="4">
        <v>20000</v>
      </c>
      <c r="F37" s="4">
        <f t="shared" si="0"/>
        <v>120000</v>
      </c>
      <c r="G37" s="1" t="s">
        <v>23</v>
      </c>
      <c r="H37" s="1" t="s">
        <v>31</v>
      </c>
      <c r="I37" s="1" t="s">
        <v>22</v>
      </c>
      <c r="J37" s="1"/>
      <c r="K37" s="1"/>
      <c r="L37" s="1"/>
      <c r="M37" s="13" t="s">
        <v>25</v>
      </c>
      <c r="N37" s="1"/>
      <c r="O37" s="1"/>
      <c r="P37" s="1"/>
      <c r="Q37" s="1"/>
      <c r="R37" s="1"/>
      <c r="S37" s="1"/>
      <c r="T37" s="25">
        <v>6</v>
      </c>
      <c r="U37" s="15">
        <f t="shared" si="1"/>
        <v>120000</v>
      </c>
    </row>
    <row r="38" spans="1:21" x14ac:dyDescent="0.25">
      <c r="A38" s="1">
        <v>3</v>
      </c>
      <c r="B38" s="1" t="s">
        <v>218</v>
      </c>
      <c r="C38" s="1" t="s">
        <v>102</v>
      </c>
      <c r="D38" s="1">
        <v>20</v>
      </c>
      <c r="E38" s="4">
        <v>480</v>
      </c>
      <c r="F38" s="4">
        <f t="shared" si="0"/>
        <v>9600</v>
      </c>
      <c r="G38" s="1"/>
      <c r="H38" s="1" t="s">
        <v>31</v>
      </c>
      <c r="I38" s="1" t="s">
        <v>22</v>
      </c>
      <c r="J38" s="1"/>
      <c r="K38" s="1"/>
      <c r="L38" s="1"/>
      <c r="M38" s="1"/>
      <c r="N38" s="1"/>
      <c r="O38" s="1"/>
      <c r="P38" s="1"/>
      <c r="Q38" s="1"/>
      <c r="R38" s="1"/>
      <c r="S38" s="1"/>
      <c r="T38" s="25">
        <v>20</v>
      </c>
      <c r="U38" s="15">
        <f t="shared" si="1"/>
        <v>9600</v>
      </c>
    </row>
    <row r="39" spans="1:21" x14ac:dyDescent="0.25">
      <c r="A39" s="1">
        <v>5</v>
      </c>
      <c r="B39" s="1" t="s">
        <v>217</v>
      </c>
      <c r="C39" s="1" t="s">
        <v>61</v>
      </c>
      <c r="D39" s="1">
        <v>20</v>
      </c>
      <c r="E39" s="4">
        <v>1600</v>
      </c>
      <c r="F39" s="4">
        <f t="shared" si="0"/>
        <v>32000</v>
      </c>
      <c r="G39" s="1"/>
      <c r="H39" s="1" t="s">
        <v>31</v>
      </c>
      <c r="I39" s="1" t="s">
        <v>22</v>
      </c>
      <c r="J39" s="1"/>
      <c r="K39" s="1"/>
      <c r="L39" s="1"/>
      <c r="M39" s="1"/>
      <c r="N39" s="1"/>
      <c r="O39" s="1"/>
      <c r="P39" s="1"/>
      <c r="Q39" s="1"/>
      <c r="R39" s="1"/>
      <c r="S39" s="1"/>
      <c r="T39" s="25">
        <v>20</v>
      </c>
      <c r="U39" s="15">
        <f t="shared" si="1"/>
        <v>32000</v>
      </c>
    </row>
    <row r="40" spans="1:21" x14ac:dyDescent="0.25">
      <c r="A40" s="38">
        <v>6</v>
      </c>
      <c r="B40" s="38" t="s">
        <v>254</v>
      </c>
      <c r="C40" s="38" t="s">
        <v>80</v>
      </c>
      <c r="D40" s="1"/>
      <c r="E40" s="4"/>
      <c r="F40" s="4">
        <f t="shared" si="0"/>
        <v>0</v>
      </c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5"/>
      <c r="U40" s="15">
        <f t="shared" si="1"/>
        <v>0</v>
      </c>
    </row>
    <row r="41" spans="1:21" x14ac:dyDescent="0.25">
      <c r="A41" s="1"/>
      <c r="B41" s="1" t="s">
        <v>297</v>
      </c>
      <c r="C41" s="1" t="s">
        <v>204</v>
      </c>
      <c r="D41" s="1">
        <v>5</v>
      </c>
      <c r="E41" s="4"/>
      <c r="F41" s="4">
        <v>0</v>
      </c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5"/>
      <c r="U41" s="15"/>
    </row>
    <row r="42" spans="1:21" x14ac:dyDescent="0.25">
      <c r="A42" s="52"/>
      <c r="B42" s="53" t="s">
        <v>294</v>
      </c>
      <c r="C42" s="52" t="s">
        <v>204</v>
      </c>
      <c r="D42" s="52">
        <v>10</v>
      </c>
      <c r="E42" s="38"/>
      <c r="F42" s="47">
        <f t="shared" ref="F42" si="4">D42*E42</f>
        <v>0</v>
      </c>
      <c r="G42" s="38"/>
      <c r="H42" s="38"/>
      <c r="I42" s="38"/>
      <c r="J42" s="38"/>
      <c r="K42" s="38"/>
      <c r="L42" s="38"/>
      <c r="M42" s="38"/>
      <c r="N42" s="38"/>
      <c r="O42" s="38"/>
      <c r="P42" s="38"/>
      <c r="Q42" s="38"/>
      <c r="R42" s="38"/>
      <c r="S42" s="38"/>
      <c r="T42" s="38"/>
      <c r="U42" s="49"/>
    </row>
    <row r="43" spans="1:21" x14ac:dyDescent="0.25">
      <c r="A43" s="1"/>
      <c r="B43" s="1"/>
      <c r="C43" s="1"/>
      <c r="D43" s="1"/>
      <c r="E43" s="4"/>
      <c r="F43" s="4">
        <f t="shared" si="0"/>
        <v>0</v>
      </c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5">
        <f t="shared" si="1"/>
        <v>0</v>
      </c>
    </row>
    <row r="44" spans="1:21" x14ac:dyDescent="0.25">
      <c r="A44" s="1"/>
      <c r="B44" s="1"/>
      <c r="C44" s="1"/>
      <c r="D44" s="1"/>
      <c r="E44" s="4"/>
      <c r="F44" s="4">
        <f t="shared" si="0"/>
        <v>0</v>
      </c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5">
        <f t="shared" si="1"/>
        <v>0</v>
      </c>
    </row>
    <row r="45" spans="1:21" x14ac:dyDescent="0.25">
      <c r="A45" s="1"/>
      <c r="B45" s="1"/>
      <c r="C45" s="1"/>
      <c r="D45" s="1"/>
      <c r="E45" s="4"/>
      <c r="F45" s="4">
        <f t="shared" si="0"/>
        <v>0</v>
      </c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5">
        <f t="shared" si="1"/>
        <v>0</v>
      </c>
    </row>
    <row r="46" spans="1:21" x14ac:dyDescent="0.25">
      <c r="A46" s="1"/>
      <c r="B46" s="1"/>
      <c r="C46" s="1"/>
      <c r="D46" s="1"/>
      <c r="E46" s="4"/>
      <c r="F46" s="4">
        <f t="shared" si="0"/>
        <v>0</v>
      </c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5">
        <f t="shared" si="1"/>
        <v>0</v>
      </c>
    </row>
    <row r="47" spans="1:21" x14ac:dyDescent="0.25">
      <c r="A47" s="1"/>
      <c r="B47" s="1"/>
      <c r="C47" s="1"/>
      <c r="D47" s="1"/>
      <c r="E47" s="4"/>
      <c r="F47" s="4">
        <f t="shared" si="0"/>
        <v>0</v>
      </c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5">
        <f t="shared" si="1"/>
        <v>0</v>
      </c>
    </row>
    <row r="48" spans="1:21" x14ac:dyDescent="0.25">
      <c r="A48" s="1"/>
      <c r="B48" s="1"/>
      <c r="C48" s="1"/>
      <c r="D48" s="1"/>
      <c r="E48" s="4"/>
      <c r="F48" s="4">
        <f t="shared" si="0"/>
        <v>0</v>
      </c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5">
        <f t="shared" si="1"/>
        <v>0</v>
      </c>
    </row>
    <row r="49" spans="1:21" x14ac:dyDescent="0.25">
      <c r="A49" s="1"/>
      <c r="B49" s="1"/>
      <c r="C49" s="1"/>
      <c r="D49" s="1"/>
      <c r="E49" s="4"/>
      <c r="F49" s="4">
        <f t="shared" si="0"/>
        <v>0</v>
      </c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5">
        <f t="shared" si="1"/>
        <v>0</v>
      </c>
    </row>
    <row r="50" spans="1:21" x14ac:dyDescent="0.25">
      <c r="A50" s="1"/>
      <c r="B50" s="1"/>
      <c r="C50" s="1"/>
      <c r="D50" s="1"/>
      <c r="E50" s="4"/>
      <c r="F50" s="4">
        <f t="shared" si="0"/>
        <v>0</v>
      </c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5">
        <f t="shared" si="1"/>
        <v>0</v>
      </c>
    </row>
    <row r="51" spans="1:21" x14ac:dyDescent="0.25">
      <c r="A51" s="3" t="s">
        <v>28</v>
      </c>
      <c r="B51" s="3"/>
      <c r="C51" s="3"/>
      <c r="D51" s="1"/>
      <c r="E51" s="4"/>
      <c r="F51" s="4">
        <f t="shared" si="0"/>
        <v>0</v>
      </c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5">
        <f t="shared" si="1"/>
        <v>0</v>
      </c>
    </row>
    <row r="52" spans="1:21" x14ac:dyDescent="0.25">
      <c r="A52" s="1">
        <v>1</v>
      </c>
      <c r="B52" s="1" t="s">
        <v>29</v>
      </c>
      <c r="C52" s="1" t="s">
        <v>80</v>
      </c>
      <c r="D52" s="1">
        <v>4</v>
      </c>
      <c r="E52" s="14">
        <v>16000</v>
      </c>
      <c r="F52" s="4">
        <f t="shared" si="0"/>
        <v>64000</v>
      </c>
      <c r="G52" s="1" t="s">
        <v>23</v>
      </c>
      <c r="H52" s="1" t="s">
        <v>31</v>
      </c>
      <c r="I52" s="1" t="s">
        <v>22</v>
      </c>
      <c r="J52" s="2"/>
      <c r="K52" s="2"/>
      <c r="L52" s="2"/>
      <c r="M52" s="13" t="s">
        <v>25</v>
      </c>
      <c r="N52" s="1"/>
      <c r="O52" s="1"/>
      <c r="P52" s="1"/>
      <c r="Q52" s="1"/>
      <c r="R52" s="1"/>
      <c r="S52" s="1"/>
      <c r="T52" s="25">
        <v>4</v>
      </c>
      <c r="U52" s="15">
        <f t="shared" si="1"/>
        <v>64000</v>
      </c>
    </row>
    <row r="53" spans="1:21" x14ac:dyDescent="0.25">
      <c r="A53" s="1"/>
      <c r="B53" s="1"/>
      <c r="C53" s="1"/>
      <c r="D53" s="1"/>
      <c r="E53" s="4"/>
      <c r="F53" s="4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5"/>
      <c r="U53" s="15">
        <f t="shared" si="1"/>
        <v>0</v>
      </c>
    </row>
    <row r="54" spans="1:21" x14ac:dyDescent="0.25">
      <c r="A54" s="1"/>
      <c r="B54" s="1"/>
      <c r="C54" s="1"/>
      <c r="D54" s="1"/>
      <c r="E54" s="4"/>
      <c r="F54" s="4">
        <f t="shared" si="0"/>
        <v>0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5"/>
      <c r="U54" s="15">
        <f t="shared" si="1"/>
        <v>0</v>
      </c>
    </row>
    <row r="55" spans="1:21" x14ac:dyDescent="0.25">
      <c r="A55" s="1"/>
      <c r="B55" s="1"/>
      <c r="C55" s="1"/>
      <c r="D55" s="1"/>
      <c r="E55" s="4"/>
      <c r="F55" s="4">
        <f t="shared" si="0"/>
        <v>0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5"/>
      <c r="U55" s="15">
        <f t="shared" si="1"/>
        <v>0</v>
      </c>
    </row>
    <row r="56" spans="1:21" x14ac:dyDescent="0.25">
      <c r="A56" s="1"/>
      <c r="B56" s="1"/>
      <c r="C56" s="1"/>
      <c r="D56" s="1"/>
      <c r="E56" s="4"/>
      <c r="F56" s="4">
        <f t="shared" si="0"/>
        <v>0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5"/>
      <c r="U56" s="15">
        <f t="shared" si="1"/>
        <v>0</v>
      </c>
    </row>
    <row r="57" spans="1:21" x14ac:dyDescent="0.25">
      <c r="A57" s="1"/>
      <c r="B57" s="1"/>
      <c r="C57" s="1"/>
      <c r="D57" s="1"/>
      <c r="E57" s="4"/>
      <c r="F57" s="4">
        <f t="shared" si="0"/>
        <v>0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5"/>
      <c r="U57" s="15">
        <f t="shared" si="1"/>
        <v>0</v>
      </c>
    </row>
    <row r="58" spans="1:21" x14ac:dyDescent="0.25">
      <c r="A58" s="1"/>
      <c r="B58" s="1"/>
      <c r="C58" s="1"/>
      <c r="D58" s="1"/>
      <c r="E58" s="4"/>
      <c r="F58" s="4">
        <f t="shared" si="0"/>
        <v>0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5">
        <f t="shared" si="1"/>
        <v>0</v>
      </c>
    </row>
    <row r="59" spans="1:21" x14ac:dyDescent="0.25">
      <c r="A59" s="1"/>
      <c r="B59" s="1"/>
      <c r="C59" s="1"/>
      <c r="D59" s="1"/>
      <c r="E59" s="4"/>
      <c r="F59" s="4">
        <f t="shared" si="0"/>
        <v>0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5">
        <f t="shared" si="1"/>
        <v>0</v>
      </c>
    </row>
    <row r="60" spans="1:21" x14ac:dyDescent="0.25">
      <c r="A60" s="1"/>
      <c r="B60" s="1"/>
      <c r="C60" s="1"/>
      <c r="D60" s="1"/>
      <c r="E60" s="4"/>
      <c r="F60" s="4">
        <f t="shared" si="0"/>
        <v>0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5">
        <f t="shared" si="1"/>
        <v>0</v>
      </c>
    </row>
    <row r="61" spans="1:21" x14ac:dyDescent="0.25">
      <c r="A61" s="1"/>
      <c r="B61" s="1"/>
      <c r="C61" s="1"/>
      <c r="D61" s="1"/>
      <c r="E61" s="4"/>
      <c r="F61" s="4">
        <f t="shared" si="0"/>
        <v>0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5">
        <f t="shared" si="1"/>
        <v>0</v>
      </c>
    </row>
    <row r="62" spans="1:21" x14ac:dyDescent="0.25">
      <c r="A62" s="3" t="s">
        <v>32</v>
      </c>
      <c r="B62" s="3"/>
      <c r="C62" s="3"/>
      <c r="D62" s="1"/>
      <c r="E62" s="4"/>
      <c r="F62" s="4">
        <f t="shared" si="0"/>
        <v>0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5">
        <f t="shared" si="1"/>
        <v>0</v>
      </c>
    </row>
    <row r="63" spans="1:21" ht="31.5" x14ac:dyDescent="0.25">
      <c r="A63" s="1">
        <v>1</v>
      </c>
      <c r="B63" s="16" t="s">
        <v>33</v>
      </c>
      <c r="C63" s="16" t="s">
        <v>119</v>
      </c>
      <c r="D63" s="1">
        <v>2125</v>
      </c>
      <c r="E63" s="4">
        <v>200</v>
      </c>
      <c r="F63" s="4">
        <f t="shared" si="0"/>
        <v>425000</v>
      </c>
      <c r="G63" s="1" t="s">
        <v>23</v>
      </c>
      <c r="H63" s="1" t="s">
        <v>31</v>
      </c>
      <c r="I63" s="1" t="s">
        <v>22</v>
      </c>
      <c r="J63" s="1"/>
      <c r="K63" s="1"/>
      <c r="L63" s="1"/>
      <c r="M63" s="13" t="s">
        <v>25</v>
      </c>
      <c r="N63" s="1"/>
      <c r="O63" s="1"/>
      <c r="P63" s="1"/>
      <c r="Q63" s="1"/>
      <c r="R63" s="1"/>
      <c r="S63" s="1"/>
      <c r="T63" s="1">
        <v>3000</v>
      </c>
      <c r="U63" s="15">
        <f t="shared" si="1"/>
        <v>425000</v>
      </c>
    </row>
    <row r="64" spans="1:21" x14ac:dyDescent="0.25">
      <c r="A64" s="1">
        <v>2</v>
      </c>
      <c r="B64" s="1" t="s">
        <v>34</v>
      </c>
      <c r="C64" s="1" t="s">
        <v>80</v>
      </c>
      <c r="D64" s="1"/>
      <c r="E64" s="4"/>
      <c r="F64" s="4">
        <f t="shared" si="0"/>
        <v>0</v>
      </c>
      <c r="G64" s="1" t="s">
        <v>23</v>
      </c>
      <c r="H64" s="1" t="s">
        <v>31</v>
      </c>
      <c r="I64" s="1" t="s">
        <v>22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5">
        <f t="shared" si="1"/>
        <v>0</v>
      </c>
    </row>
    <row r="65" spans="1:21" x14ac:dyDescent="0.25">
      <c r="A65" s="38">
        <v>3</v>
      </c>
      <c r="B65" s="38" t="s">
        <v>302</v>
      </c>
      <c r="C65" s="38" t="s">
        <v>119</v>
      </c>
      <c r="D65" s="38">
        <v>53720</v>
      </c>
      <c r="E65" s="47">
        <v>200</v>
      </c>
      <c r="F65" s="47">
        <f t="shared" si="0"/>
        <v>10744000</v>
      </c>
      <c r="G65" s="1" t="s">
        <v>23</v>
      </c>
      <c r="H65" s="1" t="s">
        <v>31</v>
      </c>
      <c r="I65" s="1" t="s">
        <v>22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>
        <v>53720</v>
      </c>
      <c r="U65" s="15">
        <f t="shared" si="1"/>
        <v>10744000</v>
      </c>
    </row>
    <row r="66" spans="1:21" x14ac:dyDescent="0.25">
      <c r="A66" s="38">
        <v>4</v>
      </c>
      <c r="B66" s="38" t="s">
        <v>303</v>
      </c>
      <c r="C66" s="38" t="s">
        <v>304</v>
      </c>
      <c r="D66" s="38">
        <v>1</v>
      </c>
      <c r="E66" s="47">
        <v>3500000</v>
      </c>
      <c r="F66" s="47">
        <f t="shared" si="0"/>
        <v>3500000</v>
      </c>
      <c r="G66" s="1" t="s">
        <v>23</v>
      </c>
      <c r="H66" s="1" t="s">
        <v>31</v>
      </c>
      <c r="I66" s="1" t="s">
        <v>22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>
        <v>1</v>
      </c>
      <c r="U66" s="15">
        <f t="shared" si="1"/>
        <v>3500000</v>
      </c>
    </row>
    <row r="67" spans="1:21" x14ac:dyDescent="0.25">
      <c r="A67" s="1"/>
      <c r="B67" s="1"/>
      <c r="C67" s="1"/>
      <c r="D67" s="1"/>
      <c r="E67" s="4"/>
      <c r="F67" s="4">
        <f t="shared" si="0"/>
        <v>0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5">
        <f t="shared" si="1"/>
        <v>0</v>
      </c>
    </row>
    <row r="68" spans="1:21" x14ac:dyDescent="0.25">
      <c r="A68" s="1"/>
      <c r="B68" s="1"/>
      <c r="C68" s="1"/>
      <c r="D68" s="1"/>
      <c r="E68" s="4"/>
      <c r="F68" s="4">
        <f t="shared" si="0"/>
        <v>0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5">
        <f t="shared" si="1"/>
        <v>0</v>
      </c>
    </row>
    <row r="69" spans="1:21" x14ac:dyDescent="0.25">
      <c r="A69" s="1"/>
      <c r="B69" s="1"/>
      <c r="C69" s="1"/>
      <c r="D69" s="1"/>
      <c r="E69" s="4"/>
      <c r="F69" s="4">
        <f t="shared" si="0"/>
        <v>0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5">
        <f t="shared" si="1"/>
        <v>0</v>
      </c>
    </row>
    <row r="70" spans="1:21" x14ac:dyDescent="0.25">
      <c r="A70" s="1"/>
      <c r="B70" s="1"/>
      <c r="C70" s="1"/>
      <c r="D70" s="1"/>
      <c r="E70" s="4"/>
      <c r="F70" s="4">
        <f t="shared" si="0"/>
        <v>0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5">
        <f t="shared" si="1"/>
        <v>0</v>
      </c>
    </row>
    <row r="71" spans="1:21" x14ac:dyDescent="0.25">
      <c r="A71" s="1"/>
      <c r="B71" s="1"/>
      <c r="C71" s="1"/>
      <c r="D71" s="1"/>
      <c r="E71" s="4"/>
      <c r="F71" s="4">
        <f t="shared" si="0"/>
        <v>0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5">
        <f t="shared" si="1"/>
        <v>0</v>
      </c>
    </row>
    <row r="72" spans="1:21" x14ac:dyDescent="0.25">
      <c r="A72" s="3" t="s">
        <v>36</v>
      </c>
      <c r="B72" s="3"/>
      <c r="C72" s="3"/>
      <c r="D72" s="1"/>
      <c r="E72" s="4"/>
      <c r="F72" s="4">
        <f t="shared" si="0"/>
        <v>0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5">
        <f t="shared" si="1"/>
        <v>0</v>
      </c>
    </row>
    <row r="73" spans="1:21" x14ac:dyDescent="0.25">
      <c r="A73" s="1">
        <v>1</v>
      </c>
      <c r="B73" t="s">
        <v>230</v>
      </c>
      <c r="C73" t="s">
        <v>120</v>
      </c>
      <c r="D73" s="1"/>
      <c r="E73" s="4"/>
      <c r="F73" s="4">
        <f t="shared" si="0"/>
        <v>0</v>
      </c>
      <c r="G73" s="1" t="s">
        <v>23</v>
      </c>
      <c r="H73" s="1" t="s">
        <v>31</v>
      </c>
      <c r="I73" s="1" t="s">
        <v>22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5">
        <f t="shared" si="1"/>
        <v>0</v>
      </c>
    </row>
    <row r="74" spans="1:21" x14ac:dyDescent="0.25">
      <c r="A74" s="1">
        <v>2</v>
      </c>
      <c r="B74" s="1" t="s">
        <v>37</v>
      </c>
      <c r="C74" s="1" t="s">
        <v>121</v>
      </c>
      <c r="D74" s="1"/>
      <c r="E74" s="4"/>
      <c r="F74" s="4">
        <f t="shared" si="0"/>
        <v>0</v>
      </c>
      <c r="G74" s="1" t="s">
        <v>23</v>
      </c>
      <c r="H74" s="1" t="s">
        <v>31</v>
      </c>
      <c r="I74" s="1" t="s">
        <v>22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5">
        <f t="shared" si="1"/>
        <v>0</v>
      </c>
    </row>
    <row r="75" spans="1:21" x14ac:dyDescent="0.25">
      <c r="A75" s="1">
        <v>3</v>
      </c>
      <c r="B75" s="1" t="s">
        <v>38</v>
      </c>
      <c r="C75" s="1" t="s">
        <v>118</v>
      </c>
      <c r="D75" s="1">
        <v>10</v>
      </c>
      <c r="E75" s="4"/>
      <c r="F75" s="4">
        <f t="shared" si="0"/>
        <v>0</v>
      </c>
      <c r="G75" s="1" t="s">
        <v>23</v>
      </c>
      <c r="H75" s="1" t="s">
        <v>31</v>
      </c>
      <c r="I75" s="1" t="s">
        <v>22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>
        <v>10</v>
      </c>
      <c r="U75" s="15">
        <f t="shared" si="1"/>
        <v>0</v>
      </c>
    </row>
    <row r="76" spans="1:21" x14ac:dyDescent="0.25">
      <c r="A76" s="1">
        <v>4</v>
      </c>
      <c r="B76" s="1" t="s">
        <v>39</v>
      </c>
      <c r="C76" s="1" t="s">
        <v>121</v>
      </c>
      <c r="D76" s="1">
        <v>10</v>
      </c>
      <c r="E76" s="4"/>
      <c r="F76" s="4">
        <f t="shared" si="0"/>
        <v>0</v>
      </c>
      <c r="G76" s="1" t="s">
        <v>23</v>
      </c>
      <c r="H76" s="1" t="s">
        <v>31</v>
      </c>
      <c r="I76" s="1" t="s">
        <v>22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>
        <v>10</v>
      </c>
      <c r="U76" s="15">
        <f t="shared" si="1"/>
        <v>0</v>
      </c>
    </row>
    <row r="77" spans="1:21" x14ac:dyDescent="0.25">
      <c r="A77" s="1">
        <v>5</v>
      </c>
      <c r="B77" s="1" t="s">
        <v>40</v>
      </c>
      <c r="C77" s="1" t="s">
        <v>118</v>
      </c>
      <c r="D77" s="1">
        <v>10</v>
      </c>
      <c r="E77" s="4"/>
      <c r="F77" s="4">
        <f t="shared" si="0"/>
        <v>0</v>
      </c>
      <c r="G77" s="1" t="s">
        <v>23</v>
      </c>
      <c r="H77" s="1" t="s">
        <v>31</v>
      </c>
      <c r="I77" s="1" t="s">
        <v>22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>
        <v>10</v>
      </c>
      <c r="U77" s="15">
        <f t="shared" si="1"/>
        <v>0</v>
      </c>
    </row>
    <row r="78" spans="1:21" x14ac:dyDescent="0.25">
      <c r="A78" s="1">
        <v>6</v>
      </c>
      <c r="B78" s="1" t="s">
        <v>41</v>
      </c>
      <c r="C78" s="1" t="s">
        <v>118</v>
      </c>
      <c r="D78" s="1">
        <v>4</v>
      </c>
      <c r="E78" s="4"/>
      <c r="F78" s="4">
        <f t="shared" si="0"/>
        <v>0</v>
      </c>
      <c r="G78" s="1" t="s">
        <v>23</v>
      </c>
      <c r="H78" s="1" t="s">
        <v>31</v>
      </c>
      <c r="I78" s="1" t="s">
        <v>22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>
        <v>4</v>
      </c>
      <c r="U78" s="15">
        <f t="shared" si="1"/>
        <v>0</v>
      </c>
    </row>
    <row r="79" spans="1:21" x14ac:dyDescent="0.25">
      <c r="A79" s="1">
        <v>7</v>
      </c>
      <c r="B79" s="1" t="s">
        <v>42</v>
      </c>
      <c r="C79" s="1" t="s">
        <v>118</v>
      </c>
      <c r="D79" s="1">
        <v>4</v>
      </c>
      <c r="E79" s="4"/>
      <c r="F79" s="4">
        <f t="shared" si="0"/>
        <v>0</v>
      </c>
      <c r="G79" s="1" t="s">
        <v>23</v>
      </c>
      <c r="H79" s="1" t="s">
        <v>31</v>
      </c>
      <c r="I79" s="1" t="s">
        <v>22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>
        <v>4</v>
      </c>
      <c r="U79" s="15">
        <f t="shared" si="1"/>
        <v>0</v>
      </c>
    </row>
    <row r="80" spans="1:21" x14ac:dyDescent="0.25">
      <c r="A80" s="1">
        <v>8</v>
      </c>
      <c r="B80" s="1" t="s">
        <v>43</v>
      </c>
      <c r="C80" s="1" t="s">
        <v>118</v>
      </c>
      <c r="D80" s="1">
        <v>8</v>
      </c>
      <c r="E80" s="4"/>
      <c r="F80" s="4">
        <f t="shared" si="0"/>
        <v>0</v>
      </c>
      <c r="G80" s="1" t="s">
        <v>23</v>
      </c>
      <c r="H80" s="1" t="s">
        <v>31</v>
      </c>
      <c r="I80" s="1" t="s">
        <v>22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>
        <v>8</v>
      </c>
      <c r="U80" s="15">
        <f t="shared" si="1"/>
        <v>0</v>
      </c>
    </row>
    <row r="81" spans="1:21" x14ac:dyDescent="0.25">
      <c r="A81" s="1">
        <v>9</v>
      </c>
      <c r="B81" s="1" t="s">
        <v>44</v>
      </c>
      <c r="C81" s="1" t="s">
        <v>118</v>
      </c>
      <c r="D81" s="1">
        <v>6</v>
      </c>
      <c r="E81" s="4"/>
      <c r="F81" s="4">
        <f t="shared" si="0"/>
        <v>0</v>
      </c>
      <c r="G81" s="1" t="s">
        <v>23</v>
      </c>
      <c r="H81" s="1" t="s">
        <v>31</v>
      </c>
      <c r="I81" s="1" t="s">
        <v>22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>
        <v>6</v>
      </c>
      <c r="U81" s="15">
        <f t="shared" si="1"/>
        <v>0</v>
      </c>
    </row>
    <row r="82" spans="1:21" x14ac:dyDescent="0.25">
      <c r="A82" s="1">
        <v>10</v>
      </c>
      <c r="B82" s="1" t="s">
        <v>45</v>
      </c>
      <c r="C82" s="1" t="s">
        <v>118</v>
      </c>
      <c r="D82" s="1">
        <v>2</v>
      </c>
      <c r="E82" s="4"/>
      <c r="F82" s="4">
        <f t="shared" si="0"/>
        <v>0</v>
      </c>
      <c r="G82" s="1" t="s">
        <v>23</v>
      </c>
      <c r="H82" s="1" t="s">
        <v>31</v>
      </c>
      <c r="I82" s="1" t="s">
        <v>22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>
        <v>2</v>
      </c>
      <c r="U82" s="15">
        <f t="shared" si="1"/>
        <v>0</v>
      </c>
    </row>
    <row r="83" spans="1:21" ht="15.75" x14ac:dyDescent="0.25">
      <c r="A83" s="1">
        <v>11</v>
      </c>
      <c r="B83" s="16" t="s">
        <v>239</v>
      </c>
      <c r="C83" s="1" t="s">
        <v>118</v>
      </c>
      <c r="D83" s="1">
        <v>20</v>
      </c>
      <c r="E83" s="4">
        <v>2200</v>
      </c>
      <c r="F83" s="4">
        <f t="shared" si="0"/>
        <v>44000</v>
      </c>
      <c r="G83" s="1" t="s">
        <v>23</v>
      </c>
      <c r="H83" s="1" t="s">
        <v>31</v>
      </c>
      <c r="I83" s="1" t="s">
        <v>22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>
        <v>20</v>
      </c>
      <c r="U83" s="15">
        <f t="shared" si="1"/>
        <v>44000</v>
      </c>
    </row>
    <row r="84" spans="1:21" x14ac:dyDescent="0.25">
      <c r="A84" s="1"/>
      <c r="B84" s="1"/>
      <c r="C84" s="1"/>
      <c r="D84" s="1"/>
      <c r="E84" s="4"/>
      <c r="F84" s="4">
        <f t="shared" si="0"/>
        <v>0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5">
        <f t="shared" si="1"/>
        <v>0</v>
      </c>
    </row>
    <row r="85" spans="1:21" x14ac:dyDescent="0.25">
      <c r="A85" s="3" t="s">
        <v>46</v>
      </c>
      <c r="B85" s="3"/>
      <c r="C85" s="3"/>
      <c r="D85" s="1"/>
      <c r="E85" s="4"/>
      <c r="F85" s="4">
        <f t="shared" si="0"/>
        <v>0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5">
        <f t="shared" si="1"/>
        <v>0</v>
      </c>
    </row>
    <row r="86" spans="1:21" ht="15.75" x14ac:dyDescent="0.25">
      <c r="A86" s="1">
        <v>1</v>
      </c>
      <c r="B86" s="16" t="s">
        <v>240</v>
      </c>
      <c r="C86" s="16"/>
      <c r="D86" s="1">
        <v>40</v>
      </c>
      <c r="E86" s="4"/>
      <c r="F86" s="4">
        <f t="shared" si="0"/>
        <v>0</v>
      </c>
      <c r="G86" s="1" t="s">
        <v>23</v>
      </c>
      <c r="H86" s="1" t="s">
        <v>31</v>
      </c>
      <c r="I86" s="1" t="s">
        <v>22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>
        <v>40</v>
      </c>
      <c r="U86" s="15">
        <f t="shared" si="1"/>
        <v>0</v>
      </c>
    </row>
    <row r="87" spans="1:21" x14ac:dyDescent="0.25">
      <c r="A87" s="1">
        <v>2</v>
      </c>
      <c r="B87" s="1" t="s">
        <v>205</v>
      </c>
      <c r="C87" s="1" t="s">
        <v>102</v>
      </c>
      <c r="D87" s="1">
        <v>40</v>
      </c>
      <c r="E87" s="4"/>
      <c r="F87" s="4">
        <f t="shared" si="0"/>
        <v>0</v>
      </c>
      <c r="G87" s="1" t="s">
        <v>23</v>
      </c>
      <c r="H87" s="1" t="s">
        <v>31</v>
      </c>
      <c r="I87" s="1" t="s">
        <v>22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>
        <v>40</v>
      </c>
      <c r="U87" s="15">
        <f t="shared" si="1"/>
        <v>0</v>
      </c>
    </row>
    <row r="88" spans="1:21" ht="15.75" x14ac:dyDescent="0.25">
      <c r="A88" s="1">
        <v>3</v>
      </c>
      <c r="B88" s="16" t="s">
        <v>211</v>
      </c>
      <c r="C88" s="1" t="s">
        <v>102</v>
      </c>
      <c r="D88" s="1">
        <v>10</v>
      </c>
      <c r="E88" s="4">
        <v>1400</v>
      </c>
      <c r="F88" s="4">
        <f t="shared" si="0"/>
        <v>14000</v>
      </c>
      <c r="G88" s="1" t="s">
        <v>23</v>
      </c>
      <c r="H88" s="1" t="s">
        <v>31</v>
      </c>
      <c r="I88" s="1" t="s">
        <v>22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>
        <v>10</v>
      </c>
      <c r="U88" s="15">
        <f t="shared" si="1"/>
        <v>14000</v>
      </c>
    </row>
    <row r="89" spans="1:21" ht="15.75" x14ac:dyDescent="0.25">
      <c r="A89" s="1">
        <v>4</v>
      </c>
      <c r="B89" s="16" t="s">
        <v>212</v>
      </c>
      <c r="C89" s="1" t="s">
        <v>102</v>
      </c>
      <c r="D89" s="1">
        <v>10</v>
      </c>
      <c r="E89" s="4">
        <v>1500</v>
      </c>
      <c r="F89" s="4">
        <f t="shared" si="0"/>
        <v>15000</v>
      </c>
      <c r="G89" s="1" t="s">
        <v>23</v>
      </c>
      <c r="H89" s="1" t="s">
        <v>31</v>
      </c>
      <c r="I89" s="1" t="s">
        <v>22</v>
      </c>
      <c r="J89" s="1"/>
      <c r="K89" s="1"/>
      <c r="L89" s="1"/>
      <c r="M89" s="1"/>
      <c r="N89" s="1"/>
      <c r="O89" s="1"/>
      <c r="P89" s="1"/>
      <c r="Q89" s="1"/>
      <c r="R89" s="1"/>
      <c r="S89" s="1"/>
      <c r="T89" s="1">
        <v>10</v>
      </c>
      <c r="U89" s="15">
        <f t="shared" si="1"/>
        <v>15000</v>
      </c>
    </row>
    <row r="90" spans="1:21" ht="15.75" x14ac:dyDescent="0.25">
      <c r="A90" s="1">
        <v>5</v>
      </c>
      <c r="B90" s="16" t="s">
        <v>213</v>
      </c>
      <c r="C90" s="1" t="s">
        <v>102</v>
      </c>
      <c r="D90" s="1">
        <v>15</v>
      </c>
      <c r="E90" s="4">
        <v>1600</v>
      </c>
      <c r="F90" s="4">
        <f t="shared" si="0"/>
        <v>24000</v>
      </c>
      <c r="G90" s="1" t="s">
        <v>23</v>
      </c>
      <c r="H90" s="1" t="s">
        <v>31</v>
      </c>
      <c r="I90" s="1" t="s">
        <v>22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>
        <v>15</v>
      </c>
      <c r="U90" s="15">
        <f t="shared" si="1"/>
        <v>24000</v>
      </c>
    </row>
    <row r="91" spans="1:21" ht="15.75" x14ac:dyDescent="0.25">
      <c r="A91" s="1">
        <v>6</v>
      </c>
      <c r="B91" s="16" t="s">
        <v>214</v>
      </c>
      <c r="C91" s="1" t="s">
        <v>102</v>
      </c>
      <c r="D91" s="1">
        <v>15</v>
      </c>
      <c r="E91" s="4">
        <v>1850</v>
      </c>
      <c r="F91" s="4">
        <f t="shared" si="0"/>
        <v>27750</v>
      </c>
      <c r="G91" s="1" t="s">
        <v>23</v>
      </c>
      <c r="H91" s="1" t="s">
        <v>31</v>
      </c>
      <c r="I91" s="1" t="s">
        <v>22</v>
      </c>
      <c r="J91" s="1"/>
      <c r="K91" s="1"/>
      <c r="L91" s="1"/>
      <c r="M91" s="1"/>
      <c r="N91" s="1"/>
      <c r="O91" s="1"/>
      <c r="P91" s="1"/>
      <c r="Q91" s="1"/>
      <c r="R91" s="1"/>
      <c r="S91" s="1"/>
      <c r="T91" s="1">
        <v>15</v>
      </c>
      <c r="U91" s="15">
        <f t="shared" si="1"/>
        <v>27750</v>
      </c>
    </row>
    <row r="92" spans="1:21" ht="15.75" x14ac:dyDescent="0.25">
      <c r="A92" s="1">
        <v>7</v>
      </c>
      <c r="B92" s="16" t="s">
        <v>215</v>
      </c>
      <c r="C92" s="1" t="s">
        <v>102</v>
      </c>
      <c r="D92" s="1">
        <v>15</v>
      </c>
      <c r="E92" s="4">
        <v>2100</v>
      </c>
      <c r="F92" s="4">
        <f t="shared" si="0"/>
        <v>31500</v>
      </c>
      <c r="G92" s="1" t="s">
        <v>23</v>
      </c>
      <c r="H92" s="1" t="s">
        <v>31</v>
      </c>
      <c r="I92" s="1" t="s">
        <v>22</v>
      </c>
      <c r="J92" s="1"/>
      <c r="K92" s="1"/>
      <c r="L92" s="1"/>
      <c r="M92" s="1"/>
      <c r="N92" s="1"/>
      <c r="O92" s="1"/>
      <c r="P92" s="1"/>
      <c r="Q92" s="1"/>
      <c r="R92" s="1"/>
      <c r="S92" s="1"/>
      <c r="T92" s="1">
        <v>15</v>
      </c>
      <c r="U92" s="15">
        <f t="shared" si="1"/>
        <v>31500</v>
      </c>
    </row>
    <row r="93" spans="1:21" ht="15.75" x14ac:dyDescent="0.25">
      <c r="A93" s="1">
        <v>8</v>
      </c>
      <c r="B93" s="16" t="s">
        <v>216</v>
      </c>
      <c r="C93" s="1" t="s">
        <v>102</v>
      </c>
      <c r="D93" s="1">
        <v>20</v>
      </c>
      <c r="E93" s="4">
        <v>2400</v>
      </c>
      <c r="F93" s="4">
        <f t="shared" si="0"/>
        <v>48000</v>
      </c>
      <c r="G93" s="1" t="s">
        <v>23</v>
      </c>
      <c r="H93" s="1" t="s">
        <v>31</v>
      </c>
      <c r="I93" s="1" t="s">
        <v>22</v>
      </c>
      <c r="J93" s="1"/>
      <c r="K93" s="1"/>
      <c r="L93" s="1"/>
      <c r="M93" s="1"/>
      <c r="N93" s="1"/>
      <c r="O93" s="1"/>
      <c r="P93" s="1"/>
      <c r="Q93" s="1"/>
      <c r="R93" s="1"/>
      <c r="S93" s="1"/>
      <c r="T93" s="1">
        <v>20</v>
      </c>
      <c r="U93" s="15">
        <f t="shared" si="1"/>
        <v>48000</v>
      </c>
    </row>
    <row r="94" spans="1:21" ht="15.75" x14ac:dyDescent="0.25">
      <c r="A94" s="1">
        <v>9</v>
      </c>
      <c r="B94" s="16" t="s">
        <v>206</v>
      </c>
      <c r="C94" s="1" t="s">
        <v>102</v>
      </c>
      <c r="D94" s="1">
        <v>10</v>
      </c>
      <c r="E94" s="4">
        <v>1380</v>
      </c>
      <c r="F94" s="4">
        <f t="shared" si="0"/>
        <v>13800</v>
      </c>
      <c r="G94" s="1" t="s">
        <v>23</v>
      </c>
      <c r="H94" s="1" t="s">
        <v>31</v>
      </c>
      <c r="I94" s="1" t="s">
        <v>22</v>
      </c>
      <c r="J94" s="1"/>
      <c r="K94" s="1"/>
      <c r="L94" s="1"/>
      <c r="M94" s="1"/>
      <c r="N94" s="1"/>
      <c r="O94" s="1"/>
      <c r="P94" s="1"/>
      <c r="Q94" s="1"/>
      <c r="R94" s="1"/>
      <c r="S94" s="1"/>
      <c r="T94" s="1">
        <v>10</v>
      </c>
      <c r="U94" s="15">
        <f t="shared" si="1"/>
        <v>13800</v>
      </c>
    </row>
    <row r="95" spans="1:21" ht="15.75" x14ac:dyDescent="0.25">
      <c r="A95" s="1">
        <v>10</v>
      </c>
      <c r="B95" s="16" t="s">
        <v>207</v>
      </c>
      <c r="C95" s="1" t="s">
        <v>102</v>
      </c>
      <c r="D95" s="1">
        <v>15</v>
      </c>
      <c r="E95" s="4">
        <v>1480</v>
      </c>
      <c r="F95" s="4">
        <f t="shared" si="0"/>
        <v>22200</v>
      </c>
      <c r="G95" s="1" t="s">
        <v>23</v>
      </c>
      <c r="H95" s="1" t="s">
        <v>31</v>
      </c>
      <c r="I95" s="1" t="s">
        <v>22</v>
      </c>
      <c r="J95" s="1"/>
      <c r="K95" s="1"/>
      <c r="L95" s="1"/>
      <c r="M95" s="1"/>
      <c r="N95" s="1"/>
      <c r="O95" s="1"/>
      <c r="P95" s="1"/>
      <c r="Q95" s="1"/>
      <c r="R95" s="1"/>
      <c r="S95" s="1"/>
      <c r="T95" s="1">
        <v>15</v>
      </c>
      <c r="U95" s="15">
        <f t="shared" si="1"/>
        <v>22200</v>
      </c>
    </row>
    <row r="96" spans="1:21" ht="15.75" x14ac:dyDescent="0.25">
      <c r="A96" s="1">
        <v>11</v>
      </c>
      <c r="B96" s="16" t="s">
        <v>208</v>
      </c>
      <c r="C96" s="1" t="s">
        <v>102</v>
      </c>
      <c r="D96" s="1">
        <v>15</v>
      </c>
      <c r="E96" s="4">
        <v>1590</v>
      </c>
      <c r="F96" s="4">
        <f t="shared" si="0"/>
        <v>23850</v>
      </c>
      <c r="G96" s="1" t="s">
        <v>23</v>
      </c>
      <c r="H96" s="1" t="s">
        <v>31</v>
      </c>
      <c r="I96" s="1" t="s">
        <v>22</v>
      </c>
      <c r="J96" s="1"/>
      <c r="K96" s="1"/>
      <c r="L96" s="1"/>
      <c r="M96" s="1"/>
      <c r="N96" s="1"/>
      <c r="O96" s="1"/>
      <c r="P96" s="1"/>
      <c r="Q96" s="1"/>
      <c r="R96" s="1"/>
      <c r="S96" s="1"/>
      <c r="T96" s="1">
        <v>15</v>
      </c>
      <c r="U96" s="15">
        <f t="shared" si="1"/>
        <v>23850</v>
      </c>
    </row>
    <row r="97" spans="1:21" ht="15.75" x14ac:dyDescent="0.25">
      <c r="A97" s="1">
        <v>12</v>
      </c>
      <c r="B97" s="16" t="s">
        <v>209</v>
      </c>
      <c r="C97" s="1" t="s">
        <v>102</v>
      </c>
      <c r="D97" s="1">
        <v>10</v>
      </c>
      <c r="E97" s="4">
        <v>1700</v>
      </c>
      <c r="F97" s="4">
        <f t="shared" si="0"/>
        <v>17000</v>
      </c>
      <c r="G97" s="1" t="s">
        <v>23</v>
      </c>
      <c r="H97" s="1" t="s">
        <v>31</v>
      </c>
      <c r="I97" s="1" t="s">
        <v>22</v>
      </c>
      <c r="J97" s="1"/>
      <c r="K97" s="1"/>
      <c r="L97" s="1"/>
      <c r="M97" s="1"/>
      <c r="N97" s="1"/>
      <c r="O97" s="1"/>
      <c r="P97" s="1"/>
      <c r="Q97" s="1"/>
      <c r="R97" s="1"/>
      <c r="S97" s="1"/>
      <c r="T97" s="1">
        <v>10</v>
      </c>
      <c r="U97" s="15">
        <f t="shared" si="1"/>
        <v>17000</v>
      </c>
    </row>
    <row r="98" spans="1:21" ht="15.75" x14ac:dyDescent="0.25">
      <c r="A98" s="1">
        <v>13</v>
      </c>
      <c r="B98" s="16" t="s">
        <v>210</v>
      </c>
      <c r="C98" s="1" t="s">
        <v>102</v>
      </c>
      <c r="D98" s="1">
        <v>10</v>
      </c>
      <c r="E98" s="4">
        <v>2400</v>
      </c>
      <c r="F98" s="4">
        <f t="shared" si="0"/>
        <v>24000</v>
      </c>
      <c r="G98" s="1" t="s">
        <v>23</v>
      </c>
      <c r="H98" s="1" t="s">
        <v>31</v>
      </c>
      <c r="I98" s="1" t="s">
        <v>22</v>
      </c>
      <c r="J98" s="1"/>
      <c r="K98" s="1"/>
      <c r="L98" s="1"/>
      <c r="M98" s="1"/>
      <c r="N98" s="1"/>
      <c r="O98" s="1"/>
      <c r="P98" s="1"/>
      <c r="Q98" s="1"/>
      <c r="R98" s="1"/>
      <c r="S98" s="1"/>
      <c r="T98" s="1">
        <v>10</v>
      </c>
      <c r="U98" s="15">
        <f t="shared" si="1"/>
        <v>24000</v>
      </c>
    </row>
    <row r="99" spans="1:21" x14ac:dyDescent="0.25">
      <c r="A99" s="1"/>
      <c r="B99" s="1"/>
      <c r="C99" s="1"/>
      <c r="D99" s="1"/>
      <c r="E99" s="4"/>
      <c r="F99" s="4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5"/>
      <c r="U99" s="15"/>
    </row>
    <row r="100" spans="1:21" x14ac:dyDescent="0.25">
      <c r="A100" s="1"/>
      <c r="B100" s="1"/>
      <c r="C100" s="1"/>
      <c r="D100" s="1"/>
      <c r="E100" s="4"/>
      <c r="F100" s="4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5"/>
      <c r="U100" s="15"/>
    </row>
    <row r="101" spans="1:21" x14ac:dyDescent="0.25">
      <c r="A101" s="1"/>
      <c r="B101" s="1"/>
      <c r="C101" s="1"/>
      <c r="D101" s="1"/>
      <c r="E101" s="4"/>
      <c r="F101" s="4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5"/>
      <c r="U101" s="15"/>
    </row>
    <row r="102" spans="1:21" x14ac:dyDescent="0.25">
      <c r="A102" s="1"/>
      <c r="B102" s="1"/>
      <c r="C102" s="1"/>
      <c r="D102" s="1"/>
      <c r="E102" s="4"/>
      <c r="F102" s="4">
        <f t="shared" si="0"/>
        <v>0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5"/>
      <c r="U102" s="15">
        <f t="shared" si="1"/>
        <v>0</v>
      </c>
    </row>
    <row r="103" spans="1:21" x14ac:dyDescent="0.25">
      <c r="A103" s="1"/>
      <c r="B103" s="1"/>
      <c r="C103" s="1"/>
      <c r="D103" s="1"/>
      <c r="E103" s="4"/>
      <c r="F103" s="4">
        <f t="shared" si="0"/>
        <v>0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5"/>
      <c r="U103" s="15">
        <f t="shared" si="1"/>
        <v>0</v>
      </c>
    </row>
    <row r="104" spans="1:21" x14ac:dyDescent="0.25">
      <c r="A104" s="1"/>
      <c r="B104" s="1"/>
      <c r="C104" s="1"/>
      <c r="D104" s="1"/>
      <c r="E104" s="4"/>
      <c r="F104" s="4">
        <f t="shared" si="0"/>
        <v>0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5"/>
      <c r="U104" s="15">
        <f t="shared" si="1"/>
        <v>0</v>
      </c>
    </row>
    <row r="105" spans="1:21" x14ac:dyDescent="0.25">
      <c r="A105" s="54" t="s">
        <v>278</v>
      </c>
      <c r="B105" s="55"/>
      <c r="C105" s="11"/>
      <c r="D105" s="1"/>
      <c r="E105" s="4"/>
      <c r="F105" s="4">
        <f t="shared" si="0"/>
        <v>0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5"/>
      <c r="U105" s="15">
        <f t="shared" si="1"/>
        <v>0</v>
      </c>
    </row>
    <row r="106" spans="1:21" ht="15.75" x14ac:dyDescent="0.25">
      <c r="A106" s="1">
        <v>1</v>
      </c>
      <c r="B106" s="16" t="s">
        <v>274</v>
      </c>
      <c r="C106" s="1" t="s">
        <v>78</v>
      </c>
      <c r="D106" s="1">
        <v>1000</v>
      </c>
      <c r="E106" s="4">
        <v>50</v>
      </c>
      <c r="F106" s="4">
        <f t="shared" ref="F106:F209" si="5">D106*E106</f>
        <v>50000</v>
      </c>
      <c r="G106" s="1" t="s">
        <v>23</v>
      </c>
      <c r="H106" s="1" t="s">
        <v>31</v>
      </c>
      <c r="I106" s="1" t="s">
        <v>22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>
        <v>1000</v>
      </c>
      <c r="U106" s="15">
        <f t="shared" ref="U106:U107" si="6">D106*E106</f>
        <v>50000</v>
      </c>
    </row>
    <row r="107" spans="1:21" x14ac:dyDescent="0.25">
      <c r="A107" s="1">
        <v>2</v>
      </c>
      <c r="B107" s="1" t="s">
        <v>275</v>
      </c>
      <c r="C107" s="1" t="s">
        <v>78</v>
      </c>
      <c r="D107" s="1">
        <v>1000</v>
      </c>
      <c r="E107" s="4">
        <v>55</v>
      </c>
      <c r="F107" s="4">
        <f t="shared" si="5"/>
        <v>55000</v>
      </c>
      <c r="G107" s="1" t="s">
        <v>23</v>
      </c>
      <c r="H107" s="1" t="s">
        <v>31</v>
      </c>
      <c r="I107" s="1" t="s">
        <v>22</v>
      </c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>
        <v>1000</v>
      </c>
      <c r="U107" s="15">
        <f t="shared" si="6"/>
        <v>55000</v>
      </c>
    </row>
    <row r="108" spans="1:21" x14ac:dyDescent="0.25">
      <c r="A108" s="1">
        <v>3</v>
      </c>
      <c r="B108" s="1" t="s">
        <v>276</v>
      </c>
      <c r="C108" s="1" t="s">
        <v>78</v>
      </c>
      <c r="D108" s="1">
        <v>1000</v>
      </c>
      <c r="E108" s="4">
        <v>60</v>
      </c>
      <c r="F108" s="4">
        <f t="shared" si="5"/>
        <v>60000</v>
      </c>
      <c r="G108" s="1" t="s">
        <v>23</v>
      </c>
      <c r="H108" s="1" t="s">
        <v>31</v>
      </c>
      <c r="I108" s="1" t="s">
        <v>22</v>
      </c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>
        <v>1000</v>
      </c>
      <c r="U108" s="15">
        <f t="shared" ref="U108:U210" si="7">D108*E108</f>
        <v>60000</v>
      </c>
    </row>
    <row r="109" spans="1:21" x14ac:dyDescent="0.25">
      <c r="A109" s="1">
        <v>4</v>
      </c>
      <c r="B109" s="1" t="s">
        <v>277</v>
      </c>
      <c r="C109" s="1" t="s">
        <v>78</v>
      </c>
      <c r="D109" s="1">
        <v>500</v>
      </c>
      <c r="E109" s="4">
        <v>70</v>
      </c>
      <c r="F109" s="4">
        <f t="shared" si="5"/>
        <v>35000</v>
      </c>
      <c r="G109" s="1" t="s">
        <v>23</v>
      </c>
      <c r="H109" s="1" t="s">
        <v>31</v>
      </c>
      <c r="I109" s="1" t="s">
        <v>22</v>
      </c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>
        <v>500</v>
      </c>
      <c r="U109" s="15">
        <f t="shared" si="7"/>
        <v>35000</v>
      </c>
    </row>
    <row r="110" spans="1:21" ht="15.75" x14ac:dyDescent="0.25">
      <c r="A110" s="1">
        <v>5</v>
      </c>
      <c r="B110" s="16" t="s">
        <v>88</v>
      </c>
      <c r="C110" s="1" t="s">
        <v>90</v>
      </c>
      <c r="D110" s="1">
        <v>6</v>
      </c>
      <c r="E110" s="4">
        <v>6500</v>
      </c>
      <c r="F110" s="4">
        <f t="shared" si="5"/>
        <v>39000</v>
      </c>
      <c r="G110" s="1" t="s">
        <v>23</v>
      </c>
      <c r="H110" s="1" t="s">
        <v>31</v>
      </c>
      <c r="I110" s="1" t="s">
        <v>22</v>
      </c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>
        <v>6</v>
      </c>
      <c r="U110" s="15">
        <f t="shared" si="7"/>
        <v>39000</v>
      </c>
    </row>
    <row r="111" spans="1:21" ht="15.75" x14ac:dyDescent="0.25">
      <c r="A111" s="1">
        <v>6</v>
      </c>
      <c r="B111" s="16" t="s">
        <v>273</v>
      </c>
      <c r="C111" s="1" t="s">
        <v>91</v>
      </c>
      <c r="D111" s="1">
        <v>3</v>
      </c>
      <c r="E111" s="4">
        <v>35000</v>
      </c>
      <c r="F111" s="4">
        <f t="shared" si="5"/>
        <v>105000</v>
      </c>
      <c r="G111" s="1" t="s">
        <v>23</v>
      </c>
      <c r="H111" s="1" t="s">
        <v>31</v>
      </c>
      <c r="I111" s="1" t="s">
        <v>22</v>
      </c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>
        <v>3</v>
      </c>
      <c r="U111" s="15">
        <f t="shared" si="7"/>
        <v>105000</v>
      </c>
    </row>
    <row r="112" spans="1:21" ht="15.75" x14ac:dyDescent="0.25">
      <c r="A112" s="1">
        <v>7</v>
      </c>
      <c r="B112" s="16" t="s">
        <v>92</v>
      </c>
      <c r="C112" s="1" t="s">
        <v>90</v>
      </c>
      <c r="D112" s="1">
        <v>20</v>
      </c>
      <c r="E112" s="4">
        <v>2400</v>
      </c>
      <c r="F112" s="4">
        <f t="shared" si="5"/>
        <v>48000</v>
      </c>
      <c r="G112" s="1" t="s">
        <v>23</v>
      </c>
      <c r="H112" s="1" t="s">
        <v>31</v>
      </c>
      <c r="I112" s="1" t="s">
        <v>22</v>
      </c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>
        <v>20</v>
      </c>
      <c r="U112" s="15">
        <f t="shared" si="7"/>
        <v>48000</v>
      </c>
    </row>
    <row r="113" spans="1:21" ht="15.75" x14ac:dyDescent="0.25">
      <c r="A113" s="1">
        <v>8</v>
      </c>
      <c r="B113" s="16" t="s">
        <v>116</v>
      </c>
      <c r="C113" s="1" t="s">
        <v>90</v>
      </c>
      <c r="D113" s="1">
        <v>20</v>
      </c>
      <c r="E113" s="4">
        <v>2800</v>
      </c>
      <c r="F113" s="4">
        <f t="shared" si="5"/>
        <v>56000</v>
      </c>
      <c r="G113" s="1" t="s">
        <v>23</v>
      </c>
      <c r="H113" s="1" t="s">
        <v>31</v>
      </c>
      <c r="I113" s="1" t="s">
        <v>22</v>
      </c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>
        <v>20</v>
      </c>
      <c r="U113" s="15">
        <f t="shared" si="7"/>
        <v>56000</v>
      </c>
    </row>
    <row r="114" spans="1:21" ht="15.75" x14ac:dyDescent="0.25">
      <c r="A114" s="1">
        <v>9</v>
      </c>
      <c r="B114" s="16" t="s">
        <v>270</v>
      </c>
      <c r="C114" s="1" t="s">
        <v>91</v>
      </c>
      <c r="D114" s="1">
        <v>3</v>
      </c>
      <c r="E114" s="4">
        <v>15800</v>
      </c>
      <c r="F114" s="4">
        <f t="shared" si="5"/>
        <v>47400</v>
      </c>
      <c r="G114" s="1" t="s">
        <v>23</v>
      </c>
      <c r="H114" s="1" t="s">
        <v>31</v>
      </c>
      <c r="I114" s="1" t="s">
        <v>22</v>
      </c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>
        <v>3</v>
      </c>
      <c r="U114" s="15">
        <f t="shared" si="7"/>
        <v>47400</v>
      </c>
    </row>
    <row r="115" spans="1:21" ht="15.75" x14ac:dyDescent="0.25">
      <c r="A115" s="1">
        <v>10</v>
      </c>
      <c r="B115" s="16" t="s">
        <v>271</v>
      </c>
      <c r="C115" s="1" t="s">
        <v>91</v>
      </c>
      <c r="D115" s="1">
        <v>3</v>
      </c>
      <c r="E115" s="4">
        <v>14800</v>
      </c>
      <c r="F115" s="4">
        <f t="shared" si="5"/>
        <v>44400</v>
      </c>
      <c r="G115" s="1" t="s">
        <v>23</v>
      </c>
      <c r="H115" s="1" t="s">
        <v>31</v>
      </c>
      <c r="I115" s="1" t="s">
        <v>22</v>
      </c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>
        <v>3</v>
      </c>
      <c r="U115" s="15">
        <f t="shared" si="7"/>
        <v>44400</v>
      </c>
    </row>
    <row r="116" spans="1:21" x14ac:dyDescent="0.25">
      <c r="A116" s="1">
        <v>11</v>
      </c>
      <c r="B116" s="17" t="s">
        <v>272</v>
      </c>
      <c r="C116" s="1" t="s">
        <v>91</v>
      </c>
      <c r="D116" s="1">
        <v>3</v>
      </c>
      <c r="E116" s="4">
        <v>15800</v>
      </c>
      <c r="F116" s="4">
        <f t="shared" si="5"/>
        <v>47400</v>
      </c>
      <c r="G116" s="1" t="s">
        <v>23</v>
      </c>
      <c r="H116" s="1" t="s">
        <v>31</v>
      </c>
      <c r="I116" s="1" t="s">
        <v>22</v>
      </c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>
        <v>3</v>
      </c>
      <c r="U116" s="15">
        <f t="shared" si="7"/>
        <v>47400</v>
      </c>
    </row>
    <row r="117" spans="1:21" ht="60.75" customHeight="1" x14ac:dyDescent="0.25">
      <c r="A117" s="1">
        <v>12</v>
      </c>
      <c r="B117" s="16" t="s">
        <v>100</v>
      </c>
      <c r="C117" s="20" t="s">
        <v>80</v>
      </c>
      <c r="D117" s="23">
        <v>4</v>
      </c>
      <c r="E117" s="4">
        <v>78000</v>
      </c>
      <c r="F117" s="4">
        <f>D117*E117</f>
        <v>312000</v>
      </c>
      <c r="G117" s="1" t="s">
        <v>23</v>
      </c>
      <c r="H117" s="1" t="s">
        <v>31</v>
      </c>
      <c r="I117" s="1" t="s">
        <v>22</v>
      </c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23">
        <v>4</v>
      </c>
      <c r="U117" s="15">
        <f>D117*E117</f>
        <v>312000</v>
      </c>
    </row>
    <row r="118" spans="1:21" ht="31.5" x14ac:dyDescent="0.25">
      <c r="A118" s="1">
        <v>13</v>
      </c>
      <c r="B118" s="16" t="s">
        <v>268</v>
      </c>
      <c r="C118" s="24" t="s">
        <v>269</v>
      </c>
      <c r="D118" s="24">
        <v>3</v>
      </c>
      <c r="E118" s="4">
        <v>38000</v>
      </c>
      <c r="F118" s="4">
        <f>D118*E118</f>
        <v>114000</v>
      </c>
      <c r="G118" s="1" t="s">
        <v>23</v>
      </c>
      <c r="H118" s="1" t="s">
        <v>31</v>
      </c>
      <c r="I118" s="1" t="s">
        <v>22</v>
      </c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24"/>
      <c r="U118" s="15">
        <f t="shared" ref="U118:U120" si="8">D118*E118</f>
        <v>114000</v>
      </c>
    </row>
    <row r="119" spans="1:21" ht="15.75" x14ac:dyDescent="0.25">
      <c r="A119" s="1">
        <v>14</v>
      </c>
      <c r="B119" s="21" t="s">
        <v>134</v>
      </c>
      <c r="C119" s="1" t="s">
        <v>142</v>
      </c>
      <c r="D119" s="1">
        <v>2</v>
      </c>
      <c r="E119" s="4">
        <v>17500</v>
      </c>
      <c r="F119" s="4">
        <f>D119*E119</f>
        <v>35000</v>
      </c>
      <c r="G119" s="1" t="s">
        <v>23</v>
      </c>
      <c r="H119" s="1" t="s">
        <v>31</v>
      </c>
      <c r="I119" s="1" t="s">
        <v>22</v>
      </c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>
        <v>2</v>
      </c>
      <c r="U119" s="15">
        <f t="shared" si="8"/>
        <v>35000</v>
      </c>
    </row>
    <row r="120" spans="1:21" ht="15.75" x14ac:dyDescent="0.25">
      <c r="A120" s="1">
        <v>15</v>
      </c>
      <c r="B120" s="16" t="s">
        <v>173</v>
      </c>
      <c r="C120" s="24" t="s">
        <v>105</v>
      </c>
      <c r="D120" s="24">
        <v>2</v>
      </c>
      <c r="E120" s="4">
        <v>24000</v>
      </c>
      <c r="F120" s="4">
        <f>D120*E120</f>
        <v>48000</v>
      </c>
      <c r="G120" s="1" t="s">
        <v>23</v>
      </c>
      <c r="H120" s="1" t="s">
        <v>31</v>
      </c>
      <c r="I120" s="1" t="s">
        <v>22</v>
      </c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24"/>
      <c r="U120" s="15">
        <f t="shared" si="8"/>
        <v>48000</v>
      </c>
    </row>
    <row r="121" spans="1:21" ht="15.75" x14ac:dyDescent="0.25">
      <c r="A121" s="1"/>
      <c r="B121" s="16"/>
      <c r="C121" s="24"/>
      <c r="D121" s="24"/>
      <c r="E121" s="4"/>
      <c r="F121" s="4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5"/>
      <c r="U121" s="15"/>
    </row>
    <row r="122" spans="1:21" ht="15.75" x14ac:dyDescent="0.25">
      <c r="A122" s="1"/>
      <c r="B122" s="16"/>
      <c r="C122" s="24"/>
      <c r="D122" s="24"/>
      <c r="E122" s="4"/>
      <c r="F122" s="4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5"/>
      <c r="U122" s="15"/>
    </row>
    <row r="123" spans="1:21" ht="15.75" x14ac:dyDescent="0.25">
      <c r="A123" s="1"/>
      <c r="B123" s="16"/>
      <c r="C123" s="24"/>
      <c r="D123" s="24"/>
      <c r="E123" s="4"/>
      <c r="F123" s="4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5"/>
      <c r="U123" s="15"/>
    </row>
    <row r="124" spans="1:21" ht="15.75" x14ac:dyDescent="0.25">
      <c r="A124" s="1"/>
      <c r="B124" s="16"/>
      <c r="C124" s="24"/>
      <c r="D124" s="24"/>
      <c r="E124" s="4"/>
      <c r="F124" s="4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5"/>
      <c r="U124" s="15"/>
    </row>
    <row r="125" spans="1:21" ht="15.75" x14ac:dyDescent="0.25">
      <c r="A125" s="1"/>
      <c r="B125" s="16"/>
      <c r="C125" s="24"/>
      <c r="D125" s="24"/>
      <c r="E125" s="4"/>
      <c r="F125" s="4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5"/>
      <c r="U125" s="15"/>
    </row>
    <row r="126" spans="1:21" ht="15.75" x14ac:dyDescent="0.25">
      <c r="A126" s="1"/>
      <c r="B126" s="16"/>
      <c r="C126" s="24"/>
      <c r="D126" s="24"/>
      <c r="E126" s="4"/>
      <c r="F126" s="4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5"/>
      <c r="U126" s="15"/>
    </row>
    <row r="127" spans="1:21" ht="15.75" x14ac:dyDescent="0.25">
      <c r="A127" s="1"/>
      <c r="B127" s="16"/>
      <c r="C127" s="24"/>
      <c r="D127" s="24"/>
      <c r="E127" s="4"/>
      <c r="F127" s="4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5"/>
      <c r="U127" s="15"/>
    </row>
    <row r="128" spans="1:21" ht="15.75" x14ac:dyDescent="0.25">
      <c r="A128" s="1"/>
      <c r="B128" s="16"/>
      <c r="C128" s="1"/>
      <c r="D128" s="1"/>
      <c r="E128" s="4"/>
      <c r="F128" s="4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5"/>
      <c r="U128" s="15"/>
    </row>
    <row r="129" spans="1:21" ht="15.75" x14ac:dyDescent="0.25">
      <c r="A129" s="1"/>
      <c r="B129" s="16"/>
      <c r="C129" s="1"/>
      <c r="D129" s="1"/>
      <c r="E129" s="4"/>
      <c r="F129" s="4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5"/>
      <c r="U129" s="15"/>
    </row>
    <row r="130" spans="1:21" x14ac:dyDescent="0.25">
      <c r="A130" s="1"/>
      <c r="B130" s="1"/>
      <c r="C130" s="1"/>
      <c r="D130" s="1"/>
      <c r="E130" s="4"/>
      <c r="F130" s="4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5"/>
      <c r="U130" s="15"/>
    </row>
    <row r="131" spans="1:21" x14ac:dyDescent="0.25">
      <c r="A131" s="1" t="s">
        <v>279</v>
      </c>
      <c r="B131" s="1"/>
      <c r="C131" s="1"/>
      <c r="D131" s="1"/>
      <c r="E131" s="4"/>
      <c r="F131" s="4">
        <f>C130*E131</f>
        <v>0</v>
      </c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5"/>
      <c r="U131" s="15">
        <f>C130*E131</f>
        <v>0</v>
      </c>
    </row>
    <row r="132" spans="1:21" ht="15.75" x14ac:dyDescent="0.25">
      <c r="A132" s="1">
        <v>1</v>
      </c>
      <c r="B132" s="16" t="s">
        <v>241</v>
      </c>
      <c r="C132" s="1" t="s">
        <v>96</v>
      </c>
      <c r="D132" s="1">
        <v>2</v>
      </c>
      <c r="E132" s="4">
        <v>18900</v>
      </c>
      <c r="F132" s="4">
        <f>D132*E132</f>
        <v>37800</v>
      </c>
      <c r="G132" s="1" t="s">
        <v>23</v>
      </c>
      <c r="H132" s="1" t="s">
        <v>31</v>
      </c>
      <c r="I132" s="1" t="s">
        <v>22</v>
      </c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>
        <v>2</v>
      </c>
      <c r="U132" s="15">
        <f>C131*E132</f>
        <v>0</v>
      </c>
    </row>
    <row r="133" spans="1:21" x14ac:dyDescent="0.25">
      <c r="A133" s="1">
        <v>2</v>
      </c>
      <c r="B133" s="1" t="s">
        <v>67</v>
      </c>
      <c r="C133" s="1"/>
      <c r="D133" s="1">
        <v>2</v>
      </c>
      <c r="E133" s="4">
        <v>6500</v>
      </c>
      <c r="F133" s="4">
        <f t="shared" ref="F133:F154" si="9">D133*E133</f>
        <v>13000</v>
      </c>
      <c r="G133" s="1" t="s">
        <v>23</v>
      </c>
      <c r="H133" s="1" t="s">
        <v>31</v>
      </c>
      <c r="I133" s="1" t="s">
        <v>22</v>
      </c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>
        <v>2</v>
      </c>
      <c r="U133" s="15" t="e">
        <f>C132*E133</f>
        <v>#VALUE!</v>
      </c>
    </row>
    <row r="134" spans="1:21" x14ac:dyDescent="0.25">
      <c r="A134" s="1">
        <v>5</v>
      </c>
      <c r="B134" s="1" t="s">
        <v>68</v>
      </c>
      <c r="C134" s="1"/>
      <c r="D134" s="1">
        <v>2</v>
      </c>
      <c r="E134" s="4">
        <v>54600</v>
      </c>
      <c r="F134" s="4">
        <f t="shared" si="9"/>
        <v>109200</v>
      </c>
      <c r="G134" s="1" t="s">
        <v>23</v>
      </c>
      <c r="H134" s="1" t="s">
        <v>31</v>
      </c>
      <c r="I134" s="1" t="s">
        <v>22</v>
      </c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>
        <v>2</v>
      </c>
      <c r="U134" s="15"/>
    </row>
    <row r="135" spans="1:21" x14ac:dyDescent="0.25">
      <c r="A135" s="1">
        <v>6</v>
      </c>
      <c r="B135" s="1" t="s">
        <v>69</v>
      </c>
      <c r="C135" s="1"/>
      <c r="D135" s="1">
        <v>2</v>
      </c>
      <c r="E135" s="4">
        <v>6500</v>
      </c>
      <c r="F135" s="4">
        <f t="shared" si="9"/>
        <v>13000</v>
      </c>
      <c r="G135" s="1" t="s">
        <v>23</v>
      </c>
      <c r="H135" s="1" t="s">
        <v>31</v>
      </c>
      <c r="I135" s="1" t="s">
        <v>22</v>
      </c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>
        <v>2</v>
      </c>
      <c r="U135" s="15"/>
    </row>
    <row r="136" spans="1:21" x14ac:dyDescent="0.25">
      <c r="A136" s="1">
        <v>7</v>
      </c>
      <c r="B136" s="1" t="s">
        <v>314</v>
      </c>
      <c r="C136" s="1"/>
      <c r="D136" s="1">
        <v>2</v>
      </c>
      <c r="E136" s="4">
        <v>38800</v>
      </c>
      <c r="F136" s="4">
        <f t="shared" si="9"/>
        <v>77600</v>
      </c>
      <c r="G136" s="1" t="s">
        <v>23</v>
      </c>
      <c r="H136" s="1" t="s">
        <v>31</v>
      </c>
      <c r="I136" s="1" t="s">
        <v>22</v>
      </c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>
        <v>2</v>
      </c>
      <c r="U136" s="15"/>
    </row>
    <row r="137" spans="1:21" x14ac:dyDescent="0.25">
      <c r="A137" s="1">
        <v>8</v>
      </c>
      <c r="B137" s="1" t="s">
        <v>315</v>
      </c>
      <c r="C137" s="1"/>
      <c r="D137" s="1">
        <v>2</v>
      </c>
      <c r="E137" s="4">
        <v>28600</v>
      </c>
      <c r="F137" s="4">
        <f t="shared" si="9"/>
        <v>57200</v>
      </c>
      <c r="G137" s="1" t="s">
        <v>23</v>
      </c>
      <c r="H137" s="1" t="s">
        <v>31</v>
      </c>
      <c r="I137" s="1" t="s">
        <v>22</v>
      </c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>
        <v>2</v>
      </c>
      <c r="U137" s="15">
        <f>C133*E137</f>
        <v>0</v>
      </c>
    </row>
    <row r="138" spans="1:21" ht="19.5" customHeight="1" x14ac:dyDescent="0.25">
      <c r="A138" s="1">
        <v>9</v>
      </c>
      <c r="B138" s="1" t="s">
        <v>72</v>
      </c>
      <c r="C138" s="1"/>
      <c r="D138" s="1">
        <v>2</v>
      </c>
      <c r="E138" s="4">
        <v>5800</v>
      </c>
      <c r="F138" s="4">
        <f t="shared" si="9"/>
        <v>11600</v>
      </c>
      <c r="G138" s="1" t="s">
        <v>23</v>
      </c>
      <c r="H138" s="1" t="s">
        <v>31</v>
      </c>
      <c r="I138" s="1" t="s">
        <v>22</v>
      </c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>
        <v>2</v>
      </c>
      <c r="U138" s="15">
        <f t="shared" si="7"/>
        <v>11600</v>
      </c>
    </row>
    <row r="139" spans="1:21" ht="15.75" x14ac:dyDescent="0.25">
      <c r="A139" s="1">
        <v>10</v>
      </c>
      <c r="B139" s="21" t="s">
        <v>316</v>
      </c>
      <c r="C139" s="1" t="s">
        <v>89</v>
      </c>
      <c r="D139" s="1">
        <v>3</v>
      </c>
      <c r="E139" s="4">
        <v>65500</v>
      </c>
      <c r="F139" s="4">
        <f t="shared" si="9"/>
        <v>196500</v>
      </c>
      <c r="G139" s="1" t="s">
        <v>23</v>
      </c>
      <c r="H139" s="1" t="s">
        <v>31</v>
      </c>
      <c r="I139" s="1" t="s">
        <v>22</v>
      </c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>
        <v>5</v>
      </c>
      <c r="U139" s="15">
        <f t="shared" si="7"/>
        <v>196500</v>
      </c>
    </row>
    <row r="140" spans="1:21" ht="15.75" x14ac:dyDescent="0.25">
      <c r="A140" s="1">
        <v>11</v>
      </c>
      <c r="B140" s="21" t="s">
        <v>81</v>
      </c>
      <c r="C140" s="1" t="s">
        <v>89</v>
      </c>
      <c r="D140" s="1">
        <v>5</v>
      </c>
      <c r="E140" s="4">
        <v>6500</v>
      </c>
      <c r="F140" s="4">
        <f t="shared" si="9"/>
        <v>32500</v>
      </c>
      <c r="G140" s="1" t="s">
        <v>23</v>
      </c>
      <c r="H140" s="1" t="s">
        <v>31</v>
      </c>
      <c r="I140" s="1" t="s">
        <v>22</v>
      </c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>
        <v>5</v>
      </c>
      <c r="U140" s="15"/>
    </row>
    <row r="141" spans="1:21" ht="15.75" x14ac:dyDescent="0.25">
      <c r="A141" s="1">
        <v>12</v>
      </c>
      <c r="B141" s="21" t="s">
        <v>82</v>
      </c>
      <c r="C141" s="1" t="s">
        <v>89</v>
      </c>
      <c r="D141" s="1">
        <v>5</v>
      </c>
      <c r="E141" s="4">
        <v>4800</v>
      </c>
      <c r="F141" s="4">
        <f t="shared" si="9"/>
        <v>24000</v>
      </c>
      <c r="G141" s="1" t="s">
        <v>23</v>
      </c>
      <c r="H141" s="1" t="s">
        <v>31</v>
      </c>
      <c r="I141" s="1" t="s">
        <v>22</v>
      </c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>
        <v>5</v>
      </c>
      <c r="U141" s="15"/>
    </row>
    <row r="142" spans="1:21" ht="15.75" x14ac:dyDescent="0.25">
      <c r="A142" s="1">
        <v>13</v>
      </c>
      <c r="B142" s="16" t="s">
        <v>93</v>
      </c>
      <c r="C142" s="1" t="s">
        <v>96</v>
      </c>
      <c r="D142" s="1">
        <v>2</v>
      </c>
      <c r="E142" s="4">
        <v>24800</v>
      </c>
      <c r="F142" s="4">
        <f t="shared" si="9"/>
        <v>49600</v>
      </c>
      <c r="G142" s="1" t="s">
        <v>23</v>
      </c>
      <c r="H142" s="1" t="s">
        <v>31</v>
      </c>
      <c r="I142" s="1" t="s">
        <v>22</v>
      </c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>
        <v>2</v>
      </c>
      <c r="U142" s="15"/>
    </row>
    <row r="143" spans="1:21" ht="15.75" x14ac:dyDescent="0.25">
      <c r="A143" s="1">
        <v>14</v>
      </c>
      <c r="B143" s="16" t="s">
        <v>94</v>
      </c>
      <c r="C143" s="1" t="s">
        <v>96</v>
      </c>
      <c r="D143" s="1">
        <v>2</v>
      </c>
      <c r="E143" s="62">
        <v>26800</v>
      </c>
      <c r="F143" s="4">
        <f t="shared" si="9"/>
        <v>53600</v>
      </c>
      <c r="G143" s="1" t="s">
        <v>23</v>
      </c>
      <c r="H143" s="1" t="s">
        <v>31</v>
      </c>
      <c r="I143" s="1" t="s">
        <v>22</v>
      </c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>
        <v>2</v>
      </c>
      <c r="U143" s="15"/>
    </row>
    <row r="144" spans="1:21" ht="15.75" x14ac:dyDescent="0.25">
      <c r="A144" s="1">
        <v>15</v>
      </c>
      <c r="B144" s="16" t="s">
        <v>95</v>
      </c>
      <c r="C144" s="1" t="s">
        <v>96</v>
      </c>
      <c r="D144" s="1">
        <v>2</v>
      </c>
      <c r="E144" s="4">
        <v>26800</v>
      </c>
      <c r="F144" s="4">
        <f t="shared" si="9"/>
        <v>53600</v>
      </c>
      <c r="G144" s="1" t="s">
        <v>23</v>
      </c>
      <c r="H144" s="1" t="s">
        <v>31</v>
      </c>
      <c r="I144" s="1" t="s">
        <v>22</v>
      </c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>
        <v>2</v>
      </c>
      <c r="U144" s="15"/>
    </row>
    <row r="145" spans="1:21" ht="15.75" x14ac:dyDescent="0.25">
      <c r="A145" s="1">
        <v>16</v>
      </c>
      <c r="B145" s="21" t="s">
        <v>317</v>
      </c>
      <c r="C145" s="1" t="s">
        <v>89</v>
      </c>
      <c r="D145" s="1">
        <v>5</v>
      </c>
      <c r="E145" s="4">
        <v>3500</v>
      </c>
      <c r="F145" s="4">
        <f t="shared" si="9"/>
        <v>17500</v>
      </c>
      <c r="G145" s="1" t="s">
        <v>23</v>
      </c>
      <c r="H145" s="1" t="s">
        <v>31</v>
      </c>
      <c r="I145" s="1" t="s">
        <v>22</v>
      </c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>
        <v>20</v>
      </c>
      <c r="U145" s="15"/>
    </row>
    <row r="146" spans="1:21" ht="15.75" x14ac:dyDescent="0.25">
      <c r="A146" s="1">
        <v>17</v>
      </c>
      <c r="B146" s="21" t="s">
        <v>318</v>
      </c>
      <c r="C146" s="1" t="s">
        <v>89</v>
      </c>
      <c r="D146" s="1">
        <v>5</v>
      </c>
      <c r="E146" s="4">
        <v>4500</v>
      </c>
      <c r="F146" s="4">
        <f t="shared" si="9"/>
        <v>22500</v>
      </c>
      <c r="G146" s="1" t="s">
        <v>23</v>
      </c>
      <c r="H146" s="1" t="s">
        <v>31</v>
      </c>
      <c r="I146" s="1" t="s">
        <v>22</v>
      </c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>
        <v>20</v>
      </c>
      <c r="U146" s="15"/>
    </row>
    <row r="147" spans="1:21" ht="15.75" x14ac:dyDescent="0.25">
      <c r="A147" s="1">
        <v>18</v>
      </c>
      <c r="B147" s="21" t="s">
        <v>319</v>
      </c>
      <c r="C147" s="1" t="s">
        <v>89</v>
      </c>
      <c r="D147" s="1">
        <v>5</v>
      </c>
      <c r="E147" s="4">
        <v>4500</v>
      </c>
      <c r="F147" s="4">
        <f t="shared" si="9"/>
        <v>22500</v>
      </c>
      <c r="G147" s="1" t="s">
        <v>23</v>
      </c>
      <c r="H147" s="1" t="s">
        <v>31</v>
      </c>
      <c r="I147" s="1" t="s">
        <v>22</v>
      </c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>
        <v>20</v>
      </c>
      <c r="U147" s="15"/>
    </row>
    <row r="148" spans="1:21" ht="15.75" x14ac:dyDescent="0.25">
      <c r="A148" s="1">
        <v>19</v>
      </c>
      <c r="B148" s="21" t="s">
        <v>320</v>
      </c>
      <c r="C148" s="1" t="s">
        <v>89</v>
      </c>
      <c r="D148" s="1"/>
      <c r="E148" s="4">
        <v>18200</v>
      </c>
      <c r="F148" s="4">
        <f t="shared" si="9"/>
        <v>0</v>
      </c>
      <c r="G148" s="1" t="s">
        <v>23</v>
      </c>
      <c r="H148" s="1" t="s">
        <v>31</v>
      </c>
      <c r="I148" s="1" t="s">
        <v>22</v>
      </c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5"/>
    </row>
    <row r="149" spans="1:21" ht="15.75" x14ac:dyDescent="0.25">
      <c r="A149" s="1">
        <v>20</v>
      </c>
      <c r="B149" s="21" t="s">
        <v>108</v>
      </c>
      <c r="C149" s="1"/>
      <c r="D149" s="1"/>
      <c r="E149" s="4"/>
      <c r="F149" s="4">
        <f t="shared" si="9"/>
        <v>0</v>
      </c>
      <c r="G149" s="1" t="s">
        <v>23</v>
      </c>
      <c r="H149" s="1" t="s">
        <v>31</v>
      </c>
      <c r="I149" s="1" t="s">
        <v>22</v>
      </c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5"/>
    </row>
    <row r="150" spans="1:21" ht="47.25" x14ac:dyDescent="0.25">
      <c r="A150" s="1">
        <v>21</v>
      </c>
      <c r="B150" s="21" t="s">
        <v>109</v>
      </c>
      <c r="C150" s="1"/>
      <c r="D150" s="1"/>
      <c r="E150" s="4"/>
      <c r="F150" s="4">
        <f t="shared" si="9"/>
        <v>0</v>
      </c>
      <c r="G150" s="1" t="s">
        <v>23</v>
      </c>
      <c r="H150" s="1" t="s">
        <v>31</v>
      </c>
      <c r="I150" s="1" t="s">
        <v>22</v>
      </c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5"/>
    </row>
    <row r="151" spans="1:21" ht="15.75" x14ac:dyDescent="0.25">
      <c r="A151" s="1">
        <v>22</v>
      </c>
      <c r="B151" s="21" t="s">
        <v>110</v>
      </c>
      <c r="C151" s="1"/>
      <c r="D151" s="1"/>
      <c r="E151" s="4"/>
      <c r="F151" s="4">
        <f t="shared" si="9"/>
        <v>0</v>
      </c>
      <c r="G151" s="1" t="s">
        <v>23</v>
      </c>
      <c r="H151" s="1" t="s">
        <v>31</v>
      </c>
      <c r="I151" s="1" t="s">
        <v>22</v>
      </c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5"/>
    </row>
    <row r="152" spans="1:21" ht="15.75" x14ac:dyDescent="0.25">
      <c r="A152" s="1">
        <v>23</v>
      </c>
      <c r="B152" s="21" t="s">
        <v>111</v>
      </c>
      <c r="C152" s="1" t="s">
        <v>96</v>
      </c>
      <c r="D152" s="1"/>
      <c r="E152" s="4">
        <v>22200</v>
      </c>
      <c r="F152" s="4">
        <f t="shared" si="9"/>
        <v>0</v>
      </c>
      <c r="G152" s="1" t="s">
        <v>23</v>
      </c>
      <c r="H152" s="1" t="s">
        <v>31</v>
      </c>
      <c r="I152" s="1" t="s">
        <v>22</v>
      </c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5"/>
    </row>
    <row r="153" spans="1:21" ht="15.75" x14ac:dyDescent="0.25">
      <c r="A153" s="1">
        <v>24</v>
      </c>
      <c r="B153" s="21" t="s">
        <v>112</v>
      </c>
      <c r="C153" s="1"/>
      <c r="D153" s="1"/>
      <c r="E153" s="4"/>
      <c r="F153" s="4">
        <f t="shared" si="9"/>
        <v>0</v>
      </c>
      <c r="G153" s="1" t="s">
        <v>23</v>
      </c>
      <c r="H153" s="1" t="s">
        <v>31</v>
      </c>
      <c r="I153" s="1" t="s">
        <v>22</v>
      </c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5"/>
    </row>
    <row r="154" spans="1:21" ht="31.5" x14ac:dyDescent="0.25">
      <c r="A154" s="1">
        <v>25</v>
      </c>
      <c r="B154" s="21" t="s">
        <v>125</v>
      </c>
      <c r="C154" s="1"/>
      <c r="D154" s="1"/>
      <c r="E154" s="4"/>
      <c r="F154" s="4">
        <f t="shared" si="9"/>
        <v>0</v>
      </c>
      <c r="G154" s="1" t="s">
        <v>23</v>
      </c>
      <c r="H154" s="1" t="s">
        <v>31</v>
      </c>
      <c r="I154" s="1" t="s">
        <v>22</v>
      </c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5"/>
    </row>
    <row r="155" spans="1:21" ht="15.75" x14ac:dyDescent="0.25">
      <c r="A155" s="1">
        <v>26</v>
      </c>
      <c r="B155" s="16" t="s">
        <v>147</v>
      </c>
      <c r="C155" s="1" t="s">
        <v>89</v>
      </c>
      <c r="D155" s="1">
        <v>3</v>
      </c>
      <c r="E155" s="4">
        <v>71500</v>
      </c>
      <c r="F155" s="4">
        <f t="shared" si="5"/>
        <v>214500</v>
      </c>
      <c r="G155" s="1" t="s">
        <v>23</v>
      </c>
      <c r="H155" s="1" t="s">
        <v>31</v>
      </c>
      <c r="I155" s="1" t="s">
        <v>22</v>
      </c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>
        <v>3</v>
      </c>
      <c r="U155" s="15"/>
    </row>
    <row r="156" spans="1:21" ht="15.75" x14ac:dyDescent="0.25">
      <c r="A156" s="1">
        <v>27</v>
      </c>
      <c r="B156" s="21" t="s">
        <v>148</v>
      </c>
      <c r="C156" s="1" t="s">
        <v>119</v>
      </c>
      <c r="D156" s="1">
        <v>3</v>
      </c>
      <c r="E156" s="4">
        <v>26000</v>
      </c>
      <c r="F156" s="4">
        <f t="shared" si="5"/>
        <v>78000</v>
      </c>
      <c r="G156" s="1" t="s">
        <v>23</v>
      </c>
      <c r="H156" s="1" t="s">
        <v>31</v>
      </c>
      <c r="I156" s="1" t="s">
        <v>22</v>
      </c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>
        <v>3</v>
      </c>
      <c r="U156" s="15"/>
    </row>
    <row r="157" spans="1:21" ht="15.75" x14ac:dyDescent="0.25">
      <c r="A157" s="1">
        <v>28</v>
      </c>
      <c r="B157" s="21" t="s">
        <v>149</v>
      </c>
      <c r="C157" s="1" t="s">
        <v>89</v>
      </c>
      <c r="D157" s="1">
        <v>3</v>
      </c>
      <c r="E157" s="4">
        <v>62200</v>
      </c>
      <c r="F157" s="4">
        <f t="shared" si="5"/>
        <v>186600</v>
      </c>
      <c r="G157" s="1" t="s">
        <v>23</v>
      </c>
      <c r="H157" s="1" t="s">
        <v>31</v>
      </c>
      <c r="I157" s="1" t="s">
        <v>22</v>
      </c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>
        <v>3</v>
      </c>
      <c r="U157" s="15"/>
    </row>
    <row r="158" spans="1:21" ht="15.75" x14ac:dyDescent="0.25">
      <c r="A158" s="1">
        <v>29</v>
      </c>
      <c r="B158" s="21" t="s">
        <v>144</v>
      </c>
      <c r="C158" s="1" t="s">
        <v>89</v>
      </c>
      <c r="D158" s="1">
        <v>5</v>
      </c>
      <c r="E158" s="4"/>
      <c r="F158" s="4">
        <f t="shared" si="5"/>
        <v>0</v>
      </c>
      <c r="G158" s="1" t="s">
        <v>23</v>
      </c>
      <c r="H158" s="1" t="s">
        <v>31</v>
      </c>
      <c r="I158" s="1" t="s">
        <v>22</v>
      </c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>
        <v>5</v>
      </c>
      <c r="U158" s="15"/>
    </row>
    <row r="159" spans="1:21" ht="15.75" x14ac:dyDescent="0.25">
      <c r="A159" s="1">
        <v>30</v>
      </c>
      <c r="B159" s="21" t="s">
        <v>143</v>
      </c>
      <c r="C159" s="1" t="s">
        <v>89</v>
      </c>
      <c r="D159" s="1">
        <v>3</v>
      </c>
      <c r="E159" s="4"/>
      <c r="F159" s="4">
        <f t="shared" si="5"/>
        <v>0</v>
      </c>
      <c r="G159" s="1" t="s">
        <v>23</v>
      </c>
      <c r="H159" s="1" t="s">
        <v>31</v>
      </c>
      <c r="I159" s="1" t="s">
        <v>22</v>
      </c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>
        <v>3</v>
      </c>
      <c r="U159" s="15"/>
    </row>
    <row r="160" spans="1:21" ht="15.75" x14ac:dyDescent="0.25">
      <c r="A160" s="1">
        <v>31</v>
      </c>
      <c r="B160" s="21" t="s">
        <v>141</v>
      </c>
      <c r="C160" s="1" t="s">
        <v>89</v>
      </c>
      <c r="D160" s="1">
        <v>10</v>
      </c>
      <c r="E160" s="4">
        <v>65000</v>
      </c>
      <c r="F160" s="4">
        <f t="shared" si="5"/>
        <v>650000</v>
      </c>
      <c r="G160" s="1" t="s">
        <v>23</v>
      </c>
      <c r="H160" s="1" t="s">
        <v>31</v>
      </c>
      <c r="I160" s="1" t="s">
        <v>22</v>
      </c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>
        <v>10</v>
      </c>
      <c r="U160" s="15"/>
    </row>
    <row r="161" spans="1:21" ht="15.75" x14ac:dyDescent="0.25">
      <c r="A161" s="1">
        <v>32</v>
      </c>
      <c r="B161" s="21" t="s">
        <v>150</v>
      </c>
      <c r="C161" s="1" t="s">
        <v>151</v>
      </c>
      <c r="D161" s="1">
        <v>3</v>
      </c>
      <c r="E161" s="4">
        <v>43800</v>
      </c>
      <c r="F161" s="4">
        <f t="shared" si="5"/>
        <v>131400</v>
      </c>
      <c r="G161" s="1" t="s">
        <v>23</v>
      </c>
      <c r="H161" s="1" t="s">
        <v>31</v>
      </c>
      <c r="I161" s="1" t="s">
        <v>22</v>
      </c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>
        <v>3</v>
      </c>
      <c r="U161" s="15"/>
    </row>
    <row r="162" spans="1:21" x14ac:dyDescent="0.25">
      <c r="A162" s="1"/>
      <c r="G162" s="1" t="s">
        <v>23</v>
      </c>
      <c r="H162" s="1" t="s">
        <v>31</v>
      </c>
      <c r="I162" s="1" t="s">
        <v>22</v>
      </c>
      <c r="J162" s="1"/>
      <c r="K162" s="1"/>
      <c r="L162" s="1"/>
      <c r="M162" s="1"/>
      <c r="N162" s="1"/>
      <c r="O162" s="1"/>
      <c r="P162" s="1"/>
      <c r="Q162" s="1"/>
      <c r="R162" s="1"/>
      <c r="S162" s="1"/>
      <c r="U162" s="15"/>
    </row>
    <row r="163" spans="1:21" ht="15.75" x14ac:dyDescent="0.25">
      <c r="A163" s="1"/>
      <c r="B163" s="21" t="s">
        <v>139</v>
      </c>
      <c r="C163" s="1" t="s">
        <v>140</v>
      </c>
      <c r="D163" s="1">
        <v>5</v>
      </c>
      <c r="E163" s="4"/>
      <c r="F163" s="4">
        <f t="shared" si="5"/>
        <v>0</v>
      </c>
      <c r="G163" s="1" t="s">
        <v>23</v>
      </c>
      <c r="H163" s="1" t="s">
        <v>31</v>
      </c>
      <c r="I163" s="1" t="s">
        <v>22</v>
      </c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>
        <v>5</v>
      </c>
      <c r="U163" s="15"/>
    </row>
    <row r="164" spans="1:21" ht="15.75" x14ac:dyDescent="0.25">
      <c r="A164" s="1"/>
      <c r="B164" s="21" t="s">
        <v>135</v>
      </c>
      <c r="C164" s="1" t="s">
        <v>140</v>
      </c>
      <c r="D164" s="1">
        <v>5</v>
      </c>
      <c r="E164" s="4"/>
      <c r="F164" s="4">
        <f t="shared" si="5"/>
        <v>0</v>
      </c>
      <c r="G164" s="1" t="s">
        <v>23</v>
      </c>
      <c r="H164" s="1" t="s">
        <v>31</v>
      </c>
      <c r="I164" s="1" t="s">
        <v>22</v>
      </c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>
        <v>5</v>
      </c>
      <c r="U164" s="15"/>
    </row>
    <row r="165" spans="1:21" ht="15.75" x14ac:dyDescent="0.25">
      <c r="A165" s="1"/>
      <c r="B165" s="21" t="s">
        <v>136</v>
      </c>
      <c r="C165" s="1" t="s">
        <v>140</v>
      </c>
      <c r="D165" s="1">
        <v>5</v>
      </c>
      <c r="E165" s="4"/>
      <c r="F165" s="4">
        <f t="shared" si="5"/>
        <v>0</v>
      </c>
      <c r="G165" s="1" t="s">
        <v>23</v>
      </c>
      <c r="H165" s="1" t="s">
        <v>31</v>
      </c>
      <c r="I165" s="1" t="s">
        <v>22</v>
      </c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>
        <v>5</v>
      </c>
      <c r="U165" s="15"/>
    </row>
    <row r="166" spans="1:21" ht="31.5" x14ac:dyDescent="0.25">
      <c r="A166" s="1"/>
      <c r="B166" s="21" t="s">
        <v>137</v>
      </c>
      <c r="C166" s="1"/>
      <c r="D166" s="1"/>
      <c r="E166" s="4"/>
      <c r="F166" s="4">
        <f t="shared" si="5"/>
        <v>0</v>
      </c>
      <c r="G166" s="1" t="s">
        <v>23</v>
      </c>
      <c r="H166" s="1" t="s">
        <v>31</v>
      </c>
      <c r="I166" s="1" t="s">
        <v>22</v>
      </c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5"/>
    </row>
    <row r="167" spans="1:21" ht="15.75" x14ac:dyDescent="0.25">
      <c r="A167" s="1"/>
      <c r="B167" s="21" t="s">
        <v>138</v>
      </c>
      <c r="C167" s="1"/>
      <c r="D167" s="1">
        <v>2</v>
      </c>
      <c r="E167" s="4"/>
      <c r="F167" s="4">
        <f t="shared" si="5"/>
        <v>0</v>
      </c>
      <c r="G167" s="1" t="s">
        <v>23</v>
      </c>
      <c r="H167" s="1" t="s">
        <v>31</v>
      </c>
      <c r="I167" s="1" t="s">
        <v>22</v>
      </c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>
        <v>2</v>
      </c>
      <c r="U167" s="15"/>
    </row>
    <row r="168" spans="1:21" ht="15.75" x14ac:dyDescent="0.25">
      <c r="A168" s="1"/>
      <c r="B168" s="21" t="s">
        <v>154</v>
      </c>
      <c r="C168" s="1" t="s">
        <v>153</v>
      </c>
      <c r="D168" s="1">
        <v>2</v>
      </c>
      <c r="E168" s="4">
        <v>18000</v>
      </c>
      <c r="F168" s="4">
        <f t="shared" si="5"/>
        <v>36000</v>
      </c>
      <c r="G168" s="1" t="s">
        <v>23</v>
      </c>
      <c r="H168" s="1" t="s">
        <v>31</v>
      </c>
      <c r="I168" s="1" t="s">
        <v>22</v>
      </c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>
        <v>2</v>
      </c>
      <c r="U168" s="15"/>
    </row>
    <row r="169" spans="1:21" ht="31.5" x14ac:dyDescent="0.25">
      <c r="A169" s="1"/>
      <c r="B169" s="21" t="s">
        <v>155</v>
      </c>
      <c r="C169" s="1" t="s">
        <v>153</v>
      </c>
      <c r="D169" s="1">
        <v>2</v>
      </c>
      <c r="E169" s="4">
        <v>78600</v>
      </c>
      <c r="F169" s="4">
        <f t="shared" si="5"/>
        <v>157200</v>
      </c>
      <c r="G169" s="1" t="s">
        <v>23</v>
      </c>
      <c r="H169" s="1" t="s">
        <v>31</v>
      </c>
      <c r="I169" s="1" t="s">
        <v>22</v>
      </c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>
        <v>2</v>
      </c>
      <c r="U169" s="15"/>
    </row>
    <row r="170" spans="1:21" ht="15.75" x14ac:dyDescent="0.25">
      <c r="A170" s="1"/>
      <c r="B170" s="21" t="s">
        <v>156</v>
      </c>
      <c r="C170" s="1" t="s">
        <v>157</v>
      </c>
      <c r="D170" s="1">
        <v>2</v>
      </c>
      <c r="E170" s="4">
        <v>1050</v>
      </c>
      <c r="F170" s="4">
        <f t="shared" si="5"/>
        <v>2100</v>
      </c>
      <c r="G170" s="1" t="s">
        <v>23</v>
      </c>
      <c r="H170" s="1" t="s">
        <v>31</v>
      </c>
      <c r="I170" s="1" t="s">
        <v>22</v>
      </c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>
        <v>2</v>
      </c>
      <c r="U170" s="15"/>
    </row>
    <row r="171" spans="1:21" ht="15.75" x14ac:dyDescent="0.25">
      <c r="A171" s="1"/>
      <c r="B171" s="21" t="s">
        <v>158</v>
      </c>
      <c r="C171" s="1" t="s">
        <v>153</v>
      </c>
      <c r="D171" s="1">
        <v>2</v>
      </c>
      <c r="E171" s="4">
        <v>55000</v>
      </c>
      <c r="F171" s="4">
        <f t="shared" si="5"/>
        <v>110000</v>
      </c>
      <c r="G171" s="1" t="s">
        <v>23</v>
      </c>
      <c r="H171" s="1" t="s">
        <v>31</v>
      </c>
      <c r="I171" s="1" t="s">
        <v>22</v>
      </c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>
        <v>2</v>
      </c>
      <c r="U171" s="15"/>
    </row>
    <row r="172" spans="1:21" ht="15.75" x14ac:dyDescent="0.25">
      <c r="A172" s="1"/>
      <c r="B172" s="16" t="s">
        <v>165</v>
      </c>
      <c r="C172" s="1"/>
      <c r="D172" s="1"/>
      <c r="E172" s="4"/>
      <c r="F172" s="4"/>
      <c r="G172" s="1" t="s">
        <v>23</v>
      </c>
      <c r="H172" s="1" t="s">
        <v>31</v>
      </c>
      <c r="I172" s="1" t="s">
        <v>22</v>
      </c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5"/>
    </row>
    <row r="173" spans="1:21" ht="15.75" x14ac:dyDescent="0.25">
      <c r="A173" s="1"/>
      <c r="B173" s="16" t="s">
        <v>162</v>
      </c>
      <c r="C173" s="1"/>
      <c r="D173" s="1"/>
      <c r="E173" s="4"/>
      <c r="F173" s="4"/>
      <c r="G173" s="1" t="s">
        <v>23</v>
      </c>
      <c r="H173" s="1" t="s">
        <v>31</v>
      </c>
      <c r="I173" s="1" t="s">
        <v>22</v>
      </c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5"/>
    </row>
    <row r="174" spans="1:21" ht="31.5" x14ac:dyDescent="0.25">
      <c r="A174" s="1"/>
      <c r="B174" s="16" t="s">
        <v>163</v>
      </c>
      <c r="C174" s="1"/>
      <c r="D174" s="1"/>
      <c r="E174" s="4"/>
      <c r="F174" s="4"/>
      <c r="G174" s="1" t="s">
        <v>23</v>
      </c>
      <c r="H174" s="1" t="s">
        <v>31</v>
      </c>
      <c r="I174" s="1" t="s">
        <v>22</v>
      </c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5"/>
    </row>
    <row r="175" spans="1:21" ht="31.5" x14ac:dyDescent="0.25">
      <c r="A175" s="1"/>
      <c r="B175" s="16" t="s">
        <v>164</v>
      </c>
      <c r="C175" s="1" t="s">
        <v>153</v>
      </c>
      <c r="D175" s="1"/>
      <c r="E175" s="4"/>
      <c r="F175" s="4"/>
      <c r="G175" s="1" t="s">
        <v>23</v>
      </c>
      <c r="H175" s="1" t="s">
        <v>31</v>
      </c>
      <c r="I175" s="1" t="s">
        <v>22</v>
      </c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5"/>
    </row>
    <row r="176" spans="1:21" ht="15.75" x14ac:dyDescent="0.25">
      <c r="A176" s="1"/>
      <c r="B176" s="16" t="s">
        <v>170</v>
      </c>
      <c r="C176" s="1" t="s">
        <v>153</v>
      </c>
      <c r="D176" s="1"/>
      <c r="E176" s="4"/>
      <c r="F176" s="4"/>
      <c r="G176" s="1" t="s">
        <v>23</v>
      </c>
      <c r="H176" s="1" t="s">
        <v>31</v>
      </c>
      <c r="I176" s="1" t="s">
        <v>22</v>
      </c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5"/>
    </row>
    <row r="177" spans="1:21" ht="15.75" x14ac:dyDescent="0.25">
      <c r="A177" s="1"/>
      <c r="B177" s="16" t="s">
        <v>167</v>
      </c>
      <c r="C177" s="1" t="s">
        <v>153</v>
      </c>
      <c r="D177" s="1"/>
      <c r="E177" s="4"/>
      <c r="F177" s="4"/>
      <c r="G177" s="1" t="s">
        <v>23</v>
      </c>
      <c r="H177" s="1" t="s">
        <v>31</v>
      </c>
      <c r="I177" s="1" t="s">
        <v>22</v>
      </c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5"/>
    </row>
    <row r="178" spans="1:21" ht="15.75" x14ac:dyDescent="0.25">
      <c r="A178" s="1"/>
      <c r="B178" s="16" t="s">
        <v>168</v>
      </c>
      <c r="C178" s="1" t="s">
        <v>153</v>
      </c>
      <c r="D178" s="1"/>
      <c r="E178" s="4"/>
      <c r="F178" s="4"/>
      <c r="G178" s="1" t="s">
        <v>23</v>
      </c>
      <c r="H178" s="1" t="s">
        <v>31</v>
      </c>
      <c r="I178" s="1" t="s">
        <v>22</v>
      </c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5"/>
    </row>
    <row r="179" spans="1:21" ht="15.75" x14ac:dyDescent="0.25">
      <c r="A179" s="1"/>
      <c r="B179" s="21" t="s">
        <v>169</v>
      </c>
      <c r="C179" s="1" t="s">
        <v>153</v>
      </c>
      <c r="D179" s="1"/>
      <c r="E179" s="4"/>
      <c r="F179" s="4"/>
      <c r="G179" s="1" t="s">
        <v>23</v>
      </c>
      <c r="H179" s="1" t="s">
        <v>31</v>
      </c>
      <c r="I179" s="1" t="s">
        <v>22</v>
      </c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5"/>
    </row>
    <row r="180" spans="1:21" ht="15.75" x14ac:dyDescent="0.25">
      <c r="A180" s="1"/>
      <c r="B180" s="21" t="s">
        <v>174</v>
      </c>
      <c r="C180" s="1" t="s">
        <v>140</v>
      </c>
      <c r="D180" s="1">
        <v>1</v>
      </c>
      <c r="E180" s="4"/>
      <c r="F180" s="4">
        <f t="shared" si="5"/>
        <v>0</v>
      </c>
      <c r="G180" s="1" t="s">
        <v>23</v>
      </c>
      <c r="H180" s="1" t="s">
        <v>31</v>
      </c>
      <c r="I180" s="1" t="s">
        <v>22</v>
      </c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>
        <v>1</v>
      </c>
      <c r="U180" s="15"/>
    </row>
    <row r="181" spans="1:21" ht="15.75" x14ac:dyDescent="0.25">
      <c r="A181" s="1"/>
      <c r="B181" s="21" t="s">
        <v>171</v>
      </c>
      <c r="C181" s="1" t="s">
        <v>140</v>
      </c>
      <c r="D181" s="1">
        <v>1</v>
      </c>
      <c r="E181" s="4"/>
      <c r="F181" s="4"/>
      <c r="G181" s="1" t="s">
        <v>23</v>
      </c>
      <c r="H181" s="1" t="s">
        <v>31</v>
      </c>
      <c r="I181" s="1" t="s">
        <v>22</v>
      </c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>
        <v>1</v>
      </c>
      <c r="U181" s="15"/>
    </row>
    <row r="182" spans="1:21" ht="15.75" x14ac:dyDescent="0.25">
      <c r="A182" s="1"/>
      <c r="B182" s="21" t="s">
        <v>136</v>
      </c>
      <c r="C182" s="1" t="s">
        <v>140</v>
      </c>
      <c r="D182" s="1">
        <v>1</v>
      </c>
      <c r="E182" s="4"/>
      <c r="F182" s="4"/>
      <c r="G182" s="1" t="s">
        <v>23</v>
      </c>
      <c r="H182" s="1" t="s">
        <v>31</v>
      </c>
      <c r="I182" s="1" t="s">
        <v>22</v>
      </c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>
        <v>1</v>
      </c>
      <c r="U182" s="15"/>
    </row>
    <row r="183" spans="1:21" ht="15.75" x14ac:dyDescent="0.25">
      <c r="A183" s="1"/>
      <c r="B183" s="21" t="s">
        <v>172</v>
      </c>
      <c r="C183" s="1" t="s">
        <v>140</v>
      </c>
      <c r="D183" s="1">
        <v>1</v>
      </c>
      <c r="E183" s="4"/>
      <c r="F183" s="4"/>
      <c r="G183" s="1" t="s">
        <v>23</v>
      </c>
      <c r="H183" s="1" t="s">
        <v>31</v>
      </c>
      <c r="I183" s="1" t="s">
        <v>22</v>
      </c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>
        <v>1</v>
      </c>
      <c r="U183" s="15"/>
    </row>
    <row r="184" spans="1:21" ht="15.75" x14ac:dyDescent="0.25">
      <c r="A184" s="1"/>
      <c r="B184" s="21"/>
      <c r="C184" s="1"/>
      <c r="D184" s="1"/>
      <c r="E184" s="4"/>
      <c r="F184" s="4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5"/>
    </row>
    <row r="185" spans="1:21" ht="15.75" x14ac:dyDescent="0.25">
      <c r="A185" s="1"/>
      <c r="B185" s="21"/>
      <c r="C185" s="1"/>
      <c r="D185" s="1"/>
      <c r="E185" s="4"/>
      <c r="F185" s="4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5"/>
    </row>
    <row r="186" spans="1:21" ht="15.75" x14ac:dyDescent="0.25">
      <c r="A186" s="1"/>
      <c r="B186" s="21"/>
      <c r="C186" s="1"/>
      <c r="D186" s="1"/>
      <c r="E186" s="4"/>
      <c r="F186" s="4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5"/>
    </row>
    <row r="187" spans="1:21" ht="15.75" x14ac:dyDescent="0.25">
      <c r="A187" s="1"/>
      <c r="B187" s="21"/>
      <c r="C187" s="1"/>
      <c r="D187" s="1"/>
      <c r="E187" s="4"/>
      <c r="F187" s="4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5"/>
    </row>
    <row r="188" spans="1:21" ht="15.75" x14ac:dyDescent="0.25">
      <c r="A188" s="1"/>
      <c r="B188" s="21"/>
      <c r="C188" s="1"/>
      <c r="D188" s="1"/>
      <c r="E188" s="4"/>
      <c r="F188" s="4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5"/>
    </row>
    <row r="189" spans="1:21" ht="15.75" x14ac:dyDescent="0.25">
      <c r="A189" s="3" t="s">
        <v>181</v>
      </c>
      <c r="B189" s="21"/>
      <c r="C189" s="3"/>
      <c r="D189" s="1"/>
      <c r="E189" s="4"/>
      <c r="F189" s="4">
        <f t="shared" si="5"/>
        <v>0</v>
      </c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5">
        <f t="shared" si="7"/>
        <v>0</v>
      </c>
    </row>
    <row r="190" spans="1:21" x14ac:dyDescent="0.25">
      <c r="A190" s="1"/>
      <c r="B190" s="17" t="s">
        <v>48</v>
      </c>
      <c r="C190" s="1"/>
      <c r="D190" s="1"/>
      <c r="E190" s="4"/>
      <c r="F190" s="4">
        <f t="shared" si="5"/>
        <v>0</v>
      </c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5"/>
      <c r="U190" s="15">
        <f t="shared" si="7"/>
        <v>0</v>
      </c>
    </row>
    <row r="191" spans="1:21" ht="15.75" x14ac:dyDescent="0.25">
      <c r="A191" s="1"/>
      <c r="C191" s="1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25"/>
      <c r="U191" s="15">
        <f t="shared" si="7"/>
        <v>0</v>
      </c>
    </row>
    <row r="192" spans="1:21" ht="15.75" x14ac:dyDescent="0.25">
      <c r="A192" s="1"/>
      <c r="B192" s="16" t="s">
        <v>52</v>
      </c>
      <c r="C192" s="16" t="s">
        <v>102</v>
      </c>
      <c r="D192" s="16">
        <v>1</v>
      </c>
      <c r="E192" s="19">
        <v>170000</v>
      </c>
      <c r="F192" s="22">
        <f>D192*E192</f>
        <v>170000</v>
      </c>
      <c r="G192" s="1" t="s">
        <v>23</v>
      </c>
      <c r="H192" s="1" t="s">
        <v>31</v>
      </c>
      <c r="I192" s="1" t="s">
        <v>22</v>
      </c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6">
        <v>1</v>
      </c>
      <c r="U192" s="15">
        <f t="shared" si="7"/>
        <v>170000</v>
      </c>
    </row>
    <row r="193" spans="1:21" ht="15.75" x14ac:dyDescent="0.25">
      <c r="A193" s="1"/>
      <c r="B193" s="16" t="s">
        <v>53</v>
      </c>
      <c r="C193" s="16" t="s">
        <v>102</v>
      </c>
      <c r="D193" s="16">
        <v>2</v>
      </c>
      <c r="E193" s="19">
        <v>1800000</v>
      </c>
      <c r="F193" s="22">
        <f>D193*E193</f>
        <v>3600000</v>
      </c>
      <c r="G193" s="1" t="s">
        <v>23</v>
      </c>
      <c r="H193" s="1" t="s">
        <v>31</v>
      </c>
      <c r="I193" s="1" t="s">
        <v>22</v>
      </c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6">
        <v>2</v>
      </c>
      <c r="U193" s="15">
        <f t="shared" si="7"/>
        <v>3600000</v>
      </c>
    </row>
    <row r="194" spans="1:21" ht="15.75" x14ac:dyDescent="0.25">
      <c r="A194" s="1"/>
      <c r="B194" s="16" t="s">
        <v>54</v>
      </c>
      <c r="C194" s="16" t="s">
        <v>102</v>
      </c>
      <c r="D194" s="16">
        <v>1</v>
      </c>
      <c r="E194" s="19">
        <v>250000</v>
      </c>
      <c r="F194" s="22">
        <f>D194*E194</f>
        <v>250000</v>
      </c>
      <c r="G194" s="1" t="s">
        <v>23</v>
      </c>
      <c r="H194" s="1" t="s">
        <v>31</v>
      </c>
      <c r="I194" s="1" t="s">
        <v>22</v>
      </c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6">
        <v>1</v>
      </c>
      <c r="U194" s="15">
        <f t="shared" si="7"/>
        <v>250000</v>
      </c>
    </row>
    <row r="195" spans="1:21" ht="94.5" x14ac:dyDescent="0.25">
      <c r="A195" s="1"/>
      <c r="B195" s="16" t="s">
        <v>79</v>
      </c>
      <c r="C195" s="17" t="s">
        <v>102</v>
      </c>
      <c r="D195" s="17">
        <v>1</v>
      </c>
      <c r="E195" s="22">
        <v>650000</v>
      </c>
      <c r="F195" s="22">
        <f t="shared" si="5"/>
        <v>650000</v>
      </c>
      <c r="G195" s="1" t="s">
        <v>23</v>
      </c>
      <c r="H195" s="1" t="s">
        <v>31</v>
      </c>
      <c r="I195" s="1" t="s">
        <v>22</v>
      </c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7">
        <v>1</v>
      </c>
      <c r="U195" s="15">
        <f t="shared" si="7"/>
        <v>650000</v>
      </c>
    </row>
    <row r="196" spans="1:21" ht="31.5" x14ac:dyDescent="0.25">
      <c r="A196" s="1"/>
      <c r="B196" s="16" t="s">
        <v>101</v>
      </c>
      <c r="C196" s="1" t="s">
        <v>102</v>
      </c>
      <c r="D196" s="1">
        <v>1</v>
      </c>
      <c r="E196" s="4">
        <v>29738800</v>
      </c>
      <c r="F196" s="4">
        <f t="shared" si="5"/>
        <v>29738800</v>
      </c>
      <c r="G196" s="1" t="s">
        <v>23</v>
      </c>
      <c r="H196" s="1" t="s">
        <v>122</v>
      </c>
      <c r="I196" s="1" t="s">
        <v>22</v>
      </c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>
        <v>1</v>
      </c>
      <c r="U196" s="15">
        <f t="shared" si="7"/>
        <v>29738800</v>
      </c>
    </row>
    <row r="197" spans="1:21" ht="45" x14ac:dyDescent="0.25">
      <c r="A197" s="1"/>
      <c r="B197" s="24" t="s">
        <v>103</v>
      </c>
      <c r="C197" s="1" t="s">
        <v>102</v>
      </c>
      <c r="D197" s="1">
        <v>1</v>
      </c>
      <c r="E197" s="4">
        <v>4417595</v>
      </c>
      <c r="F197" s="4">
        <f t="shared" si="5"/>
        <v>4417595</v>
      </c>
      <c r="G197" s="1" t="s">
        <v>23</v>
      </c>
      <c r="H197" s="1" t="s">
        <v>122</v>
      </c>
      <c r="I197" s="1" t="s">
        <v>22</v>
      </c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>
        <v>1</v>
      </c>
      <c r="U197" s="15">
        <f t="shared" si="7"/>
        <v>4417595</v>
      </c>
    </row>
    <row r="198" spans="1:21" x14ac:dyDescent="0.25">
      <c r="A198" s="1"/>
      <c r="B198" s="1" t="s">
        <v>104</v>
      </c>
      <c r="C198" s="1" t="s">
        <v>102</v>
      </c>
      <c r="D198" s="1">
        <v>1</v>
      </c>
      <c r="E198" s="4">
        <v>8920670</v>
      </c>
      <c r="F198" s="4">
        <f t="shared" si="5"/>
        <v>8920670</v>
      </c>
      <c r="G198" s="1" t="s">
        <v>23</v>
      </c>
      <c r="H198" s="1" t="s">
        <v>122</v>
      </c>
      <c r="I198" s="1" t="s">
        <v>22</v>
      </c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>
        <v>1</v>
      </c>
      <c r="U198" s="15">
        <f t="shared" si="7"/>
        <v>8920670</v>
      </c>
    </row>
    <row r="199" spans="1:21" x14ac:dyDescent="0.25">
      <c r="A199" s="1"/>
      <c r="B199" s="1" t="s">
        <v>114</v>
      </c>
      <c r="C199" s="1" t="s">
        <v>102</v>
      </c>
      <c r="D199" s="1">
        <v>3</v>
      </c>
      <c r="E199" s="4">
        <v>25000</v>
      </c>
      <c r="F199" s="4">
        <f t="shared" si="5"/>
        <v>75000</v>
      </c>
      <c r="G199" s="1" t="s">
        <v>23</v>
      </c>
      <c r="H199" s="1" t="s">
        <v>31</v>
      </c>
      <c r="I199" s="1" t="s">
        <v>22</v>
      </c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>
        <v>3</v>
      </c>
      <c r="U199" s="15">
        <f t="shared" si="7"/>
        <v>75000</v>
      </c>
    </row>
    <row r="200" spans="1:21" x14ac:dyDescent="0.25">
      <c r="A200" s="1"/>
      <c r="B200" s="1" t="s">
        <v>266</v>
      </c>
      <c r="C200" s="1" t="s">
        <v>102</v>
      </c>
      <c r="D200" s="1">
        <v>2</v>
      </c>
      <c r="E200" s="4">
        <v>3900000</v>
      </c>
      <c r="F200" s="4">
        <f t="shared" si="5"/>
        <v>7800000</v>
      </c>
      <c r="G200" s="1" t="s">
        <v>23</v>
      </c>
      <c r="H200" s="1" t="s">
        <v>123</v>
      </c>
      <c r="I200" s="1" t="s">
        <v>22</v>
      </c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>
        <v>2</v>
      </c>
      <c r="U200" s="15">
        <f t="shared" si="7"/>
        <v>7800000</v>
      </c>
    </row>
    <row r="201" spans="1:21" ht="63" x14ac:dyDescent="0.25">
      <c r="A201" s="1"/>
      <c r="B201" s="16" t="s">
        <v>117</v>
      </c>
      <c r="C201" s="1" t="s">
        <v>102</v>
      </c>
      <c r="D201" s="1">
        <v>1</v>
      </c>
      <c r="E201" s="19">
        <v>419830</v>
      </c>
      <c r="F201" s="4">
        <f t="shared" si="5"/>
        <v>419830</v>
      </c>
      <c r="G201" s="1" t="s">
        <v>23</v>
      </c>
      <c r="H201" s="1" t="s">
        <v>31</v>
      </c>
      <c r="I201" s="1" t="s">
        <v>22</v>
      </c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>
        <v>1</v>
      </c>
      <c r="U201" s="15">
        <f t="shared" si="7"/>
        <v>419830</v>
      </c>
    </row>
    <row r="202" spans="1:21" x14ac:dyDescent="0.25">
      <c r="A202" s="1"/>
      <c r="B202" s="1" t="s">
        <v>126</v>
      </c>
      <c r="C202" s="1" t="s">
        <v>102</v>
      </c>
      <c r="D202" s="1">
        <v>2</v>
      </c>
      <c r="E202" s="4">
        <v>55000</v>
      </c>
      <c r="F202" s="4">
        <f t="shared" si="5"/>
        <v>110000</v>
      </c>
      <c r="G202" s="1" t="s">
        <v>23</v>
      </c>
      <c r="H202" s="1" t="s">
        <v>31</v>
      </c>
      <c r="I202" s="1" t="s">
        <v>22</v>
      </c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>
        <v>2</v>
      </c>
      <c r="U202" s="15">
        <f t="shared" si="7"/>
        <v>110000</v>
      </c>
    </row>
    <row r="203" spans="1:21" x14ac:dyDescent="0.25">
      <c r="A203" s="1"/>
      <c r="B203" s="1" t="s">
        <v>127</v>
      </c>
      <c r="C203" s="1" t="s">
        <v>102</v>
      </c>
      <c r="D203" s="1">
        <v>2</v>
      </c>
      <c r="E203" s="4">
        <v>55000</v>
      </c>
      <c r="F203" s="4">
        <f t="shared" si="5"/>
        <v>110000</v>
      </c>
      <c r="G203" s="1" t="s">
        <v>23</v>
      </c>
      <c r="H203" s="1" t="s">
        <v>31</v>
      </c>
      <c r="I203" s="1" t="s">
        <v>22</v>
      </c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>
        <v>2</v>
      </c>
      <c r="U203" s="15">
        <f t="shared" si="7"/>
        <v>110000</v>
      </c>
    </row>
    <row r="204" spans="1:21" x14ac:dyDescent="0.25">
      <c r="A204" s="1"/>
      <c r="B204" s="1" t="s">
        <v>128</v>
      </c>
      <c r="C204" s="1" t="s">
        <v>102</v>
      </c>
      <c r="D204" s="1">
        <v>2</v>
      </c>
      <c r="E204" s="4">
        <v>55000</v>
      </c>
      <c r="F204" s="4">
        <f t="shared" si="5"/>
        <v>110000</v>
      </c>
      <c r="G204" s="1" t="s">
        <v>23</v>
      </c>
      <c r="H204" s="1" t="s">
        <v>31</v>
      </c>
      <c r="I204" s="1" t="s">
        <v>22</v>
      </c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>
        <v>2</v>
      </c>
      <c r="U204" s="15">
        <f t="shared" si="7"/>
        <v>110000</v>
      </c>
    </row>
    <row r="205" spans="1:21" x14ac:dyDescent="0.25">
      <c r="A205" s="1"/>
      <c r="B205" s="1" t="s">
        <v>129</v>
      </c>
      <c r="C205" s="1" t="s">
        <v>102</v>
      </c>
      <c r="D205" s="1">
        <v>2</v>
      </c>
      <c r="E205" s="4">
        <v>55000</v>
      </c>
      <c r="F205" s="4">
        <f t="shared" si="5"/>
        <v>110000</v>
      </c>
      <c r="G205" s="1" t="s">
        <v>23</v>
      </c>
      <c r="H205" s="1" t="s">
        <v>31</v>
      </c>
      <c r="I205" s="1" t="s">
        <v>22</v>
      </c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>
        <v>2</v>
      </c>
      <c r="U205" s="15">
        <f t="shared" si="7"/>
        <v>110000</v>
      </c>
    </row>
    <row r="206" spans="1:21" ht="30" x14ac:dyDescent="0.25">
      <c r="A206" s="1"/>
      <c r="B206" s="24" t="s">
        <v>130</v>
      </c>
      <c r="C206" s="1" t="s">
        <v>102</v>
      </c>
      <c r="D206" s="1">
        <v>2</v>
      </c>
      <c r="E206" s="4">
        <v>178000</v>
      </c>
      <c r="F206" s="4">
        <f t="shared" si="5"/>
        <v>356000</v>
      </c>
      <c r="G206" s="1" t="s">
        <v>23</v>
      </c>
      <c r="H206" s="1" t="s">
        <v>31</v>
      </c>
      <c r="I206" s="1" t="s">
        <v>22</v>
      </c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>
        <v>2</v>
      </c>
      <c r="U206" s="15">
        <f t="shared" si="7"/>
        <v>356000</v>
      </c>
    </row>
    <row r="207" spans="1:21" ht="30" x14ac:dyDescent="0.25">
      <c r="A207" s="1"/>
      <c r="B207" s="24" t="s">
        <v>131</v>
      </c>
      <c r="C207" s="1" t="s">
        <v>102</v>
      </c>
      <c r="D207" s="1">
        <v>2</v>
      </c>
      <c r="E207" s="4">
        <v>178000</v>
      </c>
      <c r="F207" s="4">
        <f t="shared" si="5"/>
        <v>356000</v>
      </c>
      <c r="G207" s="1" t="s">
        <v>23</v>
      </c>
      <c r="H207" s="1" t="s">
        <v>31</v>
      </c>
      <c r="I207" s="1" t="s">
        <v>22</v>
      </c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>
        <v>2</v>
      </c>
      <c r="U207" s="15">
        <f t="shared" si="7"/>
        <v>356000</v>
      </c>
    </row>
    <row r="208" spans="1:21" ht="15.75" x14ac:dyDescent="0.25">
      <c r="A208" s="1"/>
      <c r="B208" s="16" t="s">
        <v>161</v>
      </c>
      <c r="C208" s="1" t="s">
        <v>80</v>
      </c>
      <c r="D208" s="1">
        <v>1</v>
      </c>
      <c r="E208" s="19">
        <v>4900000</v>
      </c>
      <c r="F208" s="4">
        <f t="shared" si="5"/>
        <v>4900000</v>
      </c>
      <c r="G208" s="1" t="s">
        <v>23</v>
      </c>
      <c r="H208" s="1" t="s">
        <v>123</v>
      </c>
      <c r="I208" s="1" t="s">
        <v>22</v>
      </c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>
        <v>1</v>
      </c>
      <c r="U208" s="15">
        <f t="shared" si="7"/>
        <v>4900000</v>
      </c>
    </row>
    <row r="209" spans="1:21" ht="15.75" x14ac:dyDescent="0.25">
      <c r="A209" s="1"/>
      <c r="B209" s="16" t="s">
        <v>166</v>
      </c>
      <c r="C209" s="1" t="s">
        <v>102</v>
      </c>
      <c r="D209" s="1">
        <v>1</v>
      </c>
      <c r="E209" s="19">
        <v>965126</v>
      </c>
      <c r="F209" s="4">
        <f t="shared" si="5"/>
        <v>965126</v>
      </c>
      <c r="G209" s="1" t="s">
        <v>23</v>
      </c>
      <c r="H209" s="1" t="s">
        <v>31</v>
      </c>
      <c r="I209" s="1" t="s">
        <v>22</v>
      </c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>
        <v>1</v>
      </c>
      <c r="U209" s="15">
        <f t="shared" si="7"/>
        <v>965126</v>
      </c>
    </row>
    <row r="210" spans="1:21" ht="75" x14ac:dyDescent="0.25">
      <c r="A210" s="1"/>
      <c r="B210" s="24" t="s">
        <v>175</v>
      </c>
      <c r="C210" s="1" t="s">
        <v>102</v>
      </c>
      <c r="D210" s="1">
        <v>5</v>
      </c>
      <c r="E210" s="4">
        <v>300000</v>
      </c>
      <c r="F210" s="4">
        <f>D210*E210</f>
        <v>1500000</v>
      </c>
      <c r="G210" s="1" t="s">
        <v>23</v>
      </c>
      <c r="H210" s="1" t="s">
        <v>31</v>
      </c>
      <c r="I210" s="1" t="s">
        <v>22</v>
      </c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>
        <v>5</v>
      </c>
      <c r="U210" s="15">
        <f t="shared" si="7"/>
        <v>1500000</v>
      </c>
    </row>
    <row r="211" spans="1:21" ht="15.75" x14ac:dyDescent="0.25">
      <c r="A211" s="1"/>
      <c r="B211" s="16" t="s">
        <v>188</v>
      </c>
      <c r="C211" s="17" t="s">
        <v>102</v>
      </c>
      <c r="D211" s="16">
        <v>1</v>
      </c>
      <c r="E211" s="4"/>
      <c r="F211" s="4">
        <f t="shared" ref="F211:F241" si="10">D211*E211</f>
        <v>0</v>
      </c>
      <c r="G211" s="1" t="s">
        <v>23</v>
      </c>
      <c r="H211" s="1" t="s">
        <v>31</v>
      </c>
      <c r="I211" s="1" t="s">
        <v>22</v>
      </c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6">
        <v>1</v>
      </c>
      <c r="U211" s="15">
        <f t="shared" ref="U211:U225" si="11">D211*E211</f>
        <v>0</v>
      </c>
    </row>
    <row r="212" spans="1:21" ht="15.75" x14ac:dyDescent="0.25">
      <c r="A212" s="1"/>
      <c r="B212" s="34" t="s">
        <v>219</v>
      </c>
      <c r="C212" s="17" t="s">
        <v>228</v>
      </c>
      <c r="D212" s="35">
        <v>1</v>
      </c>
      <c r="E212" s="36">
        <v>152000</v>
      </c>
      <c r="F212" s="4">
        <f t="shared" si="10"/>
        <v>152000</v>
      </c>
      <c r="G212" s="1" t="s">
        <v>23</v>
      </c>
      <c r="H212" s="1" t="s">
        <v>31</v>
      </c>
      <c r="I212" s="1" t="s">
        <v>22</v>
      </c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35">
        <v>1</v>
      </c>
      <c r="U212" s="15">
        <f t="shared" si="11"/>
        <v>152000</v>
      </c>
    </row>
    <row r="213" spans="1:21" ht="15.75" x14ac:dyDescent="0.25">
      <c r="A213" s="1"/>
      <c r="B213" s="34" t="s">
        <v>220</v>
      </c>
      <c r="C213" s="17"/>
      <c r="D213" s="35">
        <v>1</v>
      </c>
      <c r="E213" s="36">
        <v>50157</v>
      </c>
      <c r="F213" s="4">
        <f t="shared" si="10"/>
        <v>50157</v>
      </c>
      <c r="G213" s="1" t="s">
        <v>23</v>
      </c>
      <c r="H213" s="1" t="s">
        <v>31</v>
      </c>
      <c r="I213" s="1" t="s">
        <v>22</v>
      </c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35">
        <v>1</v>
      </c>
      <c r="U213" s="15">
        <f t="shared" si="11"/>
        <v>50157</v>
      </c>
    </row>
    <row r="214" spans="1:21" ht="31.5" x14ac:dyDescent="0.25">
      <c r="A214" s="1"/>
      <c r="B214" s="34" t="s">
        <v>229</v>
      </c>
      <c r="C214" s="17"/>
      <c r="D214" s="35">
        <v>1</v>
      </c>
      <c r="E214" s="36">
        <v>280000</v>
      </c>
      <c r="F214" s="4">
        <f t="shared" si="10"/>
        <v>280000</v>
      </c>
      <c r="G214" s="1" t="s">
        <v>23</v>
      </c>
      <c r="H214" s="1" t="s">
        <v>31</v>
      </c>
      <c r="I214" s="1" t="s">
        <v>22</v>
      </c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35">
        <v>1</v>
      </c>
      <c r="U214" s="15">
        <f t="shared" si="11"/>
        <v>280000</v>
      </c>
    </row>
    <row r="215" spans="1:21" ht="15.75" x14ac:dyDescent="0.25">
      <c r="A215" s="1"/>
      <c r="B215" s="34" t="s">
        <v>221</v>
      </c>
      <c r="C215" s="17"/>
      <c r="D215" s="35">
        <v>15</v>
      </c>
      <c r="E215" s="36">
        <v>75000</v>
      </c>
      <c r="F215" s="4">
        <f t="shared" si="10"/>
        <v>1125000</v>
      </c>
      <c r="G215" s="1" t="s">
        <v>23</v>
      </c>
      <c r="H215" s="1" t="s">
        <v>31</v>
      </c>
      <c r="I215" s="1" t="s">
        <v>22</v>
      </c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35">
        <v>15</v>
      </c>
      <c r="U215" s="15">
        <f t="shared" si="11"/>
        <v>1125000</v>
      </c>
    </row>
    <row r="216" spans="1:21" ht="15.75" x14ac:dyDescent="0.25">
      <c r="A216" s="1"/>
      <c r="B216" s="34" t="s">
        <v>222</v>
      </c>
      <c r="C216" s="17"/>
      <c r="D216" s="35">
        <v>1</v>
      </c>
      <c r="E216" s="36">
        <v>45000</v>
      </c>
      <c r="F216" s="4">
        <f t="shared" si="10"/>
        <v>45000</v>
      </c>
      <c r="G216" s="1" t="s">
        <v>23</v>
      </c>
      <c r="H216" s="1" t="s">
        <v>31</v>
      </c>
      <c r="I216" s="1" t="s">
        <v>22</v>
      </c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35">
        <v>1</v>
      </c>
      <c r="U216" s="15">
        <f t="shared" si="11"/>
        <v>45000</v>
      </c>
    </row>
    <row r="217" spans="1:21" ht="15.75" x14ac:dyDescent="0.25">
      <c r="A217" s="1"/>
      <c r="B217" s="34" t="s">
        <v>223</v>
      </c>
      <c r="C217" s="17"/>
      <c r="D217" s="35">
        <v>5</v>
      </c>
      <c r="E217" s="36">
        <v>50000</v>
      </c>
      <c r="F217" s="4">
        <f t="shared" si="10"/>
        <v>250000</v>
      </c>
      <c r="G217" s="1" t="s">
        <v>23</v>
      </c>
      <c r="H217" s="1" t="s">
        <v>31</v>
      </c>
      <c r="I217" s="1" t="s">
        <v>22</v>
      </c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35">
        <v>5</v>
      </c>
      <c r="U217" s="15">
        <f t="shared" si="11"/>
        <v>250000</v>
      </c>
    </row>
    <row r="218" spans="1:21" ht="15.75" x14ac:dyDescent="0.25">
      <c r="A218" s="1"/>
      <c r="B218" s="34" t="s">
        <v>224</v>
      </c>
      <c r="C218" s="17"/>
      <c r="D218" s="35">
        <v>2</v>
      </c>
      <c r="E218" s="36">
        <v>1800000</v>
      </c>
      <c r="F218" s="4">
        <f t="shared" si="10"/>
        <v>3600000</v>
      </c>
      <c r="G218" s="1" t="s">
        <v>23</v>
      </c>
      <c r="H218" s="1" t="s">
        <v>31</v>
      </c>
      <c r="I218" s="1" t="s">
        <v>22</v>
      </c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35">
        <v>1</v>
      </c>
      <c r="U218" s="15">
        <f t="shared" si="11"/>
        <v>3600000</v>
      </c>
    </row>
    <row r="219" spans="1:21" ht="15.75" x14ac:dyDescent="0.25">
      <c r="A219" s="1"/>
      <c r="B219" s="34" t="s">
        <v>225</v>
      </c>
      <c r="C219" s="17"/>
      <c r="D219" s="35">
        <v>7</v>
      </c>
      <c r="E219" s="36">
        <v>14000</v>
      </c>
      <c r="F219" s="4">
        <f t="shared" si="10"/>
        <v>98000</v>
      </c>
      <c r="G219" s="1" t="s">
        <v>23</v>
      </c>
      <c r="H219" s="1" t="s">
        <v>31</v>
      </c>
      <c r="I219" s="1" t="s">
        <v>22</v>
      </c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35">
        <v>7</v>
      </c>
      <c r="U219" s="15">
        <f t="shared" si="11"/>
        <v>98000</v>
      </c>
    </row>
    <row r="220" spans="1:21" ht="15.75" x14ac:dyDescent="0.25">
      <c r="A220" s="1"/>
      <c r="B220" s="34" t="s">
        <v>226</v>
      </c>
      <c r="C220" s="17"/>
      <c r="D220" s="35">
        <v>3</v>
      </c>
      <c r="E220" s="36">
        <v>323700</v>
      </c>
      <c r="F220" s="4">
        <f t="shared" si="10"/>
        <v>971100</v>
      </c>
      <c r="G220" s="1" t="s">
        <v>23</v>
      </c>
      <c r="H220" s="1" t="s">
        <v>31</v>
      </c>
      <c r="I220" s="1" t="s">
        <v>22</v>
      </c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35">
        <v>3</v>
      </c>
      <c r="U220" s="15">
        <f t="shared" si="11"/>
        <v>971100</v>
      </c>
    </row>
    <row r="221" spans="1:21" ht="15.75" x14ac:dyDescent="0.25">
      <c r="A221" s="1"/>
      <c r="B221" s="34" t="s">
        <v>227</v>
      </c>
      <c r="C221" s="17"/>
      <c r="D221" s="35">
        <v>1</v>
      </c>
      <c r="E221" s="36">
        <v>3000000</v>
      </c>
      <c r="F221" s="4">
        <f t="shared" si="10"/>
        <v>3000000</v>
      </c>
      <c r="G221" s="1" t="s">
        <v>23</v>
      </c>
      <c r="H221" s="1" t="s">
        <v>31</v>
      </c>
      <c r="I221" s="1" t="s">
        <v>22</v>
      </c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35"/>
      <c r="U221" s="15">
        <f t="shared" si="11"/>
        <v>3000000</v>
      </c>
    </row>
    <row r="222" spans="1:21" ht="15.75" x14ac:dyDescent="0.25">
      <c r="A222" s="1"/>
      <c r="B222" s="16" t="s">
        <v>263</v>
      </c>
      <c r="C222" s="17" t="s">
        <v>204</v>
      </c>
      <c r="D222" s="16">
        <v>1</v>
      </c>
      <c r="E222" s="22"/>
      <c r="F222" s="4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5"/>
      <c r="U222" s="15">
        <f t="shared" si="11"/>
        <v>0</v>
      </c>
    </row>
    <row r="223" spans="1:21" ht="15.75" x14ac:dyDescent="0.25">
      <c r="A223" s="1"/>
      <c r="B223" s="16" t="s">
        <v>264</v>
      </c>
      <c r="C223" s="17" t="s">
        <v>204</v>
      </c>
      <c r="D223" s="16">
        <v>1</v>
      </c>
      <c r="E223" s="4"/>
      <c r="F223" s="4">
        <f t="shared" si="10"/>
        <v>0</v>
      </c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5"/>
      <c r="U223" s="15">
        <f t="shared" si="11"/>
        <v>0</v>
      </c>
    </row>
    <row r="224" spans="1:21" ht="31.5" x14ac:dyDescent="0.25">
      <c r="A224" s="1"/>
      <c r="B224" s="16" t="s">
        <v>347</v>
      </c>
      <c r="C224" s="17" t="s">
        <v>80</v>
      </c>
      <c r="D224" s="16">
        <v>1</v>
      </c>
      <c r="E224" s="4"/>
      <c r="F224" s="4">
        <f t="shared" si="10"/>
        <v>0</v>
      </c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5"/>
      <c r="U224" s="15">
        <f t="shared" si="11"/>
        <v>0</v>
      </c>
    </row>
    <row r="225" spans="1:21" ht="31.5" x14ac:dyDescent="0.25">
      <c r="A225" s="1"/>
      <c r="B225" s="16" t="s">
        <v>348</v>
      </c>
      <c r="C225" s="17" t="s">
        <v>80</v>
      </c>
      <c r="D225" s="16">
        <v>1</v>
      </c>
      <c r="E225" s="4" t="s">
        <v>349</v>
      </c>
      <c r="F225" s="4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5"/>
      <c r="U225" s="15" t="e">
        <f t="shared" si="11"/>
        <v>#VALUE!</v>
      </c>
    </row>
    <row r="226" spans="1:21" ht="15.75" x14ac:dyDescent="0.25">
      <c r="A226" s="1"/>
      <c r="B226" s="16" t="s">
        <v>265</v>
      </c>
      <c r="C226" s="17" t="s">
        <v>102</v>
      </c>
      <c r="D226" s="16">
        <v>1</v>
      </c>
      <c r="E226" s="4">
        <v>84000000</v>
      </c>
      <c r="F226" s="4">
        <f t="shared" si="10"/>
        <v>84000000</v>
      </c>
      <c r="G226" s="1" t="s">
        <v>23</v>
      </c>
      <c r="H226" s="1" t="s">
        <v>123</v>
      </c>
      <c r="I226" s="1" t="s">
        <v>22</v>
      </c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5"/>
      <c r="U226" s="15">
        <f>D210*E210</f>
        <v>1500000</v>
      </c>
    </row>
    <row r="227" spans="1:21" ht="15.75" x14ac:dyDescent="0.25">
      <c r="A227" s="38"/>
      <c r="B227" s="46" t="s">
        <v>52</v>
      </c>
      <c r="C227" s="38" t="s">
        <v>204</v>
      </c>
      <c r="D227" s="46">
        <v>1</v>
      </c>
      <c r="E227" s="47">
        <v>170000</v>
      </c>
      <c r="F227" s="47">
        <f t="shared" si="10"/>
        <v>170000</v>
      </c>
      <c r="G227" s="38" t="s">
        <v>23</v>
      </c>
      <c r="H227" s="38" t="s">
        <v>31</v>
      </c>
      <c r="I227" s="38" t="s">
        <v>22</v>
      </c>
      <c r="J227" s="38"/>
      <c r="K227" s="48"/>
      <c r="L227" s="38"/>
      <c r="M227" s="38"/>
      <c r="N227" s="38"/>
      <c r="O227" s="38"/>
      <c r="P227" s="38"/>
      <c r="Q227" s="38"/>
      <c r="R227" s="38"/>
      <c r="S227" s="38"/>
      <c r="T227" s="5"/>
      <c r="U227" s="15">
        <f>D211*E211</f>
        <v>0</v>
      </c>
    </row>
    <row r="228" spans="1:21" ht="15.75" x14ac:dyDescent="0.25">
      <c r="A228" s="38"/>
      <c r="B228" s="46" t="s">
        <v>283</v>
      </c>
      <c r="C228" s="38" t="s">
        <v>204</v>
      </c>
      <c r="D228" s="46">
        <v>1</v>
      </c>
      <c r="E228" s="47"/>
      <c r="F228" s="47">
        <f t="shared" si="10"/>
        <v>0</v>
      </c>
      <c r="G228" s="38"/>
      <c r="H228" s="38"/>
      <c r="I228" s="38"/>
      <c r="J228" s="38"/>
      <c r="K228" s="48"/>
      <c r="L228" s="38"/>
      <c r="M228" s="38"/>
      <c r="N228" s="38"/>
      <c r="O228" s="38"/>
      <c r="P228" s="38"/>
      <c r="Q228" s="38"/>
      <c r="R228" s="38"/>
      <c r="S228" s="38"/>
      <c r="T228" s="5"/>
      <c r="U228" s="15"/>
    </row>
    <row r="229" spans="1:21" x14ac:dyDescent="0.25">
      <c r="A229" s="38"/>
      <c r="B229" s="38" t="s">
        <v>284</v>
      </c>
      <c r="C229" s="38" t="s">
        <v>204</v>
      </c>
      <c r="D229" s="38">
        <v>1</v>
      </c>
      <c r="E229" s="38">
        <v>80000</v>
      </c>
      <c r="F229" s="47">
        <f t="shared" si="10"/>
        <v>80000</v>
      </c>
      <c r="G229" s="38"/>
      <c r="H229" s="38"/>
      <c r="I229" s="38"/>
      <c r="J229" s="38"/>
      <c r="K229" s="48"/>
      <c r="L229" s="38"/>
      <c r="M229" s="38"/>
      <c r="N229" s="38"/>
      <c r="O229" s="38"/>
      <c r="P229" s="38"/>
      <c r="Q229" s="38"/>
      <c r="R229" s="38"/>
      <c r="S229" s="38"/>
      <c r="T229" s="5"/>
      <c r="U229" s="15">
        <f>D226*E226</f>
        <v>84000000</v>
      </c>
    </row>
    <row r="230" spans="1:21" x14ac:dyDescent="0.25">
      <c r="A230" s="38"/>
      <c r="B230" s="38" t="s">
        <v>54</v>
      </c>
      <c r="C230" s="38" t="s">
        <v>204</v>
      </c>
      <c r="D230" s="38">
        <v>1</v>
      </c>
      <c r="E230" s="38">
        <v>250000</v>
      </c>
      <c r="F230" s="47">
        <f t="shared" si="10"/>
        <v>250000</v>
      </c>
      <c r="G230" s="38"/>
      <c r="H230" s="38"/>
      <c r="I230" s="38"/>
      <c r="J230" s="38"/>
      <c r="K230" s="48"/>
      <c r="L230" s="38"/>
      <c r="M230" s="38"/>
      <c r="N230" s="38"/>
      <c r="O230" s="38"/>
      <c r="P230" s="38"/>
      <c r="Q230" s="38"/>
      <c r="R230" s="38"/>
      <c r="S230" s="38"/>
      <c r="T230" s="5"/>
      <c r="U230" s="15"/>
    </row>
    <row r="231" spans="1:21" x14ac:dyDescent="0.25">
      <c r="A231" s="51"/>
      <c r="B231" s="53" t="s">
        <v>298</v>
      </c>
      <c r="C231" s="38" t="s">
        <v>204</v>
      </c>
      <c r="D231" s="38">
        <v>1</v>
      </c>
      <c r="E231" s="38"/>
      <c r="F231" s="47">
        <f t="shared" si="10"/>
        <v>0</v>
      </c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49"/>
    </row>
    <row r="232" spans="1:21" ht="15.75" x14ac:dyDescent="0.25">
      <c r="A232" s="3" t="s">
        <v>182</v>
      </c>
      <c r="B232" s="1"/>
      <c r="C232" s="16"/>
      <c r="D232" s="1"/>
      <c r="E232" s="4"/>
      <c r="F232" s="4">
        <f t="shared" si="10"/>
        <v>0</v>
      </c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5"/>
      <c r="U232" s="15" t="e">
        <f>#REF!*#REF!</f>
        <v>#REF!</v>
      </c>
    </row>
    <row r="233" spans="1:21" ht="15.75" x14ac:dyDescent="0.25">
      <c r="A233" s="1"/>
      <c r="B233" s="16" t="s">
        <v>281</v>
      </c>
      <c r="C233" s="1"/>
      <c r="D233" s="1"/>
      <c r="E233" s="4"/>
      <c r="F233" s="4">
        <f t="shared" si="10"/>
        <v>0</v>
      </c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5"/>
      <c r="U233" s="15">
        <f t="shared" ref="U233:U237" si="12">D232*E232</f>
        <v>0</v>
      </c>
    </row>
    <row r="234" spans="1:21" x14ac:dyDescent="0.25">
      <c r="A234" s="1"/>
      <c r="B234" s="1" t="s">
        <v>282</v>
      </c>
      <c r="C234" s="1"/>
      <c r="D234" s="1"/>
      <c r="E234" s="4"/>
      <c r="F234" s="4">
        <f t="shared" si="10"/>
        <v>0</v>
      </c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5"/>
      <c r="U234" s="15">
        <f t="shared" si="12"/>
        <v>0</v>
      </c>
    </row>
    <row r="235" spans="1:21" x14ac:dyDescent="0.25">
      <c r="A235" s="1"/>
      <c r="B235" s="1" t="s">
        <v>56</v>
      </c>
      <c r="C235" s="1"/>
      <c r="D235" s="1"/>
      <c r="E235" s="4"/>
      <c r="F235" s="4">
        <f t="shared" si="10"/>
        <v>0</v>
      </c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5"/>
      <c r="U235" s="15">
        <f t="shared" si="12"/>
        <v>0</v>
      </c>
    </row>
    <row r="236" spans="1:21" ht="15.75" x14ac:dyDescent="0.25">
      <c r="A236" s="1"/>
      <c r="B236" s="16" t="s">
        <v>185</v>
      </c>
      <c r="C236" s="1" t="s">
        <v>280</v>
      </c>
      <c r="D236" s="1">
        <v>30</v>
      </c>
      <c r="E236" s="4">
        <v>750</v>
      </c>
      <c r="F236" s="4">
        <f t="shared" si="10"/>
        <v>22500</v>
      </c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5"/>
      <c r="U236" s="15">
        <f t="shared" si="12"/>
        <v>0</v>
      </c>
    </row>
    <row r="237" spans="1:21" x14ac:dyDescent="0.25">
      <c r="A237" s="1"/>
      <c r="B237" s="1"/>
      <c r="C237" s="3"/>
      <c r="D237" s="1"/>
      <c r="E237" s="4"/>
      <c r="F237" s="4">
        <f t="shared" si="10"/>
        <v>0</v>
      </c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5">
        <f t="shared" si="12"/>
        <v>22500</v>
      </c>
    </row>
    <row r="238" spans="1:21" x14ac:dyDescent="0.25">
      <c r="A238" s="1"/>
      <c r="B238" s="1"/>
      <c r="C238" s="1"/>
      <c r="D238" s="1"/>
      <c r="E238" s="4"/>
      <c r="F238" s="4">
        <f t="shared" si="10"/>
        <v>0</v>
      </c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5"/>
      <c r="U238" s="15"/>
    </row>
    <row r="239" spans="1:21" x14ac:dyDescent="0.25">
      <c r="A239" s="1"/>
      <c r="B239" s="1"/>
      <c r="C239" s="1"/>
      <c r="D239" s="1"/>
      <c r="E239" s="4"/>
      <c r="F239" s="4">
        <f t="shared" si="10"/>
        <v>0</v>
      </c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5"/>
      <c r="U239" s="15">
        <f t="shared" ref="U239:U241" si="13">D238*E238</f>
        <v>0</v>
      </c>
    </row>
    <row r="240" spans="1:21" ht="15.75" x14ac:dyDescent="0.25">
      <c r="A240" s="1"/>
      <c r="B240" s="16"/>
      <c r="C240" s="1"/>
      <c r="D240" s="16"/>
      <c r="E240" s="17"/>
      <c r="F240" s="4">
        <f t="shared" si="10"/>
        <v>0</v>
      </c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5">
        <f t="shared" si="13"/>
        <v>0</v>
      </c>
    </row>
    <row r="241" spans="1:21" ht="15.75" x14ac:dyDescent="0.25">
      <c r="A241" s="1" t="s">
        <v>183</v>
      </c>
      <c r="B241" s="16"/>
      <c r="C241" s="17"/>
      <c r="D241" s="16"/>
      <c r="E241" s="17"/>
      <c r="F241" s="4">
        <f t="shared" si="10"/>
        <v>0</v>
      </c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5">
        <f t="shared" si="13"/>
        <v>0</v>
      </c>
    </row>
    <row r="242" spans="1:21" ht="15.75" x14ac:dyDescent="0.25">
      <c r="A242" s="1">
        <v>1</v>
      </c>
      <c r="B242" s="16" t="s">
        <v>64</v>
      </c>
      <c r="C242" s="1"/>
      <c r="D242" s="16">
        <v>40</v>
      </c>
      <c r="E242" s="17">
        <v>32000</v>
      </c>
      <c r="F242" s="19">
        <f>D242*E242</f>
        <v>1280000</v>
      </c>
      <c r="G242" s="1" t="s">
        <v>23</v>
      </c>
      <c r="H242" s="1" t="s">
        <v>31</v>
      </c>
      <c r="I242" s="1" t="s">
        <v>22</v>
      </c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6">
        <v>40</v>
      </c>
      <c r="U242" s="15">
        <f>D242*E242</f>
        <v>1280000</v>
      </c>
    </row>
    <row r="243" spans="1:21" ht="15.75" x14ac:dyDescent="0.25">
      <c r="A243" s="1">
        <v>2</v>
      </c>
      <c r="B243" s="16" t="s">
        <v>65</v>
      </c>
      <c r="C243" s="17"/>
      <c r="D243" s="16">
        <v>14</v>
      </c>
      <c r="E243" s="17">
        <v>12000</v>
      </c>
      <c r="F243" s="19">
        <f>D243*E243</f>
        <v>168000</v>
      </c>
      <c r="G243" s="1" t="s">
        <v>23</v>
      </c>
      <c r="H243" s="1" t="s">
        <v>31</v>
      </c>
      <c r="I243" s="1" t="s">
        <v>22</v>
      </c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6">
        <v>14</v>
      </c>
      <c r="U243" s="15">
        <f>D243*E243</f>
        <v>168000</v>
      </c>
    </row>
    <row r="244" spans="1:21" ht="15.75" x14ac:dyDescent="0.25">
      <c r="A244" s="1">
        <v>3</v>
      </c>
      <c r="B244" s="16" t="s">
        <v>180</v>
      </c>
      <c r="C244" s="17" t="s">
        <v>102</v>
      </c>
      <c r="D244" s="16">
        <v>70</v>
      </c>
      <c r="E244" s="4">
        <v>24000</v>
      </c>
      <c r="F244" s="4">
        <f>D244*E244</f>
        <v>1680000</v>
      </c>
      <c r="G244" s="1" t="s">
        <v>23</v>
      </c>
      <c r="H244" s="1" t="s">
        <v>31</v>
      </c>
      <c r="I244" s="1" t="s">
        <v>22</v>
      </c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6">
        <v>70</v>
      </c>
      <c r="U244" s="15">
        <f>D244*E244</f>
        <v>1680000</v>
      </c>
    </row>
    <row r="245" spans="1:21" ht="15.75" x14ac:dyDescent="0.25">
      <c r="A245" s="1">
        <v>4</v>
      </c>
      <c r="B245" s="16" t="s">
        <v>178</v>
      </c>
      <c r="C245" s="17" t="s">
        <v>102</v>
      </c>
      <c r="D245" s="16">
        <v>100</v>
      </c>
      <c r="E245" s="4">
        <v>1800</v>
      </c>
      <c r="F245" s="4">
        <f>D245*E245</f>
        <v>180000</v>
      </c>
      <c r="G245" s="1" t="s">
        <v>23</v>
      </c>
      <c r="H245" s="1" t="s">
        <v>31</v>
      </c>
      <c r="I245" s="1" t="s">
        <v>22</v>
      </c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6">
        <v>100</v>
      </c>
      <c r="U245" s="15">
        <f>D245*E245</f>
        <v>180000</v>
      </c>
    </row>
    <row r="246" spans="1:21" ht="15.75" x14ac:dyDescent="0.25">
      <c r="A246" s="1">
        <v>5</v>
      </c>
      <c r="B246" s="16" t="s">
        <v>179</v>
      </c>
      <c r="C246" s="17" t="s">
        <v>102</v>
      </c>
      <c r="D246" s="16">
        <v>5</v>
      </c>
      <c r="E246" s="4">
        <v>20000</v>
      </c>
      <c r="F246" s="4">
        <f>D246*E246</f>
        <v>100000</v>
      </c>
      <c r="G246" s="1" t="s">
        <v>23</v>
      </c>
      <c r="H246" s="1" t="s">
        <v>31</v>
      </c>
      <c r="I246" s="1" t="s">
        <v>22</v>
      </c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6">
        <v>5</v>
      </c>
      <c r="U246" s="15">
        <f>D246*E246</f>
        <v>100000</v>
      </c>
    </row>
    <row r="247" spans="1:21" x14ac:dyDescent="0.25">
      <c r="A247" s="1"/>
      <c r="B247" s="18"/>
      <c r="C247" s="17"/>
      <c r="D247" s="17"/>
      <c r="E247" s="4"/>
      <c r="F247" s="4">
        <f t="shared" ref="F247:F276" si="14">D247*E247</f>
        <v>0</v>
      </c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5"/>
    </row>
    <row r="248" spans="1:21" x14ac:dyDescent="0.25">
      <c r="A248" s="1"/>
      <c r="B248" s="17"/>
      <c r="C248" s="17"/>
      <c r="D248" s="17"/>
      <c r="E248" s="4"/>
      <c r="F248" s="4">
        <f t="shared" si="14"/>
        <v>0</v>
      </c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5">
        <f t="shared" ref="U248:U278" si="15">D248*E248</f>
        <v>0</v>
      </c>
    </row>
    <row r="249" spans="1:21" x14ac:dyDescent="0.25">
      <c r="A249" s="1"/>
      <c r="B249" s="17"/>
      <c r="C249" s="17"/>
      <c r="D249" s="17"/>
      <c r="E249" s="4"/>
      <c r="F249" s="4">
        <f t="shared" si="14"/>
        <v>0</v>
      </c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5">
        <f t="shared" si="15"/>
        <v>0</v>
      </c>
    </row>
    <row r="250" spans="1:21" x14ac:dyDescent="0.25">
      <c r="A250" s="1" t="s">
        <v>184</v>
      </c>
      <c r="B250" s="17"/>
      <c r="C250" s="17"/>
      <c r="D250" s="17"/>
      <c r="E250" s="4"/>
      <c r="F250" s="4">
        <f t="shared" si="14"/>
        <v>0</v>
      </c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5">
        <f t="shared" si="15"/>
        <v>0</v>
      </c>
    </row>
    <row r="251" spans="1:21" ht="15.75" x14ac:dyDescent="0.25">
      <c r="A251" s="1"/>
      <c r="B251" s="16"/>
      <c r="C251" s="17"/>
      <c r="D251" s="17"/>
      <c r="E251" s="4"/>
      <c r="F251" s="4">
        <f t="shared" si="14"/>
        <v>0</v>
      </c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5">
        <f t="shared" si="15"/>
        <v>0</v>
      </c>
    </row>
    <row r="252" spans="1:21" ht="15.75" x14ac:dyDescent="0.25">
      <c r="A252" s="1">
        <v>1</v>
      </c>
      <c r="B252" s="16" t="s">
        <v>242</v>
      </c>
      <c r="C252" s="17" t="s">
        <v>187</v>
      </c>
      <c r="D252" s="17">
        <v>120</v>
      </c>
      <c r="E252" s="4">
        <v>4000</v>
      </c>
      <c r="F252" s="4">
        <f t="shared" si="14"/>
        <v>480000</v>
      </c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5">
        <f t="shared" si="15"/>
        <v>480000</v>
      </c>
    </row>
    <row r="253" spans="1:21" x14ac:dyDescent="0.25">
      <c r="A253" s="1"/>
      <c r="B253" s="17"/>
      <c r="C253" s="17"/>
      <c r="D253" s="17"/>
      <c r="E253" s="4"/>
      <c r="F253" s="4">
        <f t="shared" si="14"/>
        <v>0</v>
      </c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5">
        <f t="shared" si="15"/>
        <v>0</v>
      </c>
    </row>
    <row r="254" spans="1:21" x14ac:dyDescent="0.25">
      <c r="A254" s="1"/>
      <c r="B254" s="1"/>
      <c r="C254" s="1"/>
      <c r="D254" s="1"/>
      <c r="E254" s="4"/>
      <c r="F254" s="4">
        <f t="shared" si="14"/>
        <v>0</v>
      </c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5"/>
      <c r="U254" s="15">
        <f t="shared" si="15"/>
        <v>0</v>
      </c>
    </row>
    <row r="255" spans="1:21" x14ac:dyDescent="0.25">
      <c r="A255" s="1"/>
      <c r="B255" s="1"/>
      <c r="C255" s="1"/>
      <c r="D255" s="1"/>
      <c r="E255" s="4"/>
      <c r="F255" s="4">
        <f t="shared" si="14"/>
        <v>0</v>
      </c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5"/>
      <c r="U255" s="15">
        <f t="shared" si="15"/>
        <v>0</v>
      </c>
    </row>
    <row r="256" spans="1:21" x14ac:dyDescent="0.25">
      <c r="A256" s="1"/>
      <c r="B256" s="1"/>
      <c r="C256" s="1"/>
      <c r="D256" s="1"/>
      <c r="E256" s="4"/>
      <c r="F256" s="4">
        <f t="shared" si="14"/>
        <v>0</v>
      </c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5">
        <f t="shared" si="15"/>
        <v>0</v>
      </c>
    </row>
    <row r="257" spans="1:21" x14ac:dyDescent="0.25">
      <c r="A257" s="1"/>
      <c r="B257" s="1"/>
      <c r="C257" s="1"/>
      <c r="D257" s="1"/>
      <c r="E257" s="4"/>
      <c r="F257" s="4">
        <f t="shared" si="14"/>
        <v>0</v>
      </c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5">
        <f t="shared" si="15"/>
        <v>0</v>
      </c>
    </row>
    <row r="258" spans="1:21" x14ac:dyDescent="0.25">
      <c r="A258" s="1" t="s">
        <v>233</v>
      </c>
      <c r="B258" s="1"/>
      <c r="C258" s="1"/>
      <c r="D258" s="1"/>
      <c r="E258" s="4"/>
      <c r="F258" s="4">
        <f t="shared" si="14"/>
        <v>0</v>
      </c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5">
        <f t="shared" si="15"/>
        <v>0</v>
      </c>
    </row>
    <row r="259" spans="1:21" x14ac:dyDescent="0.25">
      <c r="A259" s="1">
        <v>1</v>
      </c>
      <c r="B259" s="1" t="s">
        <v>234</v>
      </c>
      <c r="C259" s="1" t="s">
        <v>61</v>
      </c>
      <c r="D259" s="1">
        <v>1</v>
      </c>
      <c r="E259" s="4">
        <v>2500000</v>
      </c>
      <c r="F259" s="4">
        <f t="shared" si="14"/>
        <v>2500000</v>
      </c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5">
        <f t="shared" si="15"/>
        <v>2500000</v>
      </c>
    </row>
    <row r="260" spans="1:21" x14ac:dyDescent="0.25">
      <c r="A260" s="1">
        <v>2</v>
      </c>
      <c r="B260" s="38" t="s">
        <v>305</v>
      </c>
      <c r="C260" s="38" t="s">
        <v>306</v>
      </c>
      <c r="D260" s="38">
        <v>1</v>
      </c>
      <c r="E260" s="47">
        <v>9187000</v>
      </c>
      <c r="F260" s="47">
        <f t="shared" si="14"/>
        <v>9187000</v>
      </c>
      <c r="G260" s="38"/>
      <c r="H260" s="38"/>
      <c r="I260" s="38"/>
      <c r="J260" s="38"/>
      <c r="K260" s="38"/>
      <c r="L260" s="38"/>
      <c r="M260" s="38"/>
      <c r="N260" s="38"/>
      <c r="O260" s="38"/>
      <c r="P260" s="38"/>
      <c r="Q260" s="38"/>
      <c r="R260" s="38"/>
      <c r="S260" s="38"/>
      <c r="T260" s="38">
        <v>1</v>
      </c>
      <c r="U260" s="49">
        <f t="shared" si="15"/>
        <v>9187000</v>
      </c>
    </row>
    <row r="261" spans="1:21" x14ac:dyDescent="0.25">
      <c r="A261" s="1">
        <v>3</v>
      </c>
      <c r="B261" s="1" t="s">
        <v>305</v>
      </c>
      <c r="C261" s="1" t="s">
        <v>306</v>
      </c>
      <c r="D261" s="1">
        <v>1</v>
      </c>
      <c r="E261" s="4">
        <v>4925000</v>
      </c>
      <c r="F261" s="4">
        <f t="shared" si="14"/>
        <v>4925000</v>
      </c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5">
        <f t="shared" si="15"/>
        <v>4925000</v>
      </c>
    </row>
    <row r="262" spans="1:21" x14ac:dyDescent="0.25">
      <c r="A262" s="1"/>
      <c r="B262" s="1"/>
      <c r="C262" s="1"/>
      <c r="D262" s="1"/>
      <c r="E262" s="4"/>
      <c r="F262" s="4">
        <f t="shared" si="14"/>
        <v>0</v>
      </c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5">
        <f t="shared" si="15"/>
        <v>0</v>
      </c>
    </row>
    <row r="263" spans="1:21" x14ac:dyDescent="0.25">
      <c r="A263" s="1"/>
      <c r="B263" s="1"/>
      <c r="C263" s="1"/>
      <c r="D263" s="1"/>
      <c r="E263" s="4"/>
      <c r="F263" s="4">
        <f t="shared" si="14"/>
        <v>0</v>
      </c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5">
        <f t="shared" si="15"/>
        <v>0</v>
      </c>
    </row>
    <row r="264" spans="1:21" x14ac:dyDescent="0.25">
      <c r="A264" s="1"/>
      <c r="B264" s="1"/>
      <c r="C264" s="1"/>
      <c r="D264" s="1"/>
      <c r="E264" s="4"/>
      <c r="F264" s="4">
        <f t="shared" si="14"/>
        <v>0</v>
      </c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5">
        <f t="shared" si="15"/>
        <v>0</v>
      </c>
    </row>
    <row r="265" spans="1:21" x14ac:dyDescent="0.25">
      <c r="A265" s="1"/>
      <c r="B265" s="1"/>
      <c r="C265" s="1"/>
      <c r="D265" s="1"/>
      <c r="E265" s="4"/>
      <c r="F265" s="4">
        <f t="shared" si="14"/>
        <v>0</v>
      </c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5">
        <f t="shared" si="15"/>
        <v>0</v>
      </c>
    </row>
    <row r="266" spans="1:21" x14ac:dyDescent="0.25">
      <c r="A266" s="1"/>
      <c r="B266" s="1"/>
      <c r="C266" s="1"/>
      <c r="D266" s="1"/>
      <c r="E266" s="4"/>
      <c r="F266" s="4">
        <f t="shared" si="14"/>
        <v>0</v>
      </c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5">
        <f t="shared" si="15"/>
        <v>0</v>
      </c>
    </row>
    <row r="267" spans="1:21" x14ac:dyDescent="0.25">
      <c r="A267" s="1"/>
      <c r="B267" s="1"/>
      <c r="C267" s="1"/>
      <c r="D267" s="1"/>
      <c r="E267" s="4"/>
      <c r="F267" s="4">
        <f t="shared" si="14"/>
        <v>0</v>
      </c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5">
        <f t="shared" si="15"/>
        <v>0</v>
      </c>
    </row>
    <row r="268" spans="1:21" x14ac:dyDescent="0.25">
      <c r="A268" s="1" t="s">
        <v>235</v>
      </c>
      <c r="B268" s="1"/>
      <c r="C268" s="1"/>
      <c r="D268" s="1"/>
      <c r="E268" s="4"/>
      <c r="F268" s="4">
        <f t="shared" si="14"/>
        <v>0</v>
      </c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5">
        <f t="shared" si="15"/>
        <v>0</v>
      </c>
    </row>
    <row r="269" spans="1:21" x14ac:dyDescent="0.25">
      <c r="A269" s="71">
        <v>1</v>
      </c>
      <c r="B269" s="71" t="s">
        <v>307</v>
      </c>
      <c r="C269" s="71" t="s">
        <v>238</v>
      </c>
      <c r="D269" s="71">
        <v>1</v>
      </c>
      <c r="E269" s="72">
        <v>3500000</v>
      </c>
      <c r="F269" s="72">
        <f t="shared" si="14"/>
        <v>3500000</v>
      </c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>
        <v>1</v>
      </c>
      <c r="U269" s="15">
        <f t="shared" si="15"/>
        <v>3500000</v>
      </c>
    </row>
    <row r="270" spans="1:21" s="50" customFormat="1" x14ac:dyDescent="0.25">
      <c r="A270" s="38">
        <v>2</v>
      </c>
      <c r="B270" s="38" t="s">
        <v>307</v>
      </c>
      <c r="C270" s="38" t="s">
        <v>308</v>
      </c>
      <c r="D270" s="38">
        <v>1</v>
      </c>
      <c r="E270" s="47">
        <v>308000</v>
      </c>
      <c r="F270" s="47">
        <f t="shared" si="14"/>
        <v>308000</v>
      </c>
      <c r="G270" s="38"/>
      <c r="H270" s="38"/>
      <c r="I270" s="38"/>
      <c r="J270" s="38"/>
      <c r="K270" s="38"/>
      <c r="L270" s="38"/>
      <c r="M270" s="38"/>
      <c r="N270" s="38"/>
      <c r="O270" s="38"/>
      <c r="P270" s="38"/>
      <c r="Q270" s="38"/>
      <c r="R270" s="38"/>
      <c r="S270" s="38"/>
      <c r="T270" s="38">
        <v>1</v>
      </c>
      <c r="U270" s="49">
        <f t="shared" si="15"/>
        <v>308000</v>
      </c>
    </row>
    <row r="271" spans="1:21" x14ac:dyDescent="0.25">
      <c r="A271" s="1">
        <v>3</v>
      </c>
      <c r="B271" s="1" t="s">
        <v>307</v>
      </c>
      <c r="C271" s="1" t="s">
        <v>238</v>
      </c>
      <c r="D271" s="1">
        <v>1</v>
      </c>
      <c r="E271" s="4">
        <v>1280000</v>
      </c>
      <c r="F271" s="4">
        <f t="shared" si="14"/>
        <v>1280000</v>
      </c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5">
        <f t="shared" si="15"/>
        <v>1280000</v>
      </c>
    </row>
    <row r="272" spans="1:21" x14ac:dyDescent="0.25">
      <c r="A272" s="1"/>
      <c r="B272" s="1"/>
      <c r="C272" s="1"/>
      <c r="D272" s="1"/>
      <c r="E272" s="4"/>
      <c r="F272" s="4">
        <f t="shared" si="14"/>
        <v>0</v>
      </c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5">
        <f t="shared" si="15"/>
        <v>0</v>
      </c>
    </row>
    <row r="273" spans="1:21" x14ac:dyDescent="0.25">
      <c r="A273" s="1"/>
      <c r="B273" s="1"/>
      <c r="C273" s="1"/>
      <c r="D273" s="1"/>
      <c r="E273" s="4"/>
      <c r="F273" s="4">
        <f t="shared" si="14"/>
        <v>0</v>
      </c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5">
        <f t="shared" si="15"/>
        <v>0</v>
      </c>
    </row>
    <row r="274" spans="1:21" x14ac:dyDescent="0.25">
      <c r="A274" s="1"/>
      <c r="B274" s="1"/>
      <c r="C274" s="1"/>
      <c r="D274" s="1"/>
      <c r="E274" s="4"/>
      <c r="F274" s="4">
        <f t="shared" si="14"/>
        <v>0</v>
      </c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5">
        <f t="shared" si="15"/>
        <v>0</v>
      </c>
    </row>
    <row r="275" spans="1:21" x14ac:dyDescent="0.25">
      <c r="A275" s="1" t="s">
        <v>359</v>
      </c>
      <c r="B275" s="1"/>
      <c r="C275" s="1"/>
      <c r="D275" s="1"/>
      <c r="E275" s="4"/>
      <c r="F275" s="4">
        <f t="shared" si="14"/>
        <v>0</v>
      </c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5">
        <f t="shared" si="15"/>
        <v>0</v>
      </c>
    </row>
    <row r="276" spans="1:21" x14ac:dyDescent="0.25">
      <c r="A276" s="1"/>
      <c r="B276" s="1" t="s">
        <v>360</v>
      </c>
      <c r="C276" s="1" t="s">
        <v>118</v>
      </c>
      <c r="D276" s="1">
        <v>1</v>
      </c>
      <c r="E276" s="4">
        <v>80000</v>
      </c>
      <c r="F276" s="4">
        <f t="shared" si="14"/>
        <v>80000</v>
      </c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5">
        <f t="shared" si="15"/>
        <v>80000</v>
      </c>
    </row>
    <row r="277" spans="1:21" s="50" customFormat="1" x14ac:dyDescent="0.25">
      <c r="A277" s="1"/>
      <c r="B277" s="1"/>
      <c r="C277" s="1"/>
      <c r="D277" s="1"/>
      <c r="E277" s="4"/>
      <c r="F277" s="4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5">
        <f t="shared" si="15"/>
        <v>0</v>
      </c>
    </row>
    <row r="278" spans="1:21" x14ac:dyDescent="0.25">
      <c r="A278" s="1"/>
      <c r="B278" s="1"/>
      <c r="C278" s="1"/>
      <c r="D278" s="1"/>
      <c r="E278" s="4"/>
      <c r="F278" s="4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5">
        <f t="shared" si="15"/>
        <v>0</v>
      </c>
    </row>
    <row r="279" spans="1:21" x14ac:dyDescent="0.25">
      <c r="A279" s="1"/>
      <c r="B279" s="1"/>
      <c r="C279" s="1"/>
      <c r="D279" s="1"/>
      <c r="E279" s="4"/>
      <c r="F279" s="4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5">
        <f t="shared" ref="U279:U286" si="16">D279*E279</f>
        <v>0</v>
      </c>
    </row>
    <row r="280" spans="1:21" x14ac:dyDescent="0.25">
      <c r="A280" s="54" t="s">
        <v>243</v>
      </c>
      <c r="B280" s="55"/>
      <c r="C280" s="1"/>
      <c r="D280" s="1"/>
      <c r="E280" s="4"/>
      <c r="F280" s="4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5">
        <f t="shared" si="16"/>
        <v>0</v>
      </c>
    </row>
    <row r="281" spans="1:21" ht="15.75" x14ac:dyDescent="0.25">
      <c r="A281" s="1">
        <v>1</v>
      </c>
      <c r="B281" s="1" t="s">
        <v>60</v>
      </c>
      <c r="C281" s="1"/>
      <c r="D281" s="17">
        <v>1</v>
      </c>
      <c r="E281" s="19">
        <v>1920000</v>
      </c>
      <c r="F281" s="4">
        <f>D281*E281:E281</f>
        <v>1920000</v>
      </c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7">
        <v>1</v>
      </c>
      <c r="U281" s="15">
        <f t="shared" si="16"/>
        <v>1920000</v>
      </c>
    </row>
    <row r="282" spans="1:21" ht="15.75" x14ac:dyDescent="0.25">
      <c r="A282" s="1">
        <v>2</v>
      </c>
      <c r="B282" s="16" t="s">
        <v>62</v>
      </c>
      <c r="C282" s="1"/>
      <c r="D282" s="17">
        <v>1</v>
      </c>
      <c r="E282" s="19">
        <v>75000</v>
      </c>
      <c r="F282" s="4">
        <f t="shared" ref="F282:F284" si="17">D282*E281:E282</f>
        <v>75000</v>
      </c>
      <c r="G282" s="1"/>
      <c r="H282" s="1" t="s">
        <v>31</v>
      </c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7">
        <v>1</v>
      </c>
      <c r="U282" s="15">
        <f t="shared" si="16"/>
        <v>75000</v>
      </c>
    </row>
    <row r="283" spans="1:21" s="50" customFormat="1" ht="15.75" x14ac:dyDescent="0.25">
      <c r="A283" s="1">
        <v>3</v>
      </c>
      <c r="B283" s="16" t="s">
        <v>63</v>
      </c>
      <c r="C283" s="1"/>
      <c r="D283" s="17">
        <v>1</v>
      </c>
      <c r="E283" s="19">
        <v>1000000</v>
      </c>
      <c r="F283" s="4">
        <f t="shared" si="17"/>
        <v>1000000</v>
      </c>
      <c r="G283" s="1"/>
      <c r="H283" s="1" t="s">
        <v>31</v>
      </c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7">
        <v>1</v>
      </c>
      <c r="U283" s="15">
        <f t="shared" si="16"/>
        <v>1000000</v>
      </c>
    </row>
    <row r="284" spans="1:21" ht="31.5" x14ac:dyDescent="0.25">
      <c r="A284" s="1">
        <v>4</v>
      </c>
      <c r="B284" s="16" t="s">
        <v>66</v>
      </c>
      <c r="C284" s="1"/>
      <c r="D284" s="17">
        <v>1</v>
      </c>
      <c r="E284" s="19">
        <v>750000</v>
      </c>
      <c r="F284" s="4">
        <f t="shared" si="17"/>
        <v>750000</v>
      </c>
      <c r="G284" s="1"/>
      <c r="H284" s="1" t="s">
        <v>31</v>
      </c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7">
        <v>1</v>
      </c>
      <c r="U284" s="15">
        <f t="shared" si="16"/>
        <v>750000</v>
      </c>
    </row>
    <row r="285" spans="1:21" ht="31.5" x14ac:dyDescent="0.25">
      <c r="A285" s="1">
        <v>5</v>
      </c>
      <c r="B285" s="16" t="s">
        <v>159</v>
      </c>
      <c r="C285" s="1" t="s">
        <v>80</v>
      </c>
      <c r="D285" s="1">
        <v>1</v>
      </c>
      <c r="E285" s="26">
        <v>2200000</v>
      </c>
      <c r="F285" s="4">
        <f>D285*E285</f>
        <v>2200000</v>
      </c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>
        <v>1</v>
      </c>
      <c r="U285" s="15">
        <f t="shared" si="16"/>
        <v>2200000</v>
      </c>
    </row>
    <row r="286" spans="1:21" ht="15.75" x14ac:dyDescent="0.25">
      <c r="A286" s="1">
        <v>6</v>
      </c>
      <c r="B286" s="27" t="s">
        <v>160</v>
      </c>
      <c r="C286" s="1"/>
      <c r="D286" s="1">
        <v>24</v>
      </c>
      <c r="E286" s="26">
        <v>600000</v>
      </c>
      <c r="F286" s="4">
        <f>D286*E286</f>
        <v>14400000</v>
      </c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>
        <v>24</v>
      </c>
      <c r="U286" s="15">
        <f t="shared" si="16"/>
        <v>14400000</v>
      </c>
    </row>
    <row r="287" spans="1:21" x14ac:dyDescent="0.25">
      <c r="A287" s="1">
        <v>7</v>
      </c>
      <c r="B287" s="1" t="s">
        <v>176</v>
      </c>
      <c r="C287" s="1"/>
      <c r="D287" s="1"/>
      <c r="E287" s="1"/>
      <c r="F287" s="4">
        <f t="shared" ref="F287:F314" si="18">D287*E287</f>
        <v>0</v>
      </c>
      <c r="G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5">
        <f>D310*E310</f>
        <v>0</v>
      </c>
    </row>
    <row r="288" spans="1:21" ht="45" x14ac:dyDescent="0.25">
      <c r="A288" s="1">
        <v>8</v>
      </c>
      <c r="B288" s="24" t="s">
        <v>177</v>
      </c>
      <c r="C288" s="1" t="s">
        <v>61</v>
      </c>
      <c r="D288" s="1"/>
      <c r="E288" s="1"/>
      <c r="F288" s="4">
        <f t="shared" si="18"/>
        <v>0</v>
      </c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5">
        <f>D317*E317</f>
        <v>560000</v>
      </c>
    </row>
    <row r="289" spans="1:21" ht="31.5" x14ac:dyDescent="0.25">
      <c r="A289" s="1">
        <v>9</v>
      </c>
      <c r="B289" s="16" t="s">
        <v>197</v>
      </c>
      <c r="C289" s="1"/>
      <c r="D289" s="1"/>
      <c r="E289" s="1"/>
      <c r="F289" s="4">
        <f t="shared" si="18"/>
        <v>0</v>
      </c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5">
        <f>D318*E318</f>
        <v>240000</v>
      </c>
    </row>
    <row r="290" spans="1:21" ht="15.75" x14ac:dyDescent="0.25">
      <c r="A290" s="1">
        <v>10</v>
      </c>
      <c r="B290" s="16" t="s">
        <v>232</v>
      </c>
      <c r="C290" s="1" t="s">
        <v>80</v>
      </c>
      <c r="D290" s="1">
        <v>1</v>
      </c>
      <c r="E290" s="4">
        <v>1500000</v>
      </c>
      <c r="F290" s="4">
        <f t="shared" si="18"/>
        <v>1500000</v>
      </c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>
        <v>1</v>
      </c>
      <c r="U290" s="15">
        <f>D290*E290</f>
        <v>1500000</v>
      </c>
    </row>
    <row r="291" spans="1:21" ht="15.75" x14ac:dyDescent="0.25">
      <c r="A291" s="38"/>
      <c r="B291" s="46"/>
      <c r="C291" s="38"/>
      <c r="D291" s="38"/>
      <c r="E291" s="47"/>
      <c r="F291" s="4">
        <f t="shared" si="18"/>
        <v>0</v>
      </c>
      <c r="G291" s="38"/>
      <c r="H291" s="38"/>
      <c r="I291" s="38"/>
      <c r="J291" s="38"/>
      <c r="K291" s="38"/>
      <c r="L291" s="38"/>
      <c r="M291" s="38"/>
      <c r="N291" s="38"/>
      <c r="O291" s="38"/>
      <c r="P291" s="38"/>
      <c r="Q291" s="38"/>
      <c r="R291" s="38"/>
      <c r="S291" s="38"/>
      <c r="T291" s="38"/>
      <c r="U291" s="49"/>
    </row>
    <row r="292" spans="1:21" ht="15.75" x14ac:dyDescent="0.25">
      <c r="A292" s="38"/>
      <c r="B292" s="46"/>
      <c r="C292" s="38"/>
      <c r="D292" s="38"/>
      <c r="E292" s="47"/>
      <c r="F292" s="4">
        <f t="shared" si="18"/>
        <v>0</v>
      </c>
      <c r="G292" s="38"/>
      <c r="H292" s="38"/>
      <c r="I292" s="38"/>
      <c r="J292" s="38"/>
      <c r="K292" s="38"/>
      <c r="L292" s="38"/>
      <c r="M292" s="38"/>
      <c r="N292" s="38"/>
      <c r="O292" s="38"/>
      <c r="P292" s="38"/>
      <c r="Q292" s="38"/>
      <c r="R292" s="38"/>
      <c r="S292" s="38"/>
      <c r="T292" s="38"/>
      <c r="U292" s="49"/>
    </row>
    <row r="293" spans="1:21" ht="15.75" x14ac:dyDescent="0.25">
      <c r="A293" s="38"/>
      <c r="B293" s="46"/>
      <c r="C293" s="38"/>
      <c r="D293" s="38"/>
      <c r="E293" s="47"/>
      <c r="F293" s="4">
        <f t="shared" si="18"/>
        <v>0</v>
      </c>
      <c r="G293" s="38"/>
      <c r="H293" s="38"/>
      <c r="I293" s="38"/>
      <c r="J293" s="38"/>
      <c r="K293" s="38"/>
      <c r="L293" s="38"/>
      <c r="M293" s="38"/>
      <c r="N293" s="38"/>
      <c r="O293" s="38"/>
      <c r="P293" s="38"/>
      <c r="Q293" s="38"/>
      <c r="R293" s="38"/>
      <c r="S293" s="38"/>
      <c r="T293" s="38"/>
      <c r="U293" s="49"/>
    </row>
    <row r="294" spans="1:21" ht="15.75" x14ac:dyDescent="0.25">
      <c r="A294" s="38"/>
      <c r="B294" s="46"/>
      <c r="C294" s="38"/>
      <c r="D294" s="38"/>
      <c r="E294" s="47"/>
      <c r="F294" s="4">
        <f t="shared" si="18"/>
        <v>0</v>
      </c>
      <c r="G294" s="38"/>
      <c r="H294" s="38"/>
      <c r="I294" s="38"/>
      <c r="J294" s="38"/>
      <c r="K294" s="38"/>
      <c r="L294" s="38"/>
      <c r="M294" s="38"/>
      <c r="N294" s="38"/>
      <c r="O294" s="38"/>
      <c r="P294" s="38"/>
      <c r="Q294" s="38"/>
      <c r="R294" s="38"/>
      <c r="S294" s="38"/>
      <c r="T294" s="38"/>
      <c r="U294" s="49"/>
    </row>
    <row r="295" spans="1:21" ht="15.75" x14ac:dyDescent="0.25">
      <c r="A295" s="38"/>
      <c r="B295" s="46"/>
      <c r="C295" s="38"/>
      <c r="D295" s="38"/>
      <c r="E295" s="47"/>
      <c r="F295" s="4">
        <f t="shared" si="18"/>
        <v>0</v>
      </c>
      <c r="G295" s="38"/>
      <c r="H295" s="38"/>
      <c r="I295" s="38"/>
      <c r="J295" s="38"/>
      <c r="K295" s="38"/>
      <c r="L295" s="38"/>
      <c r="M295" s="38"/>
      <c r="N295" s="38"/>
      <c r="O295" s="38"/>
      <c r="P295" s="38"/>
      <c r="Q295" s="38"/>
      <c r="R295" s="38"/>
      <c r="S295" s="38"/>
      <c r="T295" s="38"/>
      <c r="U295" s="49"/>
    </row>
    <row r="296" spans="1:21" ht="15.75" x14ac:dyDescent="0.25">
      <c r="A296" s="38"/>
      <c r="B296" s="46"/>
      <c r="C296" s="38"/>
      <c r="D296" s="38"/>
      <c r="E296" s="47"/>
      <c r="F296" s="4">
        <f t="shared" si="18"/>
        <v>0</v>
      </c>
      <c r="G296" s="38"/>
      <c r="H296" s="38"/>
      <c r="I296" s="38"/>
      <c r="J296" s="38"/>
      <c r="K296" s="38"/>
      <c r="L296" s="38"/>
      <c r="M296" s="38"/>
      <c r="N296" s="38"/>
      <c r="O296" s="38"/>
      <c r="P296" s="38"/>
      <c r="Q296" s="38"/>
      <c r="R296" s="38"/>
      <c r="S296" s="38"/>
      <c r="T296" s="38"/>
      <c r="U296" s="49"/>
    </row>
    <row r="297" spans="1:21" ht="15.75" x14ac:dyDescent="0.25">
      <c r="A297" s="38"/>
      <c r="B297" s="46"/>
      <c r="C297" s="38"/>
      <c r="D297" s="38"/>
      <c r="E297" s="47"/>
      <c r="F297" s="4">
        <f t="shared" si="18"/>
        <v>0</v>
      </c>
      <c r="G297" s="38"/>
      <c r="H297" s="38"/>
      <c r="I297" s="38"/>
      <c r="J297" s="38"/>
      <c r="K297" s="38"/>
      <c r="L297" s="38"/>
      <c r="M297" s="38"/>
      <c r="N297" s="38"/>
      <c r="O297" s="38"/>
      <c r="P297" s="38"/>
      <c r="Q297" s="38"/>
      <c r="R297" s="38"/>
      <c r="S297" s="38"/>
      <c r="T297" s="38"/>
      <c r="U297" s="49"/>
    </row>
    <row r="298" spans="1:21" ht="15.75" x14ac:dyDescent="0.25">
      <c r="A298" s="38"/>
      <c r="B298" s="46"/>
      <c r="C298" s="38"/>
      <c r="D298" s="38"/>
      <c r="E298" s="47"/>
      <c r="F298" s="4">
        <f t="shared" si="18"/>
        <v>0</v>
      </c>
      <c r="G298" s="38"/>
      <c r="H298" s="38"/>
      <c r="I298" s="38"/>
      <c r="J298" s="38"/>
      <c r="K298" s="38"/>
      <c r="L298" s="38"/>
      <c r="M298" s="38"/>
      <c r="N298" s="38"/>
      <c r="O298" s="38"/>
      <c r="P298" s="38"/>
      <c r="Q298" s="38"/>
      <c r="R298" s="38"/>
      <c r="S298" s="38"/>
      <c r="T298" s="38"/>
      <c r="U298" s="49"/>
    </row>
    <row r="299" spans="1:21" ht="15.75" x14ac:dyDescent="0.25">
      <c r="A299" s="38"/>
      <c r="B299" s="46"/>
      <c r="C299" s="38"/>
      <c r="D299" s="38"/>
      <c r="E299" s="47"/>
      <c r="F299" s="4">
        <f t="shared" si="18"/>
        <v>0</v>
      </c>
      <c r="G299" s="38"/>
      <c r="H299" s="38"/>
      <c r="I299" s="38"/>
      <c r="J299" s="38"/>
      <c r="K299" s="38"/>
      <c r="L299" s="38"/>
      <c r="M299" s="38"/>
      <c r="N299" s="38"/>
      <c r="O299" s="38"/>
      <c r="P299" s="38"/>
      <c r="Q299" s="38"/>
      <c r="R299" s="38"/>
      <c r="S299" s="38"/>
      <c r="T299" s="38"/>
      <c r="U299" s="49"/>
    </row>
    <row r="300" spans="1:21" ht="15.75" x14ac:dyDescent="0.25">
      <c r="A300" s="38"/>
      <c r="B300" s="46"/>
      <c r="C300" s="38"/>
      <c r="D300" s="38"/>
      <c r="E300" s="47"/>
      <c r="F300" s="4">
        <f t="shared" si="18"/>
        <v>0</v>
      </c>
      <c r="G300" s="38"/>
      <c r="H300" s="38"/>
      <c r="I300" s="38"/>
      <c r="J300" s="38"/>
      <c r="K300" s="38"/>
      <c r="L300" s="38"/>
      <c r="M300" s="38"/>
      <c r="N300" s="38"/>
      <c r="O300" s="38"/>
      <c r="P300" s="38"/>
      <c r="Q300" s="38"/>
      <c r="R300" s="38"/>
      <c r="S300" s="38"/>
      <c r="T300" s="38"/>
      <c r="U300" s="49"/>
    </row>
    <row r="301" spans="1:21" ht="15.75" x14ac:dyDescent="0.25">
      <c r="A301" s="38"/>
      <c r="B301" s="46"/>
      <c r="C301" s="38"/>
      <c r="D301" s="38"/>
      <c r="E301" s="47"/>
      <c r="F301" s="4">
        <f t="shared" si="18"/>
        <v>0</v>
      </c>
      <c r="G301" s="38"/>
      <c r="H301" s="38"/>
      <c r="I301" s="38"/>
      <c r="J301" s="38"/>
      <c r="K301" s="38"/>
      <c r="L301" s="38"/>
      <c r="M301" s="38"/>
      <c r="N301" s="38"/>
      <c r="O301" s="38"/>
      <c r="P301" s="38"/>
      <c r="Q301" s="38"/>
      <c r="R301" s="38"/>
      <c r="S301" s="38"/>
      <c r="T301" s="38"/>
      <c r="U301" s="49"/>
    </row>
    <row r="302" spans="1:21" ht="31.5" x14ac:dyDescent="0.25">
      <c r="A302" s="38"/>
      <c r="B302" s="46" t="s">
        <v>286</v>
      </c>
      <c r="C302" s="38" t="s">
        <v>204</v>
      </c>
      <c r="D302" s="38">
        <v>1</v>
      </c>
      <c r="E302" s="47"/>
      <c r="F302" s="4">
        <f t="shared" si="18"/>
        <v>0</v>
      </c>
      <c r="G302" s="38"/>
      <c r="H302" s="38"/>
      <c r="I302" s="38"/>
      <c r="J302" s="38"/>
      <c r="K302" s="38"/>
      <c r="L302" s="38"/>
      <c r="M302" s="38"/>
      <c r="N302" s="38"/>
      <c r="O302" s="38"/>
      <c r="P302" s="38"/>
      <c r="Q302" s="38"/>
      <c r="R302" s="38"/>
      <c r="S302" s="38"/>
      <c r="T302" s="38"/>
      <c r="U302" s="49"/>
    </row>
    <row r="303" spans="1:21" ht="15.75" x14ac:dyDescent="0.25">
      <c r="A303" s="38"/>
      <c r="B303" s="46" t="s">
        <v>287</v>
      </c>
      <c r="C303" s="38" t="s">
        <v>204</v>
      </c>
      <c r="D303" s="38">
        <v>1</v>
      </c>
      <c r="E303" s="47"/>
      <c r="F303" s="4">
        <f t="shared" si="18"/>
        <v>0</v>
      </c>
      <c r="G303" s="38"/>
      <c r="H303" s="38"/>
      <c r="I303" s="38"/>
      <c r="J303" s="38"/>
      <c r="K303" s="38"/>
      <c r="L303" s="38"/>
      <c r="M303" s="38"/>
      <c r="N303" s="38"/>
      <c r="O303" s="38"/>
      <c r="P303" s="38"/>
      <c r="Q303" s="38"/>
      <c r="R303" s="38"/>
      <c r="S303" s="38"/>
      <c r="T303" s="38"/>
      <c r="U303" s="49"/>
    </row>
    <row r="304" spans="1:21" ht="31.5" x14ac:dyDescent="0.25">
      <c r="A304" s="38"/>
      <c r="B304" s="46" t="s">
        <v>289</v>
      </c>
      <c r="C304" s="38" t="s">
        <v>204</v>
      </c>
      <c r="D304" s="38">
        <v>1</v>
      </c>
      <c r="E304" s="47"/>
      <c r="F304" s="4">
        <f t="shared" si="18"/>
        <v>0</v>
      </c>
      <c r="G304" s="38"/>
      <c r="H304" s="38"/>
      <c r="I304" s="38"/>
      <c r="J304" s="38"/>
      <c r="K304" s="38"/>
      <c r="L304" s="38"/>
      <c r="M304" s="38"/>
      <c r="N304" s="38"/>
      <c r="O304" s="38"/>
      <c r="P304" s="38"/>
      <c r="Q304" s="38"/>
      <c r="R304" s="38"/>
      <c r="S304" s="38"/>
      <c r="T304" s="38"/>
      <c r="U304" s="49"/>
    </row>
    <row r="305" spans="1:21" ht="15.75" x14ac:dyDescent="0.25">
      <c r="A305" s="38"/>
      <c r="B305" s="46" t="s">
        <v>288</v>
      </c>
      <c r="C305" s="38" t="s">
        <v>204</v>
      </c>
      <c r="D305" s="38">
        <v>3</v>
      </c>
      <c r="E305" s="47"/>
      <c r="F305" s="4">
        <f t="shared" si="18"/>
        <v>0</v>
      </c>
      <c r="G305" s="38"/>
      <c r="H305" s="38"/>
      <c r="I305" s="38"/>
      <c r="J305" s="38"/>
      <c r="K305" s="38"/>
      <c r="L305" s="38"/>
      <c r="M305" s="38"/>
      <c r="N305" s="38"/>
      <c r="O305" s="38"/>
      <c r="P305" s="38"/>
      <c r="Q305" s="38"/>
      <c r="R305" s="38"/>
      <c r="S305" s="38"/>
      <c r="T305" s="38"/>
      <c r="U305" s="49"/>
    </row>
    <row r="306" spans="1:21" ht="15.75" x14ac:dyDescent="0.25">
      <c r="A306" s="38"/>
      <c r="B306" s="46"/>
      <c r="C306" s="38"/>
      <c r="D306" s="38"/>
      <c r="E306" s="47"/>
      <c r="F306" s="4">
        <f t="shared" si="18"/>
        <v>0</v>
      </c>
      <c r="G306" s="38"/>
      <c r="H306" s="38"/>
      <c r="I306" s="38"/>
      <c r="J306" s="38"/>
      <c r="K306" s="38"/>
      <c r="L306" s="38"/>
      <c r="M306" s="38"/>
      <c r="N306" s="38"/>
      <c r="O306" s="38"/>
      <c r="P306" s="38"/>
      <c r="Q306" s="38"/>
      <c r="R306" s="38"/>
      <c r="S306" s="38"/>
      <c r="T306" s="38"/>
      <c r="U306" s="49"/>
    </row>
    <row r="307" spans="1:21" ht="15.75" x14ac:dyDescent="0.25">
      <c r="A307" s="38"/>
      <c r="B307" s="46"/>
      <c r="C307" s="38"/>
      <c r="D307" s="38"/>
      <c r="E307" s="47"/>
      <c r="F307" s="4">
        <f t="shared" si="18"/>
        <v>0</v>
      </c>
      <c r="G307" s="38"/>
      <c r="H307" s="38"/>
      <c r="I307" s="38"/>
      <c r="J307" s="38"/>
      <c r="K307" s="38"/>
      <c r="L307" s="38"/>
      <c r="M307" s="38"/>
      <c r="N307" s="38"/>
      <c r="O307" s="38"/>
      <c r="P307" s="38"/>
      <c r="Q307" s="38"/>
      <c r="R307" s="38"/>
      <c r="S307" s="38"/>
      <c r="T307" s="38"/>
      <c r="U307" s="49"/>
    </row>
    <row r="308" spans="1:21" ht="15.75" x14ac:dyDescent="0.25">
      <c r="A308" s="38"/>
      <c r="B308" s="46" t="s">
        <v>285</v>
      </c>
      <c r="C308" s="38" t="s">
        <v>204</v>
      </c>
      <c r="D308" s="38">
        <v>2</v>
      </c>
      <c r="E308" s="47"/>
      <c r="F308" s="4">
        <f t="shared" si="18"/>
        <v>0</v>
      </c>
      <c r="G308" s="38"/>
      <c r="H308" s="38"/>
      <c r="I308" s="38"/>
      <c r="J308" s="38"/>
      <c r="K308" s="38"/>
      <c r="L308" s="38"/>
      <c r="M308" s="38"/>
      <c r="N308" s="38"/>
      <c r="O308" s="38"/>
      <c r="P308" s="38"/>
      <c r="Q308" s="38"/>
      <c r="R308" s="38"/>
      <c r="S308" s="38"/>
      <c r="T308" s="38"/>
      <c r="U308" s="49"/>
    </row>
    <row r="309" spans="1:21" x14ac:dyDescent="0.25">
      <c r="A309" s="1"/>
      <c r="B309" s="24"/>
      <c r="C309" s="1"/>
      <c r="D309" s="1"/>
      <c r="E309" s="1"/>
      <c r="F309" s="4">
        <f t="shared" si="18"/>
        <v>0</v>
      </c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5">
        <f t="shared" ref="U309:U318" si="19">D309*E309</f>
        <v>0</v>
      </c>
    </row>
    <row r="310" spans="1:21" ht="15.75" x14ac:dyDescent="0.25">
      <c r="A310" s="3" t="s">
        <v>353</v>
      </c>
      <c r="B310" s="37"/>
      <c r="C310" s="1"/>
      <c r="D310" s="1"/>
      <c r="E310" s="1"/>
      <c r="F310" s="4">
        <f t="shared" si="18"/>
        <v>0</v>
      </c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5">
        <f t="shared" si="19"/>
        <v>0</v>
      </c>
    </row>
    <row r="311" spans="1:21" x14ac:dyDescent="0.25">
      <c r="A311" s="51"/>
      <c r="B311" s="53" t="s">
        <v>299</v>
      </c>
      <c r="C311" s="38" t="s">
        <v>204</v>
      </c>
      <c r="D311" s="38">
        <v>4</v>
      </c>
      <c r="E311" s="38"/>
      <c r="F311" s="47">
        <f t="shared" si="18"/>
        <v>0</v>
      </c>
      <c r="G311" s="38"/>
      <c r="H311" s="38"/>
      <c r="I311" s="38"/>
      <c r="J311" s="38"/>
      <c r="K311" s="38"/>
      <c r="L311" s="38"/>
      <c r="M311" s="38"/>
      <c r="N311" s="38"/>
      <c r="O311" s="38"/>
      <c r="P311" s="38"/>
      <c r="Q311" s="38"/>
      <c r="R311" s="38"/>
      <c r="S311" s="38"/>
      <c r="T311" s="38"/>
      <c r="U311" s="49"/>
    </row>
    <row r="312" spans="1:21" x14ac:dyDescent="0.25">
      <c r="A312" s="52"/>
      <c r="B312" s="53" t="s">
        <v>292</v>
      </c>
      <c r="C312" s="52" t="s">
        <v>204</v>
      </c>
      <c r="D312" s="52">
        <v>10</v>
      </c>
      <c r="E312" s="38"/>
      <c r="F312" s="47">
        <f t="shared" si="18"/>
        <v>0</v>
      </c>
      <c r="G312" s="38"/>
      <c r="H312" s="38"/>
      <c r="I312" s="38"/>
      <c r="J312" s="38"/>
      <c r="K312" s="38"/>
      <c r="L312" s="38"/>
      <c r="M312" s="38"/>
      <c r="N312" s="38"/>
      <c r="O312" s="38"/>
      <c r="P312" s="38"/>
      <c r="Q312" s="38"/>
      <c r="R312" s="38"/>
      <c r="S312" s="38"/>
      <c r="T312" s="38"/>
      <c r="U312" s="49"/>
    </row>
    <row r="313" spans="1:21" x14ac:dyDescent="0.25">
      <c r="A313" s="52"/>
      <c r="B313" s="53" t="s">
        <v>293</v>
      </c>
      <c r="C313" s="52" t="s">
        <v>204</v>
      </c>
      <c r="D313" s="52">
        <v>5</v>
      </c>
      <c r="E313" s="38">
        <v>26000</v>
      </c>
      <c r="F313" s="47">
        <f t="shared" si="18"/>
        <v>130000</v>
      </c>
      <c r="G313" s="38"/>
      <c r="H313" s="38"/>
      <c r="I313" s="38"/>
      <c r="J313" s="38"/>
      <c r="K313" s="38"/>
      <c r="L313" s="38"/>
      <c r="M313" s="38"/>
      <c r="N313" s="38"/>
      <c r="O313" s="38"/>
      <c r="P313" s="38"/>
      <c r="Q313" s="38"/>
      <c r="R313" s="38"/>
      <c r="S313" s="38"/>
      <c r="T313" s="38"/>
      <c r="U313" s="49"/>
    </row>
    <row r="314" spans="1:21" x14ac:dyDescent="0.25">
      <c r="A314" s="51"/>
      <c r="B314" s="53" t="s">
        <v>296</v>
      </c>
      <c r="C314" s="38" t="s">
        <v>204</v>
      </c>
      <c r="D314" s="38">
        <v>2</v>
      </c>
      <c r="E314" s="38">
        <v>490000</v>
      </c>
      <c r="F314" s="47">
        <f t="shared" si="18"/>
        <v>980000</v>
      </c>
      <c r="G314" s="38"/>
      <c r="H314" s="38"/>
      <c r="I314" s="38"/>
      <c r="J314" s="38"/>
      <c r="K314" s="38"/>
      <c r="L314" s="38"/>
      <c r="M314" s="38"/>
      <c r="N314" s="38"/>
      <c r="O314" s="38"/>
      <c r="P314" s="38"/>
      <c r="Q314" s="38"/>
      <c r="R314" s="38"/>
      <c r="S314" s="38"/>
      <c r="T314" s="38"/>
      <c r="U314" s="49"/>
    </row>
    <row r="315" spans="1:21" x14ac:dyDescent="0.25">
      <c r="A315" s="51"/>
      <c r="B315" s="53"/>
      <c r="C315" s="38"/>
      <c r="D315" s="38"/>
      <c r="E315" s="38"/>
      <c r="F315" s="47"/>
      <c r="G315" s="38"/>
      <c r="H315" s="38"/>
      <c r="I315" s="38"/>
      <c r="J315" s="38"/>
      <c r="K315" s="38"/>
      <c r="L315" s="38"/>
      <c r="M315" s="38"/>
      <c r="N315" s="38"/>
      <c r="O315" s="38"/>
      <c r="P315" s="38"/>
      <c r="Q315" s="38"/>
      <c r="R315" s="38"/>
      <c r="S315" s="38"/>
      <c r="T315" s="38"/>
      <c r="U315" s="49"/>
    </row>
    <row r="316" spans="1:21" x14ac:dyDescent="0.25">
      <c r="A316" s="51"/>
      <c r="B316" s="53"/>
      <c r="C316" s="38"/>
      <c r="D316" s="38"/>
      <c r="E316" s="38"/>
      <c r="F316" s="47"/>
      <c r="G316" s="38"/>
      <c r="H316" s="38"/>
      <c r="I316" s="38"/>
      <c r="J316" s="38"/>
      <c r="K316" s="38"/>
      <c r="L316" s="38"/>
      <c r="M316" s="38"/>
      <c r="N316" s="38"/>
      <c r="O316" s="38"/>
      <c r="P316" s="38"/>
      <c r="Q316" s="38"/>
      <c r="R316" s="38"/>
      <c r="S316" s="38"/>
      <c r="T316" s="38"/>
      <c r="U316" s="49"/>
    </row>
    <row r="317" spans="1:21" x14ac:dyDescent="0.25">
      <c r="A317" s="38">
        <v>1</v>
      </c>
      <c r="B317" s="39" t="s">
        <v>244</v>
      </c>
      <c r="C317" s="38" t="s">
        <v>118</v>
      </c>
      <c r="D317" s="38">
        <v>2</v>
      </c>
      <c r="E317" s="40">
        <v>280000</v>
      </c>
      <c r="F317" s="38">
        <f>D317*E317</f>
        <v>560000</v>
      </c>
      <c r="G317" s="38" t="s">
        <v>23</v>
      </c>
      <c r="H317" s="38" t="s">
        <v>31</v>
      </c>
      <c r="I317" s="38" t="s">
        <v>22</v>
      </c>
      <c r="J317" s="38"/>
      <c r="K317" s="38"/>
      <c r="L317" s="38"/>
      <c r="M317" s="38"/>
      <c r="N317" s="38"/>
      <c r="O317" s="38"/>
      <c r="P317" s="38"/>
      <c r="Q317" s="38"/>
      <c r="R317" s="38"/>
      <c r="S317" s="38"/>
      <c r="T317" s="38">
        <v>2</v>
      </c>
      <c r="U317" s="49">
        <f t="shared" si="19"/>
        <v>560000</v>
      </c>
    </row>
    <row r="318" spans="1:21" x14ac:dyDescent="0.25">
      <c r="A318" s="38">
        <v>2</v>
      </c>
      <c r="B318" s="39" t="s">
        <v>245</v>
      </c>
      <c r="C318" s="38" t="s">
        <v>118</v>
      </c>
      <c r="D318" s="38">
        <v>1</v>
      </c>
      <c r="E318" s="38">
        <v>240000</v>
      </c>
      <c r="F318" s="38">
        <f t="shared" ref="F318:F322" si="20">D318*E318</f>
        <v>240000</v>
      </c>
      <c r="G318" s="38" t="s">
        <v>23</v>
      </c>
      <c r="H318" s="38" t="s">
        <v>31</v>
      </c>
      <c r="I318" s="38" t="s">
        <v>22</v>
      </c>
      <c r="J318" s="38"/>
      <c r="K318" s="38"/>
      <c r="L318" s="38"/>
      <c r="M318" s="38"/>
      <c r="N318" s="38"/>
      <c r="O318" s="38"/>
      <c r="P318" s="38"/>
      <c r="Q318" s="38"/>
      <c r="R318" s="38"/>
      <c r="S318" s="38"/>
      <c r="T318" s="38">
        <v>1</v>
      </c>
      <c r="U318" s="49">
        <f t="shared" si="19"/>
        <v>240000</v>
      </c>
    </row>
    <row r="319" spans="1:21" x14ac:dyDescent="0.25">
      <c r="A319" s="38">
        <v>3</v>
      </c>
      <c r="B319" s="39" t="s">
        <v>247</v>
      </c>
      <c r="C319" s="38" t="s">
        <v>118</v>
      </c>
      <c r="D319" s="38">
        <v>20</v>
      </c>
      <c r="E319" s="38">
        <v>90000</v>
      </c>
      <c r="F319" s="38">
        <f t="shared" si="20"/>
        <v>1800000</v>
      </c>
      <c r="G319" s="38" t="s">
        <v>23</v>
      </c>
      <c r="H319" s="38" t="s">
        <v>31</v>
      </c>
      <c r="I319" s="38" t="s">
        <v>22</v>
      </c>
      <c r="J319" s="38"/>
      <c r="K319" s="38"/>
      <c r="L319" s="38"/>
      <c r="M319" s="38"/>
      <c r="N319" s="38"/>
      <c r="O319" s="38"/>
      <c r="P319" s="38"/>
      <c r="Q319" s="38"/>
      <c r="R319" s="38"/>
      <c r="S319" s="38"/>
      <c r="T319" s="38"/>
      <c r="U319" s="49">
        <f>D325*E325</f>
        <v>960000</v>
      </c>
    </row>
    <row r="320" spans="1:21" x14ac:dyDescent="0.25">
      <c r="A320" s="38">
        <v>4</v>
      </c>
      <c r="B320" s="39" t="s">
        <v>248</v>
      </c>
      <c r="C320" s="38" t="s">
        <v>118</v>
      </c>
      <c r="D320" s="38">
        <v>20</v>
      </c>
      <c r="E320" s="38"/>
      <c r="F320" s="38">
        <f t="shared" si="20"/>
        <v>0</v>
      </c>
      <c r="G320" s="38" t="s">
        <v>23</v>
      </c>
      <c r="H320" s="38" t="s">
        <v>31</v>
      </c>
      <c r="I320" s="38" t="s">
        <v>22</v>
      </c>
      <c r="J320" s="38"/>
      <c r="K320" s="38"/>
      <c r="L320" s="38"/>
      <c r="M320" s="38"/>
      <c r="N320" s="38"/>
      <c r="O320" s="38"/>
      <c r="P320" s="38"/>
      <c r="Q320" s="38"/>
      <c r="R320" s="38"/>
      <c r="S320" s="38"/>
      <c r="T320" s="38"/>
      <c r="U320" s="49">
        <f>D337*E337</f>
        <v>0</v>
      </c>
    </row>
    <row r="321" spans="1:21" x14ac:dyDescent="0.25">
      <c r="A321" s="38">
        <v>5</v>
      </c>
      <c r="B321" s="39" t="s">
        <v>291</v>
      </c>
      <c r="C321" s="38" t="s">
        <v>118</v>
      </c>
      <c r="D321" s="38">
        <v>10</v>
      </c>
      <c r="E321" s="38"/>
      <c r="F321" s="38">
        <f t="shared" si="20"/>
        <v>0</v>
      </c>
      <c r="G321" s="38" t="s">
        <v>23</v>
      </c>
      <c r="H321" s="38" t="s">
        <v>31</v>
      </c>
      <c r="I321" s="38" t="s">
        <v>22</v>
      </c>
      <c r="J321" s="38"/>
      <c r="K321" s="38"/>
      <c r="L321" s="38"/>
      <c r="M321" s="38"/>
      <c r="N321" s="38"/>
      <c r="O321" s="38"/>
      <c r="P321" s="38"/>
      <c r="Q321" s="38"/>
      <c r="R321" s="38"/>
      <c r="S321" s="38"/>
      <c r="T321" s="38"/>
      <c r="U321" s="49">
        <f>D338*E338</f>
        <v>0</v>
      </c>
    </row>
    <row r="322" spans="1:21" x14ac:dyDescent="0.25">
      <c r="A322" s="38">
        <v>6</v>
      </c>
      <c r="B322" s="39" t="s">
        <v>249</v>
      </c>
      <c r="C322" s="38" t="s">
        <v>118</v>
      </c>
      <c r="D322" s="38">
        <v>2</v>
      </c>
      <c r="E322" s="38"/>
      <c r="F322" s="38">
        <f t="shared" si="20"/>
        <v>0</v>
      </c>
      <c r="G322" s="38" t="s">
        <v>23</v>
      </c>
      <c r="H322" s="38" t="s">
        <v>31</v>
      </c>
      <c r="I322" s="38" t="s">
        <v>22</v>
      </c>
      <c r="J322" s="38"/>
      <c r="K322" s="38"/>
      <c r="L322" s="38"/>
      <c r="M322" s="38"/>
      <c r="N322" s="38"/>
      <c r="O322" s="38"/>
      <c r="P322" s="38"/>
      <c r="Q322" s="38"/>
      <c r="R322" s="38"/>
      <c r="S322" s="38"/>
      <c r="T322" s="38"/>
      <c r="U322" s="49" t="e">
        <f>#REF!*#REF!</f>
        <v>#REF!</v>
      </c>
    </row>
    <row r="323" spans="1:21" x14ac:dyDescent="0.25">
      <c r="A323" s="38">
        <v>7</v>
      </c>
      <c r="B323" s="39" t="s">
        <v>256</v>
      </c>
      <c r="C323" s="38" t="s">
        <v>204</v>
      </c>
      <c r="D323" s="38">
        <v>2</v>
      </c>
      <c r="E323" s="38"/>
      <c r="F323" s="38">
        <f>D323*E323</f>
        <v>0</v>
      </c>
      <c r="G323" s="38" t="s">
        <v>23</v>
      </c>
      <c r="H323" s="38" t="s">
        <v>31</v>
      </c>
      <c r="I323" s="38" t="s">
        <v>22</v>
      </c>
      <c r="J323" s="38"/>
      <c r="K323" s="38"/>
      <c r="L323" s="38"/>
      <c r="M323" s="38"/>
      <c r="N323" s="38"/>
      <c r="O323" s="38"/>
      <c r="P323" s="38"/>
      <c r="Q323" s="38"/>
      <c r="R323" s="38"/>
      <c r="S323" s="38"/>
      <c r="T323" s="38"/>
      <c r="U323" s="49">
        <f>D371*E371</f>
        <v>0</v>
      </c>
    </row>
    <row r="324" spans="1:21" x14ac:dyDescent="0.25">
      <c r="A324" s="41">
        <v>8</v>
      </c>
      <c r="B324" s="42" t="s">
        <v>301</v>
      </c>
      <c r="C324" s="41" t="s">
        <v>300</v>
      </c>
      <c r="D324" s="41">
        <v>10</v>
      </c>
    </row>
    <row r="325" spans="1:21" x14ac:dyDescent="0.25">
      <c r="A325" s="17">
        <v>9</v>
      </c>
      <c r="B325" s="43" t="s">
        <v>259</v>
      </c>
      <c r="C325" s="43" t="s">
        <v>118</v>
      </c>
      <c r="D325" s="43">
        <v>4</v>
      </c>
      <c r="E325" s="43">
        <v>240000</v>
      </c>
      <c r="F325" s="44">
        <f>D325*E325</f>
        <v>960000</v>
      </c>
      <c r="G325" s="43" t="s">
        <v>23</v>
      </c>
      <c r="H325" s="43" t="s">
        <v>31</v>
      </c>
      <c r="I325" s="43" t="s">
        <v>22</v>
      </c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5">
        <f>D372*E372</f>
        <v>0</v>
      </c>
    </row>
    <row r="326" spans="1:21" x14ac:dyDescent="0.25">
      <c r="A326" s="17">
        <v>10</v>
      </c>
      <c r="B326" s="43" t="s">
        <v>244</v>
      </c>
      <c r="C326" s="43" t="s">
        <v>118</v>
      </c>
      <c r="D326" s="43">
        <v>6</v>
      </c>
      <c r="E326" s="43">
        <v>280000</v>
      </c>
      <c r="F326" s="43">
        <f>D326*E326</f>
        <v>1680000</v>
      </c>
      <c r="G326" s="43" t="s">
        <v>23</v>
      </c>
      <c r="H326" s="43" t="s">
        <v>31</v>
      </c>
      <c r="I326" s="43" t="s">
        <v>22</v>
      </c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5"/>
    </row>
    <row r="327" spans="1:21" x14ac:dyDescent="0.25">
      <c r="A327" s="17">
        <v>11</v>
      </c>
      <c r="B327" s="43" t="s">
        <v>246</v>
      </c>
      <c r="C327" s="43" t="s">
        <v>118</v>
      </c>
      <c r="D327" s="43">
        <v>6</v>
      </c>
      <c r="E327" s="17">
        <v>90000</v>
      </c>
      <c r="F327" s="43">
        <f t="shared" ref="F327:F361" si="21">D327*E327</f>
        <v>540000</v>
      </c>
      <c r="G327" s="17"/>
      <c r="H327" s="17"/>
      <c r="I327" s="17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5"/>
    </row>
    <row r="328" spans="1:21" x14ac:dyDescent="0.25">
      <c r="A328" s="17">
        <v>12</v>
      </c>
      <c r="B328" s="43" t="s">
        <v>260</v>
      </c>
      <c r="C328" s="43" t="s">
        <v>124</v>
      </c>
      <c r="D328" s="43">
        <v>3</v>
      </c>
      <c r="E328" s="17">
        <v>26000</v>
      </c>
      <c r="F328" s="43">
        <f t="shared" si="21"/>
        <v>78000</v>
      </c>
      <c r="G328" s="17"/>
      <c r="H328" s="17"/>
      <c r="I328" s="17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5"/>
    </row>
    <row r="329" spans="1:21" x14ac:dyDescent="0.25">
      <c r="A329" s="17">
        <v>13</v>
      </c>
      <c r="B329" s="43" t="s">
        <v>261</v>
      </c>
      <c r="C329" s="17"/>
      <c r="D329" s="17"/>
      <c r="E329" s="17"/>
      <c r="F329" s="43">
        <f t="shared" si="21"/>
        <v>0</v>
      </c>
      <c r="G329" s="17"/>
      <c r="H329" s="17"/>
      <c r="I329" s="17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5"/>
    </row>
    <row r="330" spans="1:21" ht="30" x14ac:dyDescent="0.25">
      <c r="A330" s="17">
        <v>14</v>
      </c>
      <c r="B330" s="63" t="s">
        <v>321</v>
      </c>
      <c r="C330" s="17" t="s">
        <v>118</v>
      </c>
      <c r="D330" s="17">
        <v>1</v>
      </c>
      <c r="E330" s="17"/>
      <c r="F330" s="43">
        <f t="shared" si="21"/>
        <v>0</v>
      </c>
      <c r="G330" s="17"/>
      <c r="H330" s="17"/>
      <c r="I330" s="17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5"/>
    </row>
    <row r="331" spans="1:21" x14ac:dyDescent="0.25">
      <c r="A331" s="17">
        <v>15</v>
      </c>
      <c r="B331" s="43" t="s">
        <v>322</v>
      </c>
      <c r="C331" s="17" t="s">
        <v>118</v>
      </c>
      <c r="D331" s="17">
        <v>1</v>
      </c>
      <c r="E331" s="22">
        <v>480000</v>
      </c>
      <c r="F331" s="43">
        <f t="shared" si="21"/>
        <v>480000</v>
      </c>
      <c r="G331" s="17"/>
      <c r="H331" s="17"/>
      <c r="I331" s="17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5"/>
    </row>
    <row r="332" spans="1:21" s="18" customFormat="1" x14ac:dyDescent="0.25">
      <c r="A332" s="66">
        <v>16</v>
      </c>
      <c r="B332" s="17" t="s">
        <v>350</v>
      </c>
      <c r="C332" s="17" t="s">
        <v>118</v>
      </c>
      <c r="D332" s="17">
        <v>1</v>
      </c>
      <c r="E332" s="22">
        <v>490000</v>
      </c>
      <c r="F332" s="17">
        <f t="shared" si="21"/>
        <v>490000</v>
      </c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64"/>
    </row>
    <row r="333" spans="1:21" s="18" customFormat="1" x14ac:dyDescent="0.25">
      <c r="A333" s="66"/>
      <c r="B333" s="17" t="s">
        <v>244</v>
      </c>
      <c r="C333" s="17" t="s">
        <v>118</v>
      </c>
      <c r="D333" s="17">
        <v>8</v>
      </c>
      <c r="E333" s="22">
        <v>280000</v>
      </c>
      <c r="F333" s="17">
        <f t="shared" si="21"/>
        <v>2240000</v>
      </c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64"/>
    </row>
    <row r="334" spans="1:21" s="18" customFormat="1" x14ac:dyDescent="0.25">
      <c r="A334" s="66"/>
      <c r="B334" s="17" t="s">
        <v>259</v>
      </c>
      <c r="C334" s="17" t="s">
        <v>118</v>
      </c>
      <c r="D334" s="17">
        <v>2</v>
      </c>
      <c r="E334" s="70">
        <v>240000</v>
      </c>
      <c r="F334" s="17">
        <f t="shared" si="21"/>
        <v>480000</v>
      </c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64"/>
    </row>
    <row r="335" spans="1:21" s="18" customFormat="1" x14ac:dyDescent="0.25">
      <c r="A335" s="66"/>
      <c r="B335" s="17" t="s">
        <v>351</v>
      </c>
      <c r="C335" s="17" t="s">
        <v>118</v>
      </c>
      <c r="D335" s="17">
        <v>1</v>
      </c>
      <c r="E335" s="17"/>
      <c r="F335" s="17">
        <f t="shared" si="21"/>
        <v>0</v>
      </c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64"/>
    </row>
    <row r="336" spans="1:21" s="18" customFormat="1" x14ac:dyDescent="0.25">
      <c r="A336" s="66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64"/>
    </row>
    <row r="337" spans="1:21" x14ac:dyDescent="0.25">
      <c r="A337" s="17"/>
      <c r="B337" s="17"/>
      <c r="C337" s="17"/>
      <c r="D337" s="17"/>
      <c r="E337" s="17"/>
      <c r="F337" s="17">
        <f t="shared" si="21"/>
        <v>0</v>
      </c>
      <c r="G337" s="17"/>
      <c r="H337" s="17"/>
      <c r="I337" s="17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5">
        <f t="shared" ref="U337:U342" si="22">D404*E404</f>
        <v>0</v>
      </c>
    </row>
    <row r="338" spans="1:21" x14ac:dyDescent="0.25">
      <c r="A338" s="17" t="s">
        <v>250</v>
      </c>
      <c r="B338" s="17"/>
      <c r="C338" s="17"/>
      <c r="D338" s="17"/>
      <c r="E338" s="17"/>
      <c r="F338" s="17">
        <f t="shared" si="21"/>
        <v>0</v>
      </c>
      <c r="G338" s="17"/>
      <c r="H338" s="17"/>
      <c r="I338" s="17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5">
        <f t="shared" si="22"/>
        <v>0</v>
      </c>
    </row>
    <row r="339" spans="1:21" x14ac:dyDescent="0.25">
      <c r="A339" s="38">
        <v>1</v>
      </c>
      <c r="B339" s="38" t="s">
        <v>251</v>
      </c>
      <c r="C339" s="38"/>
      <c r="D339" s="38"/>
      <c r="E339" s="38"/>
      <c r="F339" s="38">
        <f t="shared" si="21"/>
        <v>0</v>
      </c>
      <c r="G339" s="38"/>
      <c r="H339" s="38"/>
      <c r="I339" s="38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5">
        <f t="shared" si="22"/>
        <v>0</v>
      </c>
    </row>
    <row r="340" spans="1:21" x14ac:dyDescent="0.25">
      <c r="A340" s="38">
        <v>2</v>
      </c>
      <c r="B340" s="38" t="s">
        <v>252</v>
      </c>
      <c r="C340" s="38"/>
      <c r="D340" s="38"/>
      <c r="E340" s="38"/>
      <c r="F340" s="38">
        <f t="shared" si="21"/>
        <v>0</v>
      </c>
      <c r="G340" s="38"/>
      <c r="H340" s="38"/>
      <c r="I340" s="38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5">
        <f t="shared" si="22"/>
        <v>0</v>
      </c>
    </row>
    <row r="341" spans="1:21" x14ac:dyDescent="0.25">
      <c r="A341" s="38">
        <v>3</v>
      </c>
      <c r="B341" s="38" t="s">
        <v>253</v>
      </c>
      <c r="C341" s="38"/>
      <c r="D341" s="38"/>
      <c r="E341" s="38"/>
      <c r="F341" s="38">
        <f t="shared" si="21"/>
        <v>0</v>
      </c>
      <c r="G341" s="38"/>
      <c r="H341" s="38"/>
      <c r="I341" s="38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5">
        <f t="shared" si="22"/>
        <v>0</v>
      </c>
    </row>
    <row r="342" spans="1:21" x14ac:dyDescent="0.25">
      <c r="A342" s="38">
        <v>4</v>
      </c>
      <c r="B342" s="38" t="s">
        <v>267</v>
      </c>
      <c r="C342" s="38"/>
      <c r="D342" s="38"/>
      <c r="E342" s="38"/>
      <c r="F342" s="38">
        <f t="shared" si="21"/>
        <v>0</v>
      </c>
      <c r="G342" s="38"/>
      <c r="H342" s="38"/>
      <c r="I342" s="38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5">
        <f t="shared" si="22"/>
        <v>0</v>
      </c>
    </row>
    <row r="343" spans="1:21" ht="45" x14ac:dyDescent="0.25">
      <c r="A343" s="38">
        <v>5</v>
      </c>
      <c r="B343" s="39" t="s">
        <v>313</v>
      </c>
      <c r="C343" s="38" t="s">
        <v>309</v>
      </c>
      <c r="D343" s="38">
        <v>1</v>
      </c>
      <c r="E343" s="47">
        <v>8430000</v>
      </c>
      <c r="F343" s="38">
        <f t="shared" si="21"/>
        <v>8430000</v>
      </c>
      <c r="G343" s="38"/>
      <c r="H343" s="38"/>
      <c r="I343" s="38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>
        <v>1</v>
      </c>
      <c r="U343" s="15">
        <f>D343*E343</f>
        <v>8430000</v>
      </c>
    </row>
    <row r="344" spans="1:21" s="68" customFormat="1" x14ac:dyDescent="0.25">
      <c r="A344" s="43">
        <v>6</v>
      </c>
      <c r="B344" s="63" t="s">
        <v>325</v>
      </c>
      <c r="C344" s="43" t="s">
        <v>118</v>
      </c>
      <c r="D344" s="43">
        <v>40</v>
      </c>
      <c r="E344" s="44">
        <v>1000</v>
      </c>
      <c r="F344" s="43">
        <f t="shared" si="21"/>
        <v>40000</v>
      </c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67"/>
    </row>
    <row r="345" spans="1:21" s="68" customFormat="1" x14ac:dyDescent="0.25">
      <c r="A345" s="43">
        <v>7</v>
      </c>
      <c r="B345" s="63" t="s">
        <v>326</v>
      </c>
      <c r="C345" s="43" t="s">
        <v>146</v>
      </c>
      <c r="D345" s="43">
        <v>4</v>
      </c>
      <c r="E345" s="44">
        <v>2500</v>
      </c>
      <c r="F345" s="43">
        <f t="shared" si="21"/>
        <v>10000</v>
      </c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67"/>
    </row>
    <row r="346" spans="1:21" s="68" customFormat="1" x14ac:dyDescent="0.25">
      <c r="A346" s="43">
        <v>8</v>
      </c>
      <c r="B346" s="63" t="s">
        <v>327</v>
      </c>
      <c r="C346" s="43" t="s">
        <v>146</v>
      </c>
      <c r="D346" s="43">
        <v>4</v>
      </c>
      <c r="E346" s="44">
        <v>1400</v>
      </c>
      <c r="F346" s="43">
        <f t="shared" si="21"/>
        <v>5600</v>
      </c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67"/>
    </row>
    <row r="347" spans="1:21" s="68" customFormat="1" x14ac:dyDescent="0.25">
      <c r="A347" s="43">
        <v>9</v>
      </c>
      <c r="B347" s="63" t="s">
        <v>328</v>
      </c>
      <c r="C347" s="43" t="s">
        <v>329</v>
      </c>
      <c r="D347" s="43">
        <v>5</v>
      </c>
      <c r="E347" s="44">
        <v>12000</v>
      </c>
      <c r="F347" s="43">
        <f t="shared" si="21"/>
        <v>60000</v>
      </c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67"/>
    </row>
    <row r="348" spans="1:21" s="68" customFormat="1" x14ac:dyDescent="0.25">
      <c r="A348" s="43">
        <v>10</v>
      </c>
      <c r="B348" s="63" t="s">
        <v>330</v>
      </c>
      <c r="C348" s="43" t="s">
        <v>146</v>
      </c>
      <c r="D348" s="43">
        <v>5</v>
      </c>
      <c r="E348" s="44">
        <v>1200</v>
      </c>
      <c r="F348" s="43">
        <f t="shared" si="21"/>
        <v>6000</v>
      </c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67"/>
    </row>
    <row r="349" spans="1:21" s="68" customFormat="1" x14ac:dyDescent="0.25">
      <c r="A349" s="43">
        <v>11</v>
      </c>
      <c r="B349" s="63" t="s">
        <v>331</v>
      </c>
      <c r="C349" s="43" t="s">
        <v>120</v>
      </c>
      <c r="D349" s="43">
        <v>12</v>
      </c>
      <c r="E349" s="44">
        <v>80</v>
      </c>
      <c r="F349" s="43">
        <f t="shared" si="21"/>
        <v>960</v>
      </c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67"/>
    </row>
    <row r="350" spans="1:21" s="68" customFormat="1" x14ac:dyDescent="0.25">
      <c r="A350" s="43">
        <v>12</v>
      </c>
      <c r="B350" s="63" t="s">
        <v>332</v>
      </c>
      <c r="C350" s="43" t="s">
        <v>120</v>
      </c>
      <c r="D350" s="43">
        <v>10</v>
      </c>
      <c r="E350" s="44">
        <v>380</v>
      </c>
      <c r="F350" s="43">
        <f t="shared" si="21"/>
        <v>3800</v>
      </c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67"/>
    </row>
    <row r="351" spans="1:21" s="68" customFormat="1" x14ac:dyDescent="0.25">
      <c r="A351" s="43">
        <v>13</v>
      </c>
      <c r="B351" s="63" t="s">
        <v>333</v>
      </c>
      <c r="C351" s="43" t="s">
        <v>120</v>
      </c>
      <c r="D351" s="43">
        <v>30</v>
      </c>
      <c r="E351" s="44">
        <v>380</v>
      </c>
      <c r="F351" s="43">
        <f t="shared" si="21"/>
        <v>11400</v>
      </c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67"/>
    </row>
    <row r="352" spans="1:21" s="68" customFormat="1" x14ac:dyDescent="0.25">
      <c r="A352" s="43">
        <v>14</v>
      </c>
      <c r="B352" s="63" t="s">
        <v>334</v>
      </c>
      <c r="C352" s="43" t="s">
        <v>120</v>
      </c>
      <c r="D352" s="43">
        <v>30</v>
      </c>
      <c r="E352" s="44">
        <v>95</v>
      </c>
      <c r="F352" s="43">
        <f t="shared" si="21"/>
        <v>2850</v>
      </c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67"/>
    </row>
    <row r="353" spans="1:21" s="68" customFormat="1" x14ac:dyDescent="0.25">
      <c r="A353" s="43">
        <v>15</v>
      </c>
      <c r="B353" s="63" t="s">
        <v>335</v>
      </c>
      <c r="C353" s="43" t="s">
        <v>120</v>
      </c>
      <c r="D353" s="43">
        <v>20</v>
      </c>
      <c r="E353" s="44">
        <v>120</v>
      </c>
      <c r="F353" s="43">
        <f t="shared" si="21"/>
        <v>2400</v>
      </c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67"/>
    </row>
    <row r="354" spans="1:21" s="68" customFormat="1" x14ac:dyDescent="0.25">
      <c r="A354" s="43">
        <v>16</v>
      </c>
      <c r="B354" s="63" t="s">
        <v>336</v>
      </c>
      <c r="C354" s="43" t="s">
        <v>120</v>
      </c>
      <c r="D354" s="43">
        <v>20</v>
      </c>
      <c r="E354" s="44">
        <v>970</v>
      </c>
      <c r="F354" s="43">
        <f t="shared" si="21"/>
        <v>19400</v>
      </c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67"/>
    </row>
    <row r="355" spans="1:21" s="68" customFormat="1" x14ac:dyDescent="0.25">
      <c r="A355" s="43">
        <v>17</v>
      </c>
      <c r="B355" s="63" t="s">
        <v>337</v>
      </c>
      <c r="C355" s="43" t="s">
        <v>120</v>
      </c>
      <c r="D355" s="43">
        <v>10</v>
      </c>
      <c r="E355" s="44">
        <v>490</v>
      </c>
      <c r="F355" s="43">
        <f t="shared" si="21"/>
        <v>4900</v>
      </c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67"/>
    </row>
    <row r="356" spans="1:21" s="68" customFormat="1" x14ac:dyDescent="0.25">
      <c r="A356" s="43">
        <v>18</v>
      </c>
      <c r="B356" s="63" t="s">
        <v>338</v>
      </c>
      <c r="C356" s="43" t="s">
        <v>146</v>
      </c>
      <c r="D356" s="43">
        <v>10</v>
      </c>
      <c r="E356" s="44">
        <v>240</v>
      </c>
      <c r="F356" s="43">
        <f t="shared" si="21"/>
        <v>2400</v>
      </c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67"/>
    </row>
    <row r="357" spans="1:21" s="68" customFormat="1" x14ac:dyDescent="0.25">
      <c r="A357" s="43">
        <v>19</v>
      </c>
      <c r="B357" s="63" t="s">
        <v>339</v>
      </c>
      <c r="C357" s="43" t="s">
        <v>146</v>
      </c>
      <c r="D357" s="43">
        <v>10</v>
      </c>
      <c r="E357" s="44">
        <v>120</v>
      </c>
      <c r="F357" s="43">
        <f t="shared" si="21"/>
        <v>1200</v>
      </c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67"/>
    </row>
    <row r="358" spans="1:21" s="68" customFormat="1" x14ac:dyDescent="0.25">
      <c r="A358" s="43">
        <v>20</v>
      </c>
      <c r="B358" s="63" t="s">
        <v>340</v>
      </c>
      <c r="C358" s="43" t="s">
        <v>120</v>
      </c>
      <c r="D358" s="43">
        <v>4</v>
      </c>
      <c r="E358" s="44">
        <v>980</v>
      </c>
      <c r="F358" s="43">
        <f t="shared" si="21"/>
        <v>3920</v>
      </c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67"/>
    </row>
    <row r="359" spans="1:21" s="68" customFormat="1" x14ac:dyDescent="0.25">
      <c r="A359" s="43">
        <v>21</v>
      </c>
      <c r="B359" s="63" t="s">
        <v>341</v>
      </c>
      <c r="C359" s="43" t="s">
        <v>120</v>
      </c>
      <c r="D359" s="43">
        <v>500</v>
      </c>
      <c r="E359" s="44">
        <v>480</v>
      </c>
      <c r="F359" s="43">
        <f t="shared" si="21"/>
        <v>240000</v>
      </c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67"/>
    </row>
    <row r="360" spans="1:21" s="68" customFormat="1" x14ac:dyDescent="0.25">
      <c r="A360" s="43">
        <v>22</v>
      </c>
      <c r="B360" s="43" t="s">
        <v>342</v>
      </c>
      <c r="C360" s="43" t="s">
        <v>120</v>
      </c>
      <c r="D360" s="43">
        <v>2</v>
      </c>
      <c r="E360" s="44">
        <v>12800</v>
      </c>
      <c r="F360" s="43">
        <f t="shared" si="21"/>
        <v>25600</v>
      </c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67"/>
    </row>
    <row r="361" spans="1:21" s="68" customFormat="1" x14ac:dyDescent="0.25">
      <c r="A361" s="43">
        <v>23</v>
      </c>
      <c r="B361" s="43" t="s">
        <v>343</v>
      </c>
      <c r="C361" s="43" t="s">
        <v>120</v>
      </c>
      <c r="D361" s="43">
        <v>1</v>
      </c>
      <c r="E361" s="43">
        <v>24000</v>
      </c>
      <c r="F361" s="43">
        <f t="shared" si="21"/>
        <v>24000</v>
      </c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67">
        <f>D411*E411</f>
        <v>0</v>
      </c>
    </row>
    <row r="362" spans="1:21" x14ac:dyDescent="0.25">
      <c r="A362" s="17" t="s">
        <v>255</v>
      </c>
      <c r="B362" s="17"/>
      <c r="C362" s="17"/>
      <c r="D362" s="17"/>
      <c r="E362" s="17"/>
      <c r="F362" s="17"/>
      <c r="G362" s="17"/>
      <c r="H362" s="17"/>
      <c r="I362" s="17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5">
        <f>D412*E412</f>
        <v>0</v>
      </c>
    </row>
    <row r="363" spans="1:21" ht="45" x14ac:dyDescent="0.25">
      <c r="A363" s="38">
        <v>1</v>
      </c>
      <c r="B363" s="39" t="s">
        <v>257</v>
      </c>
      <c r="C363" s="38" t="s">
        <v>80</v>
      </c>
      <c r="D363" s="38">
        <v>1</v>
      </c>
      <c r="E363" s="40">
        <v>17000000</v>
      </c>
      <c r="F363" s="38">
        <f>D363*E363</f>
        <v>17000000</v>
      </c>
      <c r="G363" s="17"/>
      <c r="H363" s="17"/>
      <c r="I363" s="17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5"/>
    </row>
    <row r="364" spans="1:21" ht="45" x14ac:dyDescent="0.25">
      <c r="A364" s="38">
        <v>2</v>
      </c>
      <c r="B364" s="39" t="s">
        <v>258</v>
      </c>
      <c r="C364" s="38" t="s">
        <v>80</v>
      </c>
      <c r="D364" s="38">
        <v>1</v>
      </c>
      <c r="E364" s="38"/>
      <c r="F364" s="38">
        <f t="shared" ref="F364:F404" si="23">D364*E364</f>
        <v>0</v>
      </c>
      <c r="G364" s="17"/>
      <c r="H364" s="17"/>
      <c r="I364" s="17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5"/>
    </row>
    <row r="365" spans="1:21" x14ac:dyDescent="0.25">
      <c r="A365" s="17">
        <v>3</v>
      </c>
      <c r="B365" s="17"/>
      <c r="C365" s="17"/>
      <c r="D365" s="17"/>
      <c r="E365" s="17"/>
      <c r="F365" s="17">
        <f t="shared" si="23"/>
        <v>0</v>
      </c>
      <c r="G365" s="17"/>
      <c r="H365" s="17"/>
      <c r="I365" s="17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5"/>
    </row>
    <row r="366" spans="1:21" x14ac:dyDescent="0.25">
      <c r="A366" s="17"/>
      <c r="B366" s="17"/>
      <c r="C366" s="17"/>
      <c r="D366" s="17"/>
      <c r="E366" s="17"/>
      <c r="F366" s="17">
        <f t="shared" si="23"/>
        <v>0</v>
      </c>
      <c r="G366" s="17"/>
      <c r="H366" s="17"/>
      <c r="I366" s="17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5"/>
    </row>
    <row r="367" spans="1:21" x14ac:dyDescent="0.25">
      <c r="A367" s="17"/>
      <c r="B367" s="17"/>
      <c r="C367" s="17"/>
      <c r="D367" s="17"/>
      <c r="E367" s="17"/>
      <c r="F367" s="17">
        <f t="shared" si="23"/>
        <v>0</v>
      </c>
      <c r="G367" s="17"/>
      <c r="H367" s="17"/>
      <c r="I367" s="17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5"/>
    </row>
    <row r="368" spans="1:21" x14ac:dyDescent="0.25">
      <c r="A368" s="17"/>
      <c r="B368" s="17"/>
      <c r="C368" s="17"/>
      <c r="D368" s="17"/>
      <c r="E368" s="17"/>
      <c r="F368" s="17">
        <f t="shared" si="23"/>
        <v>0</v>
      </c>
      <c r="G368" s="17"/>
      <c r="H368" s="17"/>
      <c r="I368" s="17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5"/>
    </row>
    <row r="369" spans="1:21" x14ac:dyDescent="0.25">
      <c r="A369" s="17"/>
      <c r="B369" s="17"/>
      <c r="C369" s="17"/>
      <c r="D369" s="17"/>
      <c r="E369" s="17"/>
      <c r="F369" s="17">
        <f t="shared" si="23"/>
        <v>0</v>
      </c>
      <c r="G369" s="17"/>
      <c r="H369" s="17"/>
      <c r="I369" s="17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5"/>
    </row>
    <row r="370" spans="1:21" x14ac:dyDescent="0.25">
      <c r="A370" s="17" t="s">
        <v>310</v>
      </c>
      <c r="B370" s="17"/>
      <c r="C370" s="17"/>
      <c r="D370" s="17"/>
      <c r="E370" s="17"/>
      <c r="F370" s="17">
        <f t="shared" si="23"/>
        <v>0</v>
      </c>
      <c r="G370" s="17"/>
      <c r="H370" s="17"/>
      <c r="I370" s="17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5"/>
    </row>
    <row r="371" spans="1:21" s="50" customFormat="1" x14ac:dyDescent="0.25">
      <c r="A371" s="38">
        <v>1</v>
      </c>
      <c r="B371" s="38" t="s">
        <v>290</v>
      </c>
      <c r="C371" s="38" t="s">
        <v>204</v>
      </c>
      <c r="D371" s="38">
        <v>10</v>
      </c>
      <c r="E371" s="38"/>
      <c r="F371" s="38">
        <f t="shared" si="23"/>
        <v>0</v>
      </c>
      <c r="G371" s="38"/>
      <c r="H371" s="38"/>
      <c r="I371" s="38"/>
      <c r="J371" s="38"/>
      <c r="K371" s="38"/>
      <c r="L371" s="38"/>
      <c r="M371" s="38"/>
      <c r="N371" s="38"/>
      <c r="O371" s="38"/>
      <c r="P371" s="38"/>
      <c r="Q371" s="38"/>
      <c r="R371" s="38"/>
      <c r="S371" s="38"/>
      <c r="T371" s="38"/>
      <c r="U371" s="49">
        <f>D406*E406</f>
        <v>0</v>
      </c>
    </row>
    <row r="372" spans="1:21" x14ac:dyDescent="0.25">
      <c r="A372" s="17"/>
      <c r="B372" s="17"/>
      <c r="C372" s="17"/>
      <c r="D372" s="17"/>
      <c r="E372" s="17"/>
      <c r="F372" s="17">
        <f t="shared" si="23"/>
        <v>0</v>
      </c>
      <c r="G372" s="17"/>
      <c r="H372" s="17"/>
      <c r="I372" s="17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5">
        <f>D407*E407</f>
        <v>0</v>
      </c>
    </row>
    <row r="373" spans="1:21" x14ac:dyDescent="0.25">
      <c r="A373" s="17"/>
      <c r="B373" s="17"/>
      <c r="C373" s="17"/>
      <c r="D373" s="17"/>
      <c r="E373" s="17"/>
      <c r="F373" s="17">
        <f t="shared" si="23"/>
        <v>0</v>
      </c>
      <c r="G373" s="17"/>
      <c r="H373" s="17"/>
      <c r="I373" s="17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5"/>
    </row>
    <row r="374" spans="1:21" x14ac:dyDescent="0.25">
      <c r="A374" s="65" t="s">
        <v>311</v>
      </c>
      <c r="B374" s="17"/>
      <c r="C374" s="17"/>
      <c r="D374" s="17"/>
      <c r="E374" s="17"/>
      <c r="F374" s="17">
        <f t="shared" si="23"/>
        <v>0</v>
      </c>
      <c r="G374" s="17"/>
      <c r="H374" s="17"/>
      <c r="I374" s="17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5"/>
    </row>
    <row r="375" spans="1:21" s="50" customFormat="1" x14ac:dyDescent="0.25">
      <c r="A375" s="38">
        <v>1</v>
      </c>
      <c r="B375" s="38" t="s">
        <v>312</v>
      </c>
      <c r="C375" s="38" t="s">
        <v>309</v>
      </c>
      <c r="D375" s="38">
        <v>1</v>
      </c>
      <c r="E375" s="38">
        <v>1200000</v>
      </c>
      <c r="F375" s="38">
        <f t="shared" si="23"/>
        <v>1200000</v>
      </c>
      <c r="G375" s="38"/>
      <c r="H375" s="38"/>
      <c r="I375" s="38"/>
      <c r="J375" s="38"/>
      <c r="K375" s="38"/>
      <c r="L375" s="38"/>
      <c r="M375" s="38"/>
      <c r="N375" s="38"/>
      <c r="O375" s="38"/>
      <c r="P375" s="38"/>
      <c r="Q375" s="38"/>
      <c r="R375" s="38"/>
      <c r="S375" s="38"/>
      <c r="T375" s="38"/>
      <c r="U375" s="49"/>
    </row>
    <row r="376" spans="1:21" s="18" customFormat="1" x14ac:dyDescent="0.2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64"/>
    </row>
    <row r="377" spans="1:21" s="18" customFormat="1" x14ac:dyDescent="0.2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64"/>
    </row>
    <row r="378" spans="1:21" s="18" customFormat="1" x14ac:dyDescent="0.2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64"/>
    </row>
    <row r="379" spans="1:21" s="18" customFormat="1" x14ac:dyDescent="0.2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64"/>
    </row>
    <row r="380" spans="1:21" s="18" customFormat="1" x14ac:dyDescent="0.2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64"/>
    </row>
    <row r="381" spans="1:21" s="18" customFormat="1" x14ac:dyDescent="0.25">
      <c r="A381" s="65" t="s">
        <v>323</v>
      </c>
      <c r="B381" s="65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64"/>
    </row>
    <row r="382" spans="1:21" s="68" customFormat="1" x14ac:dyDescent="0.25">
      <c r="A382" s="43">
        <v>1</v>
      </c>
      <c r="B382" s="43" t="s">
        <v>324</v>
      </c>
      <c r="C382" s="43" t="s">
        <v>118</v>
      </c>
      <c r="D382" s="43">
        <v>10</v>
      </c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67"/>
    </row>
    <row r="383" spans="1:21" x14ac:dyDescent="0.25">
      <c r="A383" s="17"/>
      <c r="B383" s="17"/>
      <c r="C383" s="17"/>
      <c r="D383" s="17"/>
      <c r="E383" s="17"/>
      <c r="F383" s="17">
        <f t="shared" si="23"/>
        <v>0</v>
      </c>
      <c r="G383" s="17"/>
      <c r="H383" s="17"/>
      <c r="I383" s="17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5"/>
    </row>
    <row r="384" spans="1:21" x14ac:dyDescent="0.25">
      <c r="A384" s="17"/>
      <c r="B384" s="17"/>
      <c r="C384" s="17"/>
      <c r="D384" s="17"/>
      <c r="E384" s="17"/>
      <c r="F384" s="17">
        <f t="shared" si="23"/>
        <v>0</v>
      </c>
      <c r="G384" s="17"/>
      <c r="H384" s="17"/>
      <c r="I384" s="17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5"/>
    </row>
    <row r="385" spans="1:21" x14ac:dyDescent="0.25">
      <c r="A385" s="17"/>
      <c r="B385" s="17"/>
      <c r="C385" s="17"/>
      <c r="D385" s="17"/>
      <c r="E385" s="17"/>
      <c r="F385" s="17">
        <f t="shared" si="23"/>
        <v>0</v>
      </c>
      <c r="G385" s="17"/>
      <c r="H385" s="17"/>
      <c r="I385" s="17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5"/>
    </row>
    <row r="386" spans="1:21" x14ac:dyDescent="0.25">
      <c r="A386" s="65" t="s">
        <v>344</v>
      </c>
      <c r="B386" s="17"/>
      <c r="C386" s="17"/>
      <c r="D386" s="17"/>
      <c r="E386" s="17"/>
      <c r="F386" s="17">
        <f t="shared" si="23"/>
        <v>0</v>
      </c>
      <c r="G386" s="17"/>
      <c r="H386" s="17"/>
      <c r="I386" s="17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5"/>
    </row>
    <row r="387" spans="1:21" s="68" customFormat="1" ht="13.5" customHeight="1" x14ac:dyDescent="0.25">
      <c r="A387" s="43">
        <v>1</v>
      </c>
      <c r="B387" s="43" t="s">
        <v>345</v>
      </c>
      <c r="C387" s="43" t="s">
        <v>118</v>
      </c>
      <c r="D387" s="43">
        <v>3</v>
      </c>
      <c r="E387" s="43">
        <v>36000</v>
      </c>
      <c r="F387" s="43">
        <f t="shared" si="23"/>
        <v>108000</v>
      </c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67"/>
    </row>
    <row r="388" spans="1:21" s="68" customFormat="1" x14ac:dyDescent="0.25">
      <c r="A388" s="43">
        <v>2</v>
      </c>
      <c r="B388" s="43" t="s">
        <v>346</v>
      </c>
      <c r="C388" s="43" t="s">
        <v>118</v>
      </c>
      <c r="D388" s="43">
        <v>2</v>
      </c>
      <c r="E388" s="43">
        <v>64000</v>
      </c>
      <c r="F388" s="43">
        <f t="shared" si="23"/>
        <v>128000</v>
      </c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67"/>
    </row>
    <row r="389" spans="1:21" s="18" customFormat="1" x14ac:dyDescent="0.2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64"/>
    </row>
    <row r="390" spans="1:21" s="18" customFormat="1" x14ac:dyDescent="0.25">
      <c r="A390" s="17" t="s">
        <v>352</v>
      </c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64"/>
    </row>
    <row r="391" spans="1:21" s="18" customFormat="1" ht="30" x14ac:dyDescent="0.25">
      <c r="A391" s="52">
        <v>1</v>
      </c>
      <c r="B391" s="53" t="s">
        <v>295</v>
      </c>
      <c r="C391" s="52" t="s">
        <v>204</v>
      </c>
      <c r="D391" s="52">
        <v>5</v>
      </c>
      <c r="E391" s="38"/>
      <c r="F391" s="47">
        <f t="shared" ref="F391:F396" si="24">D391*E391</f>
        <v>0</v>
      </c>
      <c r="G391" s="38"/>
      <c r="H391" s="38"/>
      <c r="I391" s="38"/>
      <c r="J391" s="38"/>
      <c r="K391" s="38"/>
      <c r="L391" s="38"/>
      <c r="M391" s="38"/>
      <c r="N391" s="38"/>
      <c r="O391" s="38"/>
      <c r="P391" s="38"/>
      <c r="Q391" s="38"/>
      <c r="R391" s="38"/>
      <c r="S391" s="38"/>
      <c r="T391" s="38"/>
      <c r="U391" s="49"/>
    </row>
    <row r="392" spans="1:21" s="18" customFormat="1" ht="45" x14ac:dyDescent="0.25">
      <c r="A392" s="17">
        <v>2</v>
      </c>
      <c r="B392" s="69" t="s">
        <v>354</v>
      </c>
      <c r="C392" s="17" t="s">
        <v>204</v>
      </c>
      <c r="D392" s="17">
        <v>1</v>
      </c>
      <c r="E392" s="17">
        <v>318000</v>
      </c>
      <c r="F392" s="22">
        <f t="shared" si="24"/>
        <v>318000</v>
      </c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64"/>
    </row>
    <row r="393" spans="1:21" s="18" customFormat="1" x14ac:dyDescent="0.25">
      <c r="A393" s="17">
        <v>3</v>
      </c>
      <c r="B393" s="17" t="s">
        <v>355</v>
      </c>
      <c r="C393" s="17" t="s">
        <v>204</v>
      </c>
      <c r="D393" s="17">
        <v>1</v>
      </c>
      <c r="E393" s="17">
        <v>157113</v>
      </c>
      <c r="F393" s="22">
        <f t="shared" si="24"/>
        <v>157113</v>
      </c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64"/>
    </row>
    <row r="394" spans="1:21" s="18" customFormat="1" x14ac:dyDescent="0.25">
      <c r="A394" s="17">
        <v>4</v>
      </c>
      <c r="B394" s="17" t="s">
        <v>356</v>
      </c>
      <c r="C394" s="17" t="s">
        <v>204</v>
      </c>
      <c r="D394" s="17">
        <v>1</v>
      </c>
      <c r="E394" s="17">
        <v>13250</v>
      </c>
      <c r="F394" s="22">
        <f t="shared" si="24"/>
        <v>13250</v>
      </c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64"/>
    </row>
    <row r="395" spans="1:21" s="18" customFormat="1" ht="30" x14ac:dyDescent="0.25">
      <c r="A395" s="17">
        <v>5</v>
      </c>
      <c r="B395" s="69" t="s">
        <v>357</v>
      </c>
      <c r="C395" s="17" t="s">
        <v>204</v>
      </c>
      <c r="D395" s="17">
        <v>1</v>
      </c>
      <c r="E395" s="17">
        <v>397500</v>
      </c>
      <c r="F395" s="17">
        <f t="shared" si="24"/>
        <v>397500</v>
      </c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64"/>
    </row>
    <row r="396" spans="1:21" s="18" customFormat="1" x14ac:dyDescent="0.25">
      <c r="A396" s="17">
        <v>6</v>
      </c>
      <c r="B396" s="17" t="s">
        <v>358</v>
      </c>
      <c r="C396" s="17" t="s">
        <v>204</v>
      </c>
      <c r="D396" s="17">
        <v>1</v>
      </c>
      <c r="E396" s="17">
        <v>260000</v>
      </c>
      <c r="F396" s="17">
        <f t="shared" si="24"/>
        <v>260000</v>
      </c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64"/>
    </row>
    <row r="397" spans="1:21" s="18" customFormat="1" x14ac:dyDescent="0.2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64"/>
    </row>
    <row r="398" spans="1:21" s="18" customFormat="1" x14ac:dyDescent="0.2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64"/>
    </row>
    <row r="399" spans="1:21" s="18" customFormat="1" x14ac:dyDescent="0.2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64"/>
    </row>
    <row r="400" spans="1:21" s="18" customFormat="1" x14ac:dyDescent="0.2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64"/>
    </row>
    <row r="401" spans="1:21" s="18" customFormat="1" x14ac:dyDescent="0.2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64"/>
    </row>
    <row r="402" spans="1:21" s="18" customFormat="1" x14ac:dyDescent="0.2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64"/>
    </row>
    <row r="403" spans="1:21" s="18" customFormat="1" x14ac:dyDescent="0.2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64"/>
    </row>
    <row r="404" spans="1:21" x14ac:dyDescent="0.25">
      <c r="A404" s="17"/>
      <c r="B404" s="17"/>
      <c r="C404" s="17"/>
      <c r="D404" s="17"/>
      <c r="E404" s="17"/>
      <c r="F404" s="17">
        <f t="shared" si="23"/>
        <v>0</v>
      </c>
      <c r="G404" s="17"/>
      <c r="H404" s="17"/>
      <c r="I404" s="17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5">
        <f>D408*E408</f>
        <v>0</v>
      </c>
    </row>
    <row r="405" spans="1:21" x14ac:dyDescent="0.25">
      <c r="A405" s="18"/>
      <c r="B405" s="18"/>
      <c r="C405" s="18"/>
      <c r="D405" s="18"/>
      <c r="E405" s="18"/>
      <c r="F405" s="61">
        <f>SUM(F6:F404)</f>
        <v>273597571</v>
      </c>
      <c r="G405" s="18"/>
      <c r="H405" s="18"/>
      <c r="I405" s="18"/>
    </row>
  </sheetData>
  <mergeCells count="7">
    <mergeCell ref="A280:B280"/>
    <mergeCell ref="N2:U2"/>
    <mergeCell ref="A105:B105"/>
    <mergeCell ref="N3:O3"/>
    <mergeCell ref="P3:Q3"/>
    <mergeCell ref="R3:S3"/>
    <mergeCell ref="T3:U3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Annual Procurement plan-Ksric</vt:lpstr>
      <vt:lpstr>procurement plan k-sric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Happiness</cp:lastModifiedBy>
  <dcterms:created xsi:type="dcterms:W3CDTF">2022-03-23T07:11:00Z</dcterms:created>
  <dcterms:modified xsi:type="dcterms:W3CDTF">2024-07-26T14:57:07Z</dcterms:modified>
</cp:coreProperties>
</file>