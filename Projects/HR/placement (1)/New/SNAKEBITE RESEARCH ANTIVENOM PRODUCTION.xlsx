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7EC2DBE-5758-438F-B2D6-C030C2A6965B}" xr6:coauthVersionLast="47" xr6:coauthVersionMax="47" xr10:uidLastSave="{00000000-0000-0000-0000-000000000000}"/>
  <bookViews>
    <workbookView xWindow="-110" yWindow="-110" windowWidth="19420" windowHeight="10300" tabRatio="549" xr2:uid="{00000000-000D-0000-FFFF-FFFF00000000}"/>
  </bookViews>
  <sheets>
    <sheet name="3 month procurement plan k-sric" sheetId="2" r:id="rId1"/>
    <sheet name="Annual procurement plan" sheetId="5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1" i="2" l="1"/>
  <c r="F101" i="2"/>
  <c r="F88" i="2"/>
  <c r="U87" i="2" l="1"/>
  <c r="E136" i="2" l="1"/>
  <c r="E131" i="2"/>
  <c r="F96" i="2"/>
  <c r="U86" i="2"/>
  <c r="F86" i="2"/>
  <c r="F53" i="2"/>
  <c r="F42" i="2"/>
  <c r="F44" i="2"/>
  <c r="F52" i="2"/>
  <c r="U65" i="2" l="1"/>
  <c r="F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34" i="2"/>
  <c r="U29" i="2"/>
  <c r="F27" i="2"/>
  <c r="F26" i="2"/>
  <c r="U19" i="2"/>
  <c r="U13" i="2"/>
  <c r="U6" i="2"/>
  <c r="U7" i="2"/>
  <c r="U8" i="2"/>
  <c r="U9" i="2"/>
  <c r="U10" i="2"/>
  <c r="U11" i="2"/>
  <c r="U12" i="2"/>
  <c r="U5" i="2"/>
  <c r="F6" i="2"/>
  <c r="F7" i="2"/>
  <c r="F8" i="2"/>
  <c r="F9" i="2"/>
  <c r="F10" i="2"/>
  <c r="F11" i="2"/>
  <c r="F12" i="2"/>
  <c r="F13" i="2"/>
  <c r="F5" i="2"/>
  <c r="F37" i="2"/>
  <c r="F38" i="2"/>
  <c r="F39" i="2"/>
  <c r="F40" i="2"/>
  <c r="F41" i="2"/>
  <c r="F43" i="2"/>
  <c r="F46" i="2"/>
  <c r="F47" i="2"/>
  <c r="F48" i="2"/>
  <c r="F49" i="2"/>
  <c r="F50" i="2"/>
  <c r="F45" i="2" s="1"/>
  <c r="F51" i="2"/>
  <c r="F54" i="2"/>
  <c r="F55" i="2"/>
  <c r="F56" i="2"/>
  <c r="F57" i="2"/>
  <c r="F58" i="2"/>
  <c r="F35" i="2"/>
  <c r="F36" i="2"/>
  <c r="F61" i="2" l="1"/>
  <c r="F16" i="2"/>
  <c r="F89" i="2" l="1"/>
  <c r="U80" i="2"/>
  <c r="U81" i="2"/>
  <c r="F80" i="2"/>
  <c r="F81" i="2"/>
  <c r="U25" i="2"/>
  <c r="U26" i="2"/>
  <c r="U27" i="2"/>
  <c r="U28" i="2"/>
  <c r="U30" i="2"/>
  <c r="U31" i="2"/>
  <c r="U24" i="2"/>
  <c r="F31" i="2"/>
  <c r="F75" i="2"/>
  <c r="F83" i="2" l="1"/>
  <c r="U134" i="5"/>
  <c r="F134" i="5"/>
  <c r="U133" i="5"/>
  <c r="F133" i="5"/>
  <c r="U132" i="5"/>
  <c r="F132" i="5"/>
  <c r="F110" i="5"/>
  <c r="U110" i="5"/>
  <c r="F56" i="5"/>
  <c r="O63" i="5"/>
  <c r="F63" i="5"/>
  <c r="O62" i="5"/>
  <c r="F62" i="5"/>
  <c r="O61" i="5"/>
  <c r="F61" i="5"/>
  <c r="Q55" i="5"/>
  <c r="O55" i="5"/>
  <c r="F55" i="5"/>
  <c r="O54" i="5"/>
  <c r="F54" i="5"/>
  <c r="O53" i="5"/>
  <c r="F53" i="5"/>
  <c r="Q52" i="5"/>
  <c r="O52" i="5"/>
  <c r="F52" i="5"/>
  <c r="U48" i="5" l="1"/>
  <c r="F48" i="5"/>
  <c r="F216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69" i="5"/>
  <c r="F270" i="5"/>
  <c r="F271" i="5"/>
  <c r="F272" i="5"/>
  <c r="F273" i="5"/>
  <c r="F221" i="5"/>
  <c r="U478" i="5" l="1"/>
  <c r="F478" i="5"/>
  <c r="U451" i="5"/>
  <c r="U449" i="5"/>
  <c r="F449" i="5"/>
  <c r="U448" i="5"/>
  <c r="F448" i="5"/>
  <c r="U447" i="5"/>
  <c r="F447" i="5"/>
  <c r="U446" i="5"/>
  <c r="F446" i="5"/>
  <c r="U445" i="5"/>
  <c r="F445" i="5"/>
  <c r="U444" i="5"/>
  <c r="F444" i="5"/>
  <c r="U443" i="5"/>
  <c r="F443" i="5"/>
  <c r="U442" i="5"/>
  <c r="F442" i="5"/>
  <c r="U441" i="5"/>
  <c r="F441" i="5"/>
  <c r="U440" i="5"/>
  <c r="F440" i="5"/>
  <c r="U439" i="5"/>
  <c r="F439" i="5"/>
  <c r="U438" i="5"/>
  <c r="F438" i="5"/>
  <c r="U437" i="5"/>
  <c r="F437" i="5"/>
  <c r="U436" i="5"/>
  <c r="F436" i="5"/>
  <c r="U435" i="5"/>
  <c r="F435" i="5"/>
  <c r="U434" i="5"/>
  <c r="F434" i="5"/>
  <c r="U433" i="5"/>
  <c r="F433" i="5"/>
  <c r="U432" i="5"/>
  <c r="F432" i="5"/>
  <c r="F74" i="2"/>
  <c r="U74" i="2"/>
  <c r="U73" i="2"/>
  <c r="U72" i="2"/>
  <c r="U71" i="2"/>
  <c r="F71" i="2"/>
  <c r="F72" i="2"/>
  <c r="F73" i="2"/>
  <c r="U70" i="2"/>
  <c r="F70" i="2"/>
  <c r="F69" i="2"/>
  <c r="U47" i="5" l="1"/>
  <c r="S47" i="5"/>
  <c r="Q47" i="5"/>
  <c r="O47" i="5"/>
  <c r="F47" i="5"/>
  <c r="U46" i="5"/>
  <c r="S46" i="5"/>
  <c r="Q46" i="5"/>
  <c r="O46" i="5"/>
  <c r="F46" i="5"/>
  <c r="U45" i="5"/>
  <c r="S45" i="5"/>
  <c r="Q45" i="5"/>
  <c r="O45" i="5"/>
  <c r="F45" i="5"/>
  <c r="U44" i="5"/>
  <c r="S44" i="5"/>
  <c r="Q44" i="5"/>
  <c r="O44" i="5"/>
  <c r="U43" i="5"/>
  <c r="S43" i="5"/>
  <c r="Q43" i="5"/>
  <c r="O43" i="5"/>
  <c r="F43" i="5"/>
  <c r="U42" i="5"/>
  <c r="S42" i="5"/>
  <c r="Q42" i="5"/>
  <c r="O42" i="5"/>
  <c r="F42" i="5"/>
  <c r="U41" i="5"/>
  <c r="S41" i="5"/>
  <c r="Q41" i="5"/>
  <c r="O41" i="5"/>
  <c r="F41" i="5"/>
  <c r="U40" i="5"/>
  <c r="S40" i="5"/>
  <c r="Q40" i="5"/>
  <c r="O40" i="5"/>
  <c r="F40" i="5"/>
  <c r="F306" i="5"/>
  <c r="F305" i="5"/>
  <c r="F304" i="5"/>
  <c r="F303" i="5"/>
  <c r="F302" i="5"/>
  <c r="F301" i="5"/>
  <c r="F300" i="5"/>
  <c r="F299" i="5"/>
  <c r="U35" i="5"/>
  <c r="S35" i="5"/>
  <c r="Q35" i="5"/>
  <c r="O35" i="5"/>
  <c r="F35" i="5"/>
  <c r="U34" i="5"/>
  <c r="S34" i="5"/>
  <c r="Q34" i="5"/>
  <c r="O34" i="5"/>
  <c r="F34" i="5"/>
  <c r="U33" i="5"/>
  <c r="S33" i="5"/>
  <c r="Q33" i="5"/>
  <c r="O33" i="5"/>
  <c r="F33" i="5"/>
  <c r="U32" i="5"/>
  <c r="S32" i="5"/>
  <c r="Q32" i="5"/>
  <c r="O32" i="5"/>
  <c r="F32" i="5"/>
  <c r="U31" i="5"/>
  <c r="S31" i="5"/>
  <c r="Q31" i="5"/>
  <c r="O31" i="5"/>
  <c r="F31" i="5"/>
  <c r="U30" i="5"/>
  <c r="S30" i="5"/>
  <c r="Q30" i="5"/>
  <c r="O30" i="5"/>
  <c r="F30" i="5"/>
  <c r="U29" i="5"/>
  <c r="S29" i="5"/>
  <c r="Q29" i="5"/>
  <c r="O29" i="5"/>
  <c r="F29" i="5"/>
  <c r="U28" i="5"/>
  <c r="S28" i="5"/>
  <c r="Q28" i="5"/>
  <c r="O28" i="5"/>
  <c r="F28" i="5"/>
  <c r="U27" i="5"/>
  <c r="S27" i="5"/>
  <c r="Q27" i="5"/>
  <c r="O27" i="5"/>
  <c r="F27" i="5"/>
  <c r="U26" i="5"/>
  <c r="S26" i="5"/>
  <c r="Q26" i="5"/>
  <c r="O26" i="5"/>
  <c r="F26" i="5"/>
  <c r="U25" i="5"/>
  <c r="S25" i="5"/>
  <c r="Q25" i="5"/>
  <c r="O25" i="5"/>
  <c r="F25" i="5"/>
  <c r="U24" i="5"/>
  <c r="S24" i="5"/>
  <c r="Q24" i="5"/>
  <c r="O24" i="5"/>
  <c r="F24" i="5"/>
  <c r="U23" i="5"/>
  <c r="S23" i="5"/>
  <c r="Q23" i="5"/>
  <c r="O23" i="5"/>
  <c r="F23" i="5"/>
  <c r="U22" i="5"/>
  <c r="S22" i="5"/>
  <c r="Q22" i="5"/>
  <c r="O22" i="5"/>
  <c r="F22" i="5"/>
  <c r="U21" i="5"/>
  <c r="S21" i="5"/>
  <c r="Q21" i="5"/>
  <c r="O21" i="5"/>
  <c r="F21" i="5"/>
  <c r="U20" i="5"/>
  <c r="S20" i="5"/>
  <c r="Q20" i="5"/>
  <c r="O20" i="5"/>
  <c r="F20" i="5"/>
  <c r="U19" i="5"/>
  <c r="S19" i="5"/>
  <c r="Q19" i="5"/>
  <c r="O19" i="5"/>
  <c r="F19" i="5"/>
  <c r="U18" i="5"/>
  <c r="S18" i="5"/>
  <c r="Q18" i="5"/>
  <c r="O18" i="5"/>
  <c r="F18" i="5"/>
  <c r="U17" i="5"/>
  <c r="S17" i="5"/>
  <c r="Q17" i="5"/>
  <c r="O17" i="5"/>
  <c r="F17" i="5"/>
  <c r="U16" i="5"/>
  <c r="S16" i="5"/>
  <c r="Q16" i="5"/>
  <c r="O16" i="5"/>
  <c r="F16" i="5"/>
  <c r="U15" i="5"/>
  <c r="S15" i="5"/>
  <c r="Q15" i="5"/>
  <c r="O15" i="5"/>
  <c r="F15" i="5"/>
  <c r="U14" i="5"/>
  <c r="S14" i="5"/>
  <c r="Q14" i="5"/>
  <c r="O14" i="5"/>
  <c r="F14" i="5"/>
  <c r="F98" i="2" l="1"/>
  <c r="F78" i="2" l="1"/>
  <c r="F67" i="2"/>
  <c r="F22" i="2"/>
  <c r="F215" i="5" l="1"/>
  <c r="F213" i="5"/>
  <c r="F214" i="5"/>
  <c r="F212" i="5"/>
  <c r="F211" i="5"/>
  <c r="F210" i="5"/>
  <c r="F209" i="5"/>
  <c r="F208" i="5"/>
  <c r="F207" i="5"/>
  <c r="F206" i="5"/>
  <c r="F205" i="5"/>
  <c r="F9" i="5"/>
  <c r="F176" i="5"/>
  <c r="F175" i="5"/>
  <c r="F192" i="5"/>
  <c r="F190" i="5"/>
  <c r="F189" i="5"/>
  <c r="F188" i="5"/>
  <c r="F187" i="5"/>
  <c r="F186" i="5"/>
  <c r="F170" i="5"/>
  <c r="F182" i="5"/>
  <c r="F179" i="5"/>
  <c r="F185" i="5"/>
  <c r="F204" i="5"/>
  <c r="F203" i="5"/>
  <c r="F195" i="5"/>
  <c r="F202" i="5"/>
  <c r="F201" i="5"/>
  <c r="F200" i="5"/>
  <c r="F199" i="5"/>
  <c r="F198" i="5"/>
  <c r="F197" i="5"/>
  <c r="F196" i="5"/>
  <c r="F194" i="5"/>
  <c r="F193" i="5"/>
  <c r="F184" i="5"/>
  <c r="F183" i="5"/>
  <c r="F87" i="5" l="1"/>
  <c r="U482" i="5"/>
  <c r="F482" i="5"/>
  <c r="F475" i="5"/>
  <c r="F474" i="5"/>
  <c r="F473" i="5"/>
  <c r="F472" i="5"/>
  <c r="F471" i="5"/>
  <c r="F470" i="5"/>
  <c r="F431" i="5"/>
  <c r="F430" i="5"/>
  <c r="F429" i="5"/>
  <c r="F428" i="5"/>
  <c r="F427" i="5"/>
  <c r="F426" i="5"/>
  <c r="F418" i="5"/>
  <c r="F417" i="5"/>
  <c r="F416" i="5"/>
  <c r="U415" i="5"/>
  <c r="F415" i="5"/>
  <c r="U414" i="5"/>
  <c r="F414" i="5"/>
  <c r="F413" i="5"/>
  <c r="F412" i="5"/>
  <c r="F411" i="5"/>
  <c r="F410" i="5"/>
  <c r="F409" i="5"/>
  <c r="F408" i="5"/>
  <c r="F407" i="5"/>
  <c r="F406" i="5"/>
  <c r="U405" i="5"/>
  <c r="U404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U386" i="5"/>
  <c r="F386" i="5"/>
  <c r="U385" i="5"/>
  <c r="F385" i="5"/>
  <c r="U384" i="5"/>
  <c r="F384" i="5"/>
  <c r="U383" i="5"/>
  <c r="F383" i="5"/>
  <c r="U382" i="5"/>
  <c r="F382" i="5"/>
  <c r="U381" i="5"/>
  <c r="F381" i="5"/>
  <c r="U380" i="5"/>
  <c r="F380" i="5"/>
  <c r="F378" i="5"/>
  <c r="F377" i="5"/>
  <c r="F376" i="5"/>
  <c r="F375" i="5"/>
  <c r="F374" i="5"/>
  <c r="F373" i="5"/>
  <c r="F372" i="5"/>
  <c r="F371" i="5"/>
  <c r="F370" i="5"/>
  <c r="F369" i="5"/>
  <c r="U368" i="5"/>
  <c r="F368" i="5"/>
  <c r="U366" i="5"/>
  <c r="F366" i="5"/>
  <c r="U365" i="5"/>
  <c r="F365" i="5"/>
  <c r="U364" i="5"/>
  <c r="F364" i="5"/>
  <c r="U363" i="5"/>
  <c r="F363" i="5"/>
  <c r="U362" i="5"/>
  <c r="F362" i="5"/>
  <c r="U361" i="5"/>
  <c r="F361" i="5"/>
  <c r="U360" i="5"/>
  <c r="F360" i="5"/>
  <c r="F357" i="5"/>
  <c r="F356" i="5"/>
  <c r="F355" i="5"/>
  <c r="F354" i="5"/>
  <c r="U353" i="5"/>
  <c r="F353" i="5"/>
  <c r="U352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U333" i="5"/>
  <c r="F333" i="5"/>
  <c r="U332" i="5"/>
  <c r="F332" i="5"/>
  <c r="U331" i="5"/>
  <c r="F331" i="5"/>
  <c r="U330" i="5"/>
  <c r="F330" i="5"/>
  <c r="U329" i="5"/>
  <c r="F329" i="5"/>
  <c r="U328" i="5"/>
  <c r="F328" i="5"/>
  <c r="U327" i="5"/>
  <c r="F327" i="5"/>
  <c r="U326" i="5"/>
  <c r="F326" i="5"/>
  <c r="U325" i="5"/>
  <c r="F325" i="5"/>
  <c r="U324" i="5"/>
  <c r="F324" i="5"/>
  <c r="U323" i="5"/>
  <c r="U322" i="5"/>
  <c r="U321" i="5"/>
  <c r="U320" i="5"/>
  <c r="U319" i="5"/>
  <c r="F319" i="5"/>
  <c r="U318" i="5"/>
  <c r="F318" i="5"/>
  <c r="U317" i="5"/>
  <c r="F317" i="5"/>
  <c r="U316" i="5"/>
  <c r="F316" i="5"/>
  <c r="U315" i="5"/>
  <c r="F315" i="5"/>
  <c r="U314" i="5"/>
  <c r="F314" i="5"/>
  <c r="U313" i="5"/>
  <c r="F313" i="5"/>
  <c r="U312" i="5"/>
  <c r="F312" i="5"/>
  <c r="U311" i="5"/>
  <c r="F311" i="5"/>
  <c r="U310" i="5"/>
  <c r="F310" i="5"/>
  <c r="U309" i="5"/>
  <c r="F309" i="5"/>
  <c r="U308" i="5"/>
  <c r="F308" i="5"/>
  <c r="U298" i="5"/>
  <c r="F298" i="5"/>
  <c r="U297" i="5"/>
  <c r="F297" i="5"/>
  <c r="U296" i="5"/>
  <c r="F296" i="5"/>
  <c r="U295" i="5"/>
  <c r="F295" i="5"/>
  <c r="U294" i="5"/>
  <c r="F294" i="5"/>
  <c r="U293" i="5"/>
  <c r="F293" i="5"/>
  <c r="U292" i="5"/>
  <c r="F292" i="5"/>
  <c r="U291" i="5"/>
  <c r="F291" i="5"/>
  <c r="U290" i="5"/>
  <c r="F290" i="5"/>
  <c r="U289" i="5"/>
  <c r="F289" i="5"/>
  <c r="U288" i="5"/>
  <c r="F288" i="5"/>
  <c r="U287" i="5"/>
  <c r="F287" i="5"/>
  <c r="U286" i="5"/>
  <c r="F286" i="5"/>
  <c r="U285" i="5"/>
  <c r="F285" i="5"/>
  <c r="F284" i="5"/>
  <c r="U283" i="5"/>
  <c r="F283" i="5"/>
  <c r="U282" i="5"/>
  <c r="F282" i="5"/>
  <c r="U281" i="5"/>
  <c r="F281" i="5"/>
  <c r="U280" i="5"/>
  <c r="F280" i="5"/>
  <c r="U279" i="5"/>
  <c r="F279" i="5"/>
  <c r="U278" i="5"/>
  <c r="F278" i="5"/>
  <c r="U277" i="5"/>
  <c r="F277" i="5"/>
  <c r="U276" i="5"/>
  <c r="F276" i="5"/>
  <c r="F275" i="5"/>
  <c r="U274" i="5"/>
  <c r="F274" i="5"/>
  <c r="U273" i="5"/>
  <c r="U272" i="5"/>
  <c r="U271" i="5"/>
  <c r="U270" i="5"/>
  <c r="U269" i="5"/>
  <c r="U261" i="5"/>
  <c r="U259" i="5"/>
  <c r="U258" i="5"/>
  <c r="U257" i="5"/>
  <c r="U256" i="5"/>
  <c r="U254" i="5"/>
  <c r="U253" i="5"/>
  <c r="U251" i="5"/>
  <c r="U250" i="5"/>
  <c r="U249" i="5"/>
  <c r="U248" i="5"/>
  <c r="U247" i="5"/>
  <c r="U246" i="5"/>
  <c r="U245" i="5"/>
  <c r="U243" i="5"/>
  <c r="U242" i="5"/>
  <c r="U241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1" i="5"/>
  <c r="F191" i="5"/>
  <c r="F181" i="5"/>
  <c r="F180" i="5"/>
  <c r="F178" i="5"/>
  <c r="F177" i="5"/>
  <c r="F174" i="5"/>
  <c r="F173" i="5"/>
  <c r="F172" i="5"/>
  <c r="F171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U141" i="5"/>
  <c r="F141" i="5"/>
  <c r="U131" i="5"/>
  <c r="F131" i="5"/>
  <c r="U130" i="5"/>
  <c r="F130" i="5"/>
  <c r="U129" i="5"/>
  <c r="F129" i="5"/>
  <c r="U128" i="5"/>
  <c r="F128" i="5"/>
  <c r="U127" i="5"/>
  <c r="F127" i="5"/>
  <c r="U126" i="5"/>
  <c r="F126" i="5"/>
  <c r="U125" i="5"/>
  <c r="F125" i="5"/>
  <c r="U124" i="5"/>
  <c r="F124" i="5"/>
  <c r="U123" i="5"/>
  <c r="F123" i="5"/>
  <c r="U122" i="5"/>
  <c r="F122" i="5"/>
  <c r="U121" i="5"/>
  <c r="F121" i="5"/>
  <c r="U120" i="5"/>
  <c r="F120" i="5"/>
  <c r="U119" i="5"/>
  <c r="F119" i="5"/>
  <c r="U118" i="5"/>
  <c r="F118" i="5"/>
  <c r="U117" i="5"/>
  <c r="F117" i="5"/>
  <c r="U116" i="5"/>
  <c r="F116" i="5"/>
  <c r="U115" i="5"/>
  <c r="F115" i="5"/>
  <c r="U114" i="5"/>
  <c r="F114" i="5"/>
  <c r="U113" i="5"/>
  <c r="F113" i="5"/>
  <c r="U109" i="5"/>
  <c r="F109" i="5"/>
  <c r="U108" i="5"/>
  <c r="F108" i="5"/>
  <c r="U107" i="5"/>
  <c r="F107" i="5"/>
  <c r="U106" i="5"/>
  <c r="F106" i="5"/>
  <c r="U105" i="5"/>
  <c r="F105" i="5"/>
  <c r="U104" i="5"/>
  <c r="F104" i="5"/>
  <c r="U103" i="5"/>
  <c r="F103" i="5"/>
  <c r="U102" i="5"/>
  <c r="F102" i="5"/>
  <c r="U101" i="5"/>
  <c r="F101" i="5"/>
  <c r="U100" i="5"/>
  <c r="F100" i="5"/>
  <c r="U99" i="5"/>
  <c r="F99" i="5"/>
  <c r="U98" i="5"/>
  <c r="F98" i="5"/>
  <c r="U97" i="5"/>
  <c r="F97" i="5"/>
  <c r="U96" i="5"/>
  <c r="F96" i="5"/>
  <c r="U95" i="5"/>
  <c r="F95" i="5"/>
  <c r="U94" i="5"/>
  <c r="F94" i="5"/>
  <c r="U93" i="5"/>
  <c r="F93" i="5"/>
  <c r="U92" i="5"/>
  <c r="F92" i="5"/>
  <c r="U91" i="5"/>
  <c r="F91" i="5"/>
  <c r="U90" i="5"/>
  <c r="F90" i="5"/>
  <c r="U89" i="5"/>
  <c r="F89" i="5"/>
  <c r="U88" i="5"/>
  <c r="F88" i="5"/>
  <c r="U87" i="5"/>
  <c r="U86" i="5"/>
  <c r="F86" i="5"/>
  <c r="U85" i="5"/>
  <c r="F85" i="5"/>
  <c r="U84" i="5"/>
  <c r="F84" i="5"/>
  <c r="U83" i="5"/>
  <c r="F83" i="5"/>
  <c r="U82" i="5"/>
  <c r="F82" i="5"/>
  <c r="U81" i="5"/>
  <c r="F81" i="5"/>
  <c r="U80" i="5"/>
  <c r="F80" i="5"/>
  <c r="U79" i="5"/>
  <c r="F79" i="5"/>
  <c r="U78" i="5"/>
  <c r="F78" i="5"/>
  <c r="U77" i="5"/>
  <c r="U76" i="5"/>
  <c r="F76" i="5"/>
  <c r="U75" i="5"/>
  <c r="F75" i="5"/>
  <c r="U74" i="5"/>
  <c r="F74" i="5"/>
  <c r="U73" i="5"/>
  <c r="F73" i="5"/>
  <c r="U72" i="5"/>
  <c r="F72" i="5"/>
  <c r="U71" i="5"/>
  <c r="F71" i="5"/>
  <c r="U70" i="5"/>
  <c r="F70" i="5"/>
  <c r="U39" i="5"/>
  <c r="U38" i="5"/>
  <c r="U13" i="5"/>
  <c r="U8" i="5"/>
  <c r="F8" i="5"/>
  <c r="U7" i="5"/>
  <c r="F7" i="5"/>
  <c r="U6" i="5"/>
  <c r="F6" i="5"/>
  <c r="F451" i="5" l="1"/>
  <c r="F483" i="5"/>
  <c r="U69" i="2" l="1"/>
  <c r="U75" i="2"/>
  <c r="U76" i="2"/>
</calcChain>
</file>

<file path=xl/sharedStrings.xml><?xml version="1.0" encoding="utf-8"?>
<sst xmlns="http://schemas.openxmlformats.org/spreadsheetml/2006/main" count="1730" uniqueCount="488">
  <si>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</si>
  <si>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</si>
  <si>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</si>
  <si>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</si>
  <si>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</si>
  <si>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</si>
  <si>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</si>
  <si>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</si>
  <si>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</si>
  <si>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</si>
  <si>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</si>
  <si>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</si>
  <si>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</si>
  <si>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</si>
  <si>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</si>
  <si>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</si>
  <si>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</si>
  <si>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</si>
  <si>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</si>
  <si>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</si>
  <si>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</si>
  <si>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GOK</t>
  </si>
  <si>
    <t>KSRIC</t>
  </si>
  <si>
    <t>Direct Procurement</t>
  </si>
  <si>
    <t>√</t>
  </si>
  <si>
    <t>2.Medical and veterinary supplies consumables</t>
  </si>
  <si>
    <t>4.TOOLS  AND EQUIPMENT</t>
  </si>
  <si>
    <t>RFQ</t>
  </si>
  <si>
    <t>5. VEHICLE MAITAINANCE AND FUEL</t>
  </si>
  <si>
    <t>Service of motor vehicles</t>
  </si>
  <si>
    <t>6. Uniforms and Protective gears</t>
  </si>
  <si>
    <t>7. Laboratory supplies non  consumables</t>
  </si>
  <si>
    <t>Eye wash and mounted station</t>
  </si>
  <si>
    <t>Refrigerator (-20° C, +4 °C)</t>
  </si>
  <si>
    <t>Biosafety cabinet Class II B2</t>
  </si>
  <si>
    <t>Beddings</t>
  </si>
  <si>
    <t>UNIT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</si>
  <si>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</si>
  <si>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</si>
  <si>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</si>
  <si>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</si>
  <si>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</si>
  <si>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</si>
  <si>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</si>
  <si>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SDS Powder</t>
  </si>
  <si>
    <t>Glycerol</t>
  </si>
  <si>
    <t>Acetic acid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</si>
  <si>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</si>
  <si>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</si>
  <si>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</si>
  <si>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</si>
  <si>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</si>
  <si>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</si>
  <si>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</si>
  <si>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</si>
  <si>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</si>
  <si>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</si>
  <si>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</si>
  <si>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</si>
  <si>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</si>
  <si>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</si>
  <si>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0.2 µm filter, Nalgene rapid flow sterile disposable filter units with PES membranes(pack of 12)</t>
  </si>
  <si>
    <t>No</t>
  </si>
  <si>
    <t>Microplate Spectophotometer (Preferred wavelength range 200 -999 nm)</t>
  </si>
  <si>
    <t>Illumina Hiseq 2500</t>
  </si>
  <si>
    <t>Pkt</t>
  </si>
  <si>
    <t>Soy Milk</t>
  </si>
  <si>
    <t>Coating Buffer Tablets</t>
  </si>
  <si>
    <t xml:space="preserve">Citric Acid </t>
  </si>
  <si>
    <t>ABTZ Tablets</t>
  </si>
  <si>
    <t>Tips (1000ul)blue</t>
  </si>
  <si>
    <t>Columns ( Sephadex G25 desalting column, RP-HPLC, Hydrophobic interactions columns)</t>
  </si>
  <si>
    <t>nos</t>
  </si>
  <si>
    <t>litres</t>
  </si>
  <si>
    <t>pcs</t>
  </si>
  <si>
    <t>NOS</t>
  </si>
  <si>
    <t>PKT</t>
  </si>
  <si>
    <t>Purified protease from bovine plasma</t>
  </si>
  <si>
    <t>DNA from calf thymus</t>
  </si>
  <si>
    <t>kg</t>
  </si>
  <si>
    <t>Agarose  500g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</si>
  <si>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</si>
  <si>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</si>
  <si>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</si>
  <si>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</si>
  <si>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</si>
  <si>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</si>
  <si>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</si>
  <si>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</si>
  <si>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</si>
  <si>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</si>
  <si>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</si>
  <si>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</si>
  <si>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</si>
  <si>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</si>
  <si>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</si>
  <si>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</si>
  <si>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</si>
  <si>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 xml:space="preserve">Transblot transfer system </t>
  </si>
  <si>
    <t>IgG purification kit</t>
  </si>
  <si>
    <t>Dialysis cassettes</t>
  </si>
  <si>
    <t xml:space="preserve"> 0.22 µm filters</t>
  </si>
  <si>
    <t>pepsin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</si>
  <si>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</si>
  <si>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</si>
  <si>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</si>
  <si>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</si>
  <si>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</si>
  <si>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</si>
  <si>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</si>
  <si>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</si>
  <si>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</si>
  <si>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</si>
  <si>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bag</t>
  </si>
  <si>
    <t>cotton wool</t>
  </si>
  <si>
    <t>formaldehyde</t>
  </si>
  <si>
    <t>surgical spirit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</si>
  <si>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</si>
  <si>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</si>
  <si>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</si>
  <si>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</si>
  <si>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</si>
  <si>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</si>
  <si>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</si>
  <si>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</si>
  <si>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</si>
  <si>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</si>
  <si>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</si>
  <si>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</si>
  <si>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</si>
  <si>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</si>
  <si>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</si>
  <si>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</si>
  <si>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</si>
  <si>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</si>
  <si>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</si>
  <si>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</si>
  <si>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</si>
  <si>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</si>
  <si>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</si>
  <si>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</si>
  <si>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Medium centrifuge</t>
  </si>
  <si>
    <t>lab stools</t>
  </si>
  <si>
    <t>Vortexer</t>
  </si>
  <si>
    <t>Eye wash and mounted stations</t>
  </si>
  <si>
    <t>Power supply extension</t>
  </si>
  <si>
    <t>UPS</t>
  </si>
  <si>
    <t>Water distiller system</t>
  </si>
  <si>
    <t>Laboratory renovations</t>
  </si>
  <si>
    <t>14.TRAINING,WORKSHOPS AND CONFERENCES</t>
  </si>
  <si>
    <t xml:space="preserve">STAFF TRAINING </t>
  </si>
  <si>
    <t>15.AIR TICKETS EXPENSES</t>
  </si>
  <si>
    <t>tickets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</si>
  <si>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</si>
  <si>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</si>
  <si>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</si>
  <si>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</si>
  <si>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</si>
  <si>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</si>
  <si>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</si>
  <si>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</si>
  <si>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</si>
  <si>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</si>
  <si>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</si>
  <si>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</si>
  <si>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</si>
  <si>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</si>
  <si>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</si>
  <si>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</si>
  <si>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</si>
  <si>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</si>
  <si>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</si>
  <si>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</si>
  <si>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</si>
  <si>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</si>
  <si>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</si>
  <si>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</si>
  <si>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</si>
  <si>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</si>
  <si>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</si>
  <si>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</si>
  <si>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</si>
  <si>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</si>
  <si>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</si>
  <si>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</si>
  <si>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</si>
  <si>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</si>
  <si>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</si>
  <si>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</si>
  <si>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</si>
  <si>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</si>
  <si>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</si>
  <si>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</si>
  <si>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</si>
  <si>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</si>
  <si>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</si>
  <si>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</si>
  <si>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</si>
  <si>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</si>
  <si>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</si>
  <si>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</si>
  <si>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</si>
  <si>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</si>
  <si>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</si>
  <si>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</si>
  <si>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</si>
  <si>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</si>
  <si>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</si>
  <si>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</si>
  <si>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</si>
  <si>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</si>
  <si>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</si>
  <si>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</si>
  <si>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</si>
  <si>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</si>
  <si>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</si>
  <si>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</si>
  <si>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</si>
  <si>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</si>
  <si>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</si>
  <si>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</si>
  <si>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</si>
  <si>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</si>
  <si>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</si>
  <si>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</si>
  <si>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</si>
  <si>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</si>
  <si>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</si>
  <si>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</si>
  <si>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</si>
  <si>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</si>
  <si>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</si>
  <si>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</si>
  <si>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</si>
  <si>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</si>
  <si>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</si>
  <si>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</si>
  <si>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</si>
  <si>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</si>
  <si>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</si>
  <si>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</si>
  <si>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</si>
  <si>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</si>
  <si>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</si>
  <si>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</si>
  <si>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</si>
  <si>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</si>
  <si>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</si>
  <si>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</si>
  <si>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</si>
  <si>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</si>
  <si>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</si>
  <si>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</si>
  <si>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</si>
  <si>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</si>
  <si>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</si>
  <si>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</si>
  <si>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</si>
  <si>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</si>
  <si>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</si>
  <si>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</si>
  <si>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</si>
  <si>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</si>
  <si>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</si>
  <si>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</si>
  <si>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</si>
  <si>
    <t>30 gauge insulin/trajector syringes</t>
  </si>
  <si>
    <t xml:space="preserve">Oxytetracycline </t>
  </si>
  <si>
    <t>100ml</t>
  </si>
  <si>
    <t>Penstrep</t>
  </si>
  <si>
    <t xml:space="preserve">100ml </t>
  </si>
  <si>
    <t xml:space="preserve">200g </t>
  </si>
  <si>
    <t xml:space="preserve">Piperazin </t>
  </si>
  <si>
    <t>100g</t>
  </si>
  <si>
    <t>Albafas 10%</t>
  </si>
  <si>
    <t>1liter</t>
  </si>
  <si>
    <t>Hydrogen peroxide</t>
  </si>
  <si>
    <t>200ml</t>
  </si>
  <si>
    <t>500ml</t>
  </si>
  <si>
    <t>Ivermectin</t>
  </si>
  <si>
    <t>Iodine</t>
  </si>
  <si>
    <t>Jik</t>
  </si>
  <si>
    <t>20ml ordinary syringe</t>
  </si>
  <si>
    <t>5ml Ordinary syringe</t>
  </si>
  <si>
    <t>SAIMR monovalent antivenom(Boomslang), EchiTab-Plus monovalent antivenom , Saimr polyvalent</t>
  </si>
  <si>
    <t>Glycine</t>
  </si>
  <si>
    <t>Dried skimmed milk (500grams)</t>
  </si>
  <si>
    <t>Pkts</t>
  </si>
  <si>
    <t xml:space="preserve">β-mercaptoethanol </t>
  </si>
  <si>
    <t>100bp DNA ladder</t>
  </si>
  <si>
    <t>Acrylamide</t>
  </si>
  <si>
    <t>1kb DNA ladder</t>
  </si>
  <si>
    <t>DNA loading dye</t>
  </si>
  <si>
    <t>TEMED</t>
  </si>
  <si>
    <t>Bis-acrylamide</t>
  </si>
  <si>
    <t>Bovine serum albumin (1mg/ml)</t>
  </si>
  <si>
    <t>Purified horse IgG (1mg/ml)</t>
  </si>
  <si>
    <t>DNA purification kit (EXOSAP)</t>
  </si>
  <si>
    <t>Big dye sequencing kit</t>
  </si>
  <si>
    <t>tin</t>
  </si>
  <si>
    <t>Unstained protein ladder (100-250 kDa (2vials)</t>
  </si>
  <si>
    <t>Prestained protein ladder (100-250 kDa (2 vials)</t>
  </si>
  <si>
    <t>vials</t>
  </si>
  <si>
    <t>Mini Centrifuge  (PCR tubes)</t>
  </si>
  <si>
    <t>Ultra-Performance Liquid
Chromatography (1290 Infinity II, Agilent Technologies)</t>
  </si>
  <si>
    <t>Electroporation cuvettes</t>
  </si>
  <si>
    <t>Protein A/G affinity chromatography columns (HiTrap Protein A HP 5ml and HiTrap Protein G HP 5ml)</t>
  </si>
  <si>
    <t xml:space="preserve">bottle </t>
  </si>
  <si>
    <t>Molecular grade water (500ml)</t>
  </si>
  <si>
    <t xml:space="preserve">CO2 Incubator </t>
  </si>
  <si>
    <t>Bottle</t>
  </si>
  <si>
    <t>TAE X10 (5 liter)</t>
  </si>
  <si>
    <t>Mass spectrometry (service)</t>
  </si>
  <si>
    <t>Horseradish Peroxidase-Conjugated Rabbit anti-horse 1gG secondary antibody</t>
  </si>
  <si>
    <t>bottle</t>
  </si>
  <si>
    <t>CaCL2  (500grams)</t>
  </si>
  <si>
    <t>NaOH (500g)</t>
  </si>
  <si>
    <t>NaCL (500g)</t>
  </si>
  <si>
    <t>0.45 μm  nitrocellulose membrane</t>
  </si>
  <si>
    <t>Diaminobenzidine (DAB) substrate</t>
  </si>
  <si>
    <t>Caprylic acid (500grams)</t>
  </si>
  <si>
    <t>ammonium sulfate (500 grams)</t>
  </si>
  <si>
    <t>Ammonium persulfate (500g)</t>
  </si>
  <si>
    <t xml:space="preserve">Dnase from bovine pancreas </t>
  </si>
  <si>
    <t>KWS research permit</t>
  </si>
  <si>
    <t>Diesel(fuel) for snake capture work in 15 counties</t>
  </si>
  <si>
    <t>Yeast Extract (250g)</t>
  </si>
  <si>
    <t>D-Sorbitol (500g)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</si>
  <si>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</si>
  <si>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</si>
  <si>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</si>
  <si>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</si>
  <si>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</si>
  <si>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</si>
  <si>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</si>
  <si>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anti-llama antibody</t>
  </si>
  <si>
    <t>Monoclonal Antibody Sequency</t>
  </si>
  <si>
    <t>Samples</t>
  </si>
  <si>
    <t>Biotrim-Vet</t>
  </si>
  <si>
    <t>Snake beddings/old newspapers</t>
  </si>
  <si>
    <t>Kg</t>
  </si>
  <si>
    <t>Mice cubes</t>
  </si>
  <si>
    <t>50kg bag</t>
  </si>
  <si>
    <t>Ground nuts</t>
  </si>
  <si>
    <t>Chicks for snake feeding</t>
  </si>
  <si>
    <t>PAX</t>
  </si>
  <si>
    <t>Develop monitoring and evaluation framework tools for SAPP project (10days workshop for 22pax</t>
  </si>
  <si>
    <t>Conduct mid-year review of SAPP of SAPP project performance</t>
  </si>
  <si>
    <t>ISO Staff sensitization: Group 1</t>
  </si>
  <si>
    <t>ISO Staff sensitization: Group 2</t>
  </si>
  <si>
    <t>ISO Staff sensitization: Group 3</t>
  </si>
  <si>
    <t>ISO Staff sensitization: Group 4</t>
  </si>
  <si>
    <t>ISO Auditors training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</si>
  <si>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</si>
  <si>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</si>
  <si>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</si>
  <si>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</si>
  <si>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</si>
  <si>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</si>
  <si>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</si>
  <si>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</si>
  <si>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</si>
  <si>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</si>
  <si>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</si>
  <si>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</si>
  <si>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</si>
  <si>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</si>
  <si>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</si>
  <si>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</si>
  <si>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</si>
  <si>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</si>
  <si>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 xml:space="preserve">SUMMARY OF PROCUREMENT PLAN </t>
  </si>
  <si>
    <t>11.Animal Feeds(Snakes &amp; Rodents)</t>
  </si>
  <si>
    <t>12.Training,Workshops and Conferences</t>
  </si>
  <si>
    <t>13.Air Ticket Expenses</t>
  </si>
  <si>
    <t>16.Stationery and Printing</t>
  </si>
  <si>
    <t>Snake Enrichment Devices/Materials</t>
  </si>
  <si>
    <t>Vehicle Maintenance and Fuel</t>
  </si>
  <si>
    <t>Laboratory Chemicals, Reagents and kits</t>
  </si>
  <si>
    <t>Animal Feeds(Snakes &amp; Rodents)</t>
  </si>
  <si>
    <t>Training,Workshops and Conferences</t>
  </si>
  <si>
    <t>Air Ticket Expenses</t>
  </si>
  <si>
    <t>Stationery and Printing</t>
  </si>
  <si>
    <t>AMOUNT</t>
  </si>
  <si>
    <t>TOTAL</t>
  </si>
  <si>
    <t>Purchase Of Animals</t>
  </si>
  <si>
    <t>KENYA SNAKE BITE ANTIVENOM PROCUREMENT PLAN 2024-2025</t>
  </si>
  <si>
    <t>muiltivitamin</t>
  </si>
  <si>
    <t>First Aid kit/Snake emergecy kit</t>
  </si>
  <si>
    <t>Spot Vital Signs Monitor</t>
  </si>
  <si>
    <t>Dissecting kit</t>
  </si>
  <si>
    <t>pax</t>
  </si>
  <si>
    <t xml:space="preserve">Analytical weighing balance </t>
  </si>
  <si>
    <t>Liquid nitrogen tank (50ml)</t>
  </si>
  <si>
    <t>Refrigerator double door 635 litres (+4,-20)</t>
  </si>
  <si>
    <t xml:space="preserve"> Electric Inverter APC 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</si>
  <si>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</si>
  <si>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</si>
  <si>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</si>
  <si>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</si>
  <si>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</si>
  <si>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</si>
  <si>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</si>
  <si>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</si>
  <si>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</si>
  <si>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</si>
  <si>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</si>
  <si>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</si>
  <si>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</si>
  <si>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Equipment maintenance and servicing</t>
  </si>
  <si>
    <t>11.maintainance of lab equipments</t>
  </si>
  <si>
    <t>3.Medical tools  and veterinary supplies non consumbles</t>
  </si>
  <si>
    <t>Parafilm</t>
  </si>
  <si>
    <t>Roll</t>
  </si>
  <si>
    <t>Cellotape Hard &amp; Transparent</t>
  </si>
  <si>
    <t>Paper Towel</t>
  </si>
  <si>
    <t>Snake Enrichment devices/materials</t>
  </si>
  <si>
    <t>Trap boxes/snake hiding boxes</t>
  </si>
  <si>
    <t>Snake drinking water bowls</t>
  </si>
  <si>
    <t xml:space="preserve">No. </t>
  </si>
  <si>
    <t>Snake hiding basins</t>
  </si>
  <si>
    <t>Animal feeding (snakes &amp; Rodents)</t>
  </si>
  <si>
    <t>Mice Beddings/wood chips</t>
  </si>
  <si>
    <t>Bag</t>
  </si>
  <si>
    <t>Bijous Bottles</t>
  </si>
  <si>
    <t>Pcs</t>
  </si>
  <si>
    <t>SPECIAL GROUP CATEGORIES</t>
  </si>
  <si>
    <t>Total Allocation to  the reserved Category</t>
  </si>
  <si>
    <t>Total Procurement</t>
  </si>
  <si>
    <t xml:space="preserve"> </t>
  </si>
  <si>
    <t xml:space="preserve">Reserved Percentage </t>
  </si>
  <si>
    <t>Conference for 10 pax 5 days in 2 counties</t>
  </si>
  <si>
    <t>Conference  for 5 pax 5 days in 1 county</t>
  </si>
  <si>
    <t>Conference  for 15 pax 1 day in 6 counties</t>
  </si>
  <si>
    <t>Conference for 20 pax 10days in 1 county</t>
  </si>
  <si>
    <t>Vehicle Maintainance</t>
  </si>
  <si>
    <t>Air Tickets</t>
  </si>
  <si>
    <t>Printing materials for 6 counties</t>
  </si>
  <si>
    <t xml:space="preserve">SEVERAL </t>
  </si>
  <si>
    <t>Primer design</t>
  </si>
  <si>
    <t>DNA miniprep kit</t>
  </si>
  <si>
    <t>Cryovials</t>
  </si>
  <si>
    <t>Cryoboxes</t>
  </si>
  <si>
    <t>Histopaque</t>
  </si>
  <si>
    <t>RPMI-1640</t>
  </si>
  <si>
    <t>PBS (10x)</t>
  </si>
  <si>
    <t>Lysis buffer</t>
  </si>
  <si>
    <t>Hepes</t>
  </si>
  <si>
    <t>FBS</t>
  </si>
  <si>
    <t>L-glutamin</t>
  </si>
  <si>
    <t>Penicilin-streptomycin</t>
  </si>
  <si>
    <t>Hanks Balanced Solution</t>
  </si>
  <si>
    <t>Dimethyl Sulfoxate</t>
  </si>
  <si>
    <t>2ml ordinary syringe</t>
  </si>
  <si>
    <t>Vacutainer tubes EDTA (10ml)</t>
  </si>
  <si>
    <t>Vacutainer tubes clot activator (10ml)</t>
  </si>
  <si>
    <t>Vacutainer tube holder</t>
  </si>
  <si>
    <t>Vacutainer needles</t>
  </si>
  <si>
    <t>Gauge  21 ordinary needles</t>
  </si>
  <si>
    <t>Fuel</t>
  </si>
  <si>
    <t>Snake capture fuel</t>
  </si>
  <si>
    <t>litrs</t>
  </si>
  <si>
    <t>Camel immunization fuel cost</t>
  </si>
  <si>
    <t>Mice cubes 50 KG</t>
  </si>
  <si>
    <t>KG</t>
  </si>
  <si>
    <t>Ksric</t>
  </si>
  <si>
    <t>media expenses</t>
  </si>
  <si>
    <t>Data collection material .printing of questionares for 3 counties in english,kiswahili and native language( kitui,turkana and siaya</t>
  </si>
  <si>
    <t xml:space="preserve"> SNAKE BITE RESEARCH ANTI VENOM PRODUCTION PROCUREMENT PLAN 2023-2024 quarter 4 april -june2024</t>
  </si>
  <si>
    <t>publicity for launch of ASA LAUNCH</t>
  </si>
  <si>
    <t>Entertainment</t>
  </si>
  <si>
    <t>severral</t>
  </si>
  <si>
    <t>Conference for 20 pax 5 days in 2 counties</t>
  </si>
  <si>
    <t>Conference for 10 pax 4days in 3 counties</t>
  </si>
  <si>
    <t>Conference for 5 pax  4 days in 1 county</t>
  </si>
  <si>
    <t>Conference 25 pax5 days in 1 counties</t>
  </si>
  <si>
    <t>Training materials</t>
  </si>
  <si>
    <t>severals</t>
  </si>
  <si>
    <t>Medical and veterinary consumables</t>
  </si>
  <si>
    <t>1.Medical and Veterinary Supplies Consumables</t>
  </si>
  <si>
    <t>2.Snake Enrichment Devices/Materials</t>
  </si>
  <si>
    <t>3. Vehicle Maintenance and Fuel</t>
  </si>
  <si>
    <t>4.Laboratory Chemicals, Reagents and kits</t>
  </si>
  <si>
    <t>Catering services</t>
  </si>
  <si>
    <t>Catering Services</t>
  </si>
  <si>
    <t>Publicity and advocacy expenses</t>
  </si>
  <si>
    <t>17.Publicity and advocacy expenses</t>
  </si>
  <si>
    <t>21.Catering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</si>
</sst>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/>
    <xf numFmtId="0" fontId="1" fillId="0" borderId="1" xfId="0" applyFont="1" applyBorder="1"/>
    <xf numFmtId="43" fontId="0" fillId="0" borderId="1" xfId="1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left"/>
    </xf>
    <xf numFmtId="0" fontId="5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4" fillId="0" borderId="1" xfId="0" applyFont="1" applyBorder="1" applyAlignment="1">
      <alignment vertical="center" wrapText="1"/>
    </xf>
    <xf numFmtId="43" fontId="0" fillId="2" borderId="1" xfId="1" applyFont="1" applyFill="1" applyBorder="1"/>
    <xf numFmtId="0" fontId="0" fillId="0" borderId="3" xfId="0" applyBorder="1"/>
    <xf numFmtId="0" fontId="0" fillId="0" borderId="1" xfId="0" applyBorder="1" applyAlignment="1">
      <alignment wrapText="1"/>
    </xf>
    <xf numFmtId="0" fontId="6" fillId="0" borderId="1" xfId="0" applyFont="1" applyBorder="1"/>
    <xf numFmtId="3" fontId="0" fillId="0" borderId="1" xfId="0" applyNumberFormat="1" applyBorder="1"/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3" borderId="1" xfId="0" applyFill="1" applyBorder="1"/>
    <xf numFmtId="43" fontId="0" fillId="3" borderId="1" xfId="1" applyFont="1" applyFill="1" applyBorder="1"/>
    <xf numFmtId="0" fontId="5" fillId="3" borderId="1" xfId="0" applyFont="1" applyFill="1" applyBorder="1"/>
    <xf numFmtId="0" fontId="4" fillId="4" borderId="1" xfId="0" applyFont="1" applyFill="1" applyBorder="1" applyAlignment="1">
      <alignment vertical="center" wrapText="1"/>
    </xf>
    <xf numFmtId="43" fontId="0" fillId="4" borderId="1" xfId="1" applyFont="1" applyFill="1" applyBorder="1"/>
    <xf numFmtId="164" fontId="0" fillId="4" borderId="1" xfId="0" applyNumberFormat="1" applyFill="1" applyBorder="1"/>
    <xf numFmtId="0" fontId="0" fillId="4" borderId="0" xfId="0" applyFill="1"/>
    <xf numFmtId="0" fontId="1" fillId="4" borderId="1" xfId="0" applyFont="1" applyFill="1" applyBorder="1"/>
    <xf numFmtId="43" fontId="0" fillId="2" borderId="0" xfId="0" applyNumberFormat="1" applyFill="1"/>
    <xf numFmtId="43" fontId="0" fillId="0" borderId="3" xfId="1" applyFont="1" applyFill="1" applyBorder="1"/>
    <xf numFmtId="0" fontId="0" fillId="3" borderId="1" xfId="0" applyFill="1" applyBorder="1" applyAlignment="1">
      <alignment wrapText="1"/>
    </xf>
    <xf numFmtId="164" fontId="0" fillId="2" borderId="1" xfId="0" applyNumberFormat="1" applyFill="1" applyBorder="1"/>
    <xf numFmtId="0" fontId="1" fillId="2" borderId="1" xfId="0" applyFont="1" applyFill="1" applyBorder="1"/>
    <xf numFmtId="0" fontId="8" fillId="2" borderId="1" xfId="0" applyFont="1" applyFill="1" applyBorder="1"/>
    <xf numFmtId="164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0" fontId="4" fillId="0" borderId="3" xfId="0" applyFont="1" applyBorder="1" applyAlignment="1">
      <alignment vertical="center" wrapText="1"/>
    </xf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43" fontId="9" fillId="0" borderId="1" xfId="1" applyFont="1" applyBorder="1"/>
    <xf numFmtId="0" fontId="11" fillId="0" borderId="1" xfId="0" applyFont="1" applyBorder="1"/>
    <xf numFmtId="0" fontId="12" fillId="2" borderId="1" xfId="0" applyFont="1" applyFill="1" applyBorder="1" applyAlignment="1">
      <alignment vertical="center" wrapText="1"/>
    </xf>
    <xf numFmtId="43" fontId="11" fillId="0" borderId="1" xfId="1" applyFont="1" applyBorder="1"/>
    <xf numFmtId="0" fontId="13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center"/>
    </xf>
    <xf numFmtId="43" fontId="0" fillId="0" borderId="1" xfId="1" applyFont="1" applyBorder="1" applyAlignment="1">
      <alignment wrapText="1"/>
    </xf>
    <xf numFmtId="0" fontId="14" fillId="0" borderId="1" xfId="0" applyFont="1" applyBorder="1"/>
    <xf numFmtId="43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164" fontId="0" fillId="5" borderId="1" xfId="0" applyNumberFormat="1" applyFill="1" applyBorder="1"/>
    <xf numFmtId="43" fontId="2" fillId="2" borderId="1" xfId="1" applyFont="1" applyFill="1" applyBorder="1"/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3" borderId="1" xfId="0" applyFont="1" applyFill="1" applyBorder="1" applyAlignment="1">
      <alignment vertical="center" wrapText="1"/>
    </xf>
    <xf numFmtId="3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1" fillId="0" borderId="1" xfId="1" applyFont="1" applyBorder="1"/>
    <xf numFmtId="43" fontId="1" fillId="2" borderId="1" xfId="1" applyFont="1" applyFill="1" applyBorder="1"/>
    <xf numFmtId="0" fontId="11" fillId="2" borderId="1" xfId="0" applyFont="1" applyFill="1" applyBorder="1"/>
    <xf numFmtId="43" fontId="1" fillId="2" borderId="1" xfId="0" applyNumberFormat="1" applyFont="1" applyFill="1" applyBorder="1"/>
    <xf numFmtId="43" fontId="1" fillId="5" borderId="1" xfId="1" applyFont="1" applyFill="1" applyBorder="1"/>
    <xf numFmtId="43" fontId="4" fillId="2" borderId="1" xfId="1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 wrapText="1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43" fontId="4" fillId="5" borderId="1" xfId="1" applyFont="1" applyFill="1" applyBorder="1"/>
    <xf numFmtId="0" fontId="4" fillId="5" borderId="1" xfId="0" applyFont="1" applyFill="1" applyBorder="1" applyAlignment="1">
      <alignment wrapText="1"/>
    </xf>
    <xf numFmtId="3" fontId="4" fillId="5" borderId="1" xfId="0" applyNumberFormat="1" applyFont="1" applyFill="1" applyBorder="1" applyAlignment="1">
      <alignment horizontal="center" wrapText="1"/>
    </xf>
    <xf numFmtId="3" fontId="4" fillId="5" borderId="1" xfId="0" applyNumberFormat="1" applyFont="1" applyFill="1" applyBorder="1"/>
    <xf numFmtId="0" fontId="16" fillId="5" borderId="1" xfId="0" applyFont="1" applyFill="1" applyBorder="1"/>
    <xf numFmtId="0" fontId="1" fillId="0" borderId="0" xfId="0" applyFont="1"/>
    <xf numFmtId="43" fontId="1" fillId="0" borderId="1" xfId="0" applyNumberFormat="1" applyFont="1" applyBorder="1"/>
    <xf numFmtId="4" fontId="0" fillId="0" borderId="0" xfId="0" applyNumberFormat="1"/>
    <xf numFmtId="43" fontId="1" fillId="0" borderId="0" xfId="1" applyFont="1" applyAlignment="1">
      <alignment horizontal="center"/>
    </xf>
    <xf numFmtId="3" fontId="1" fillId="0" borderId="1" xfId="0" applyNumberFormat="1" applyFont="1" applyBorder="1"/>
    <xf numFmtId="0" fontId="0" fillId="2" borderId="10" xfId="0" applyFill="1" applyBorder="1"/>
    <xf numFmtId="0" fontId="15" fillId="2" borderId="0" xfId="0" applyFont="1" applyFill="1"/>
    <xf numFmtId="43" fontId="0" fillId="2" borderId="10" xfId="1" applyFont="1" applyFill="1" applyBorder="1"/>
    <xf numFmtId="0" fontId="0" fillId="2" borderId="1" xfId="0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3" fontId="2" fillId="0" borderId="1" xfId="1" applyFont="1" applyBorder="1"/>
    <xf numFmtId="43" fontId="0" fillId="0" borderId="0" xfId="1" applyFont="1"/>
    <xf numFmtId="43" fontId="1" fillId="0" borderId="0" xfId="1" applyFont="1"/>
    <xf numFmtId="0" fontId="15" fillId="2" borderId="1" xfId="0" applyFont="1" applyFill="1" applyBorder="1" applyAlignment="1">
      <alignment vertical="center" wrapText="1"/>
    </xf>
    <xf numFmtId="43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2" borderId="1" xfId="0" applyFill="1" applyBorder="1"/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7" fillId="2" borderId="7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523875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187911" y="163267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136"/>
  <sheetViews>
    <sheetView tabSelected="1" topLeftCell="A111" zoomScaleNormal="100" workbookViewId="0">
      <selection activeCell="B126" sqref="B126"/>
    </sheetView>
  </sheetViews>
  <sheetFormatPr defaultRowHeight="14.5" x14ac:dyDescent="0.35"/>
  <cols>
    <col min="1" max="1" width="15" customWidth="1"/>
    <col min="2" max="2" width="38.26953125" customWidth="1"/>
    <col min="3" max="3" width="7.81640625" customWidth="1"/>
    <col min="4" max="4" width="9.26953125" customWidth="1"/>
    <col min="5" max="5" width="16.7265625" customWidth="1"/>
    <col min="6" max="6" width="20.81640625" customWidth="1"/>
    <col min="7" max="7" width="10" customWidth="1"/>
    <col min="8" max="8" width="28.453125" customWidth="1"/>
    <col min="9" max="9" width="11.7265625" customWidth="1"/>
    <col min="20" max="20" width="9.7265625" customWidth="1"/>
    <col min="21" max="21" width="16.1796875" customWidth="1"/>
  </cols>
  <sheetData>
    <row r="1" spans="1:21" x14ac:dyDescent="0.35">
      <c r="E1" s="122" t="s">
        <v>468</v>
      </c>
      <c r="F1" s="122"/>
      <c r="G1" s="122"/>
      <c r="H1" s="122"/>
    </row>
    <row r="2" spans="1:21" ht="29" x14ac:dyDescent="0.35">
      <c r="A2" s="2"/>
      <c r="B2" s="28" t="s">
        <v>0</v>
      </c>
      <c r="C2" s="28" t="s">
        <v>36</v>
      </c>
      <c r="D2" s="2" t="s">
        <v>1</v>
      </c>
      <c r="E2" s="28" t="s">
        <v>2</v>
      </c>
      <c r="F2" s="28" t="s">
        <v>3</v>
      </c>
      <c r="G2" s="28" t="s">
        <v>4</v>
      </c>
      <c r="H2" s="28" t="s">
        <v>5</v>
      </c>
      <c r="I2" s="28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34" t="s">
        <v>10</v>
      </c>
      <c r="O2" s="135"/>
      <c r="P2" s="135"/>
      <c r="Q2" s="135"/>
      <c r="R2" s="135"/>
      <c r="S2" s="135"/>
      <c r="T2" s="135"/>
      <c r="U2" s="136"/>
    </row>
    <row r="3" spans="1:21" x14ac:dyDescent="0.35">
      <c r="A3" s="3"/>
      <c r="B3" s="83"/>
      <c r="C3" s="1"/>
      <c r="D3" s="1"/>
      <c r="E3" s="1"/>
      <c r="F3" s="1"/>
      <c r="G3" s="1"/>
      <c r="H3" s="1"/>
      <c r="I3" s="73"/>
      <c r="J3" s="1"/>
      <c r="K3" s="1"/>
      <c r="L3" s="1"/>
      <c r="M3" s="1"/>
      <c r="N3" s="1"/>
      <c r="O3" s="1"/>
      <c r="P3" s="1"/>
      <c r="Q3" s="12"/>
    </row>
    <row r="4" spans="1:21" x14ac:dyDescent="0.35">
      <c r="A4" s="2" t="s">
        <v>479</v>
      </c>
      <c r="B4" s="2"/>
      <c r="C4" s="2"/>
      <c r="D4" s="1"/>
      <c r="E4" s="3"/>
      <c r="F4" s="83"/>
      <c r="G4" s="1"/>
      <c r="H4" s="1"/>
      <c r="I4" s="1"/>
      <c r="J4" s="1"/>
      <c r="K4" s="1"/>
      <c r="L4" s="1"/>
      <c r="M4" s="75"/>
      <c r="N4" s="1"/>
      <c r="O4" s="1"/>
      <c r="P4" s="1"/>
      <c r="Q4" s="1"/>
      <c r="R4" s="1"/>
      <c r="S4" s="1"/>
      <c r="T4" s="1"/>
      <c r="U4" s="12"/>
    </row>
    <row r="5" spans="1:21" ht="15.5" x14ac:dyDescent="0.35">
      <c r="A5" s="1">
        <v>1</v>
      </c>
      <c r="B5" s="13" t="s">
        <v>114</v>
      </c>
      <c r="C5" s="1" t="s">
        <v>72</v>
      </c>
      <c r="D5" s="21">
        <v>1</v>
      </c>
      <c r="E5" s="3">
        <v>600</v>
      </c>
      <c r="F5" s="111">
        <f>D5*E5</f>
        <v>600</v>
      </c>
      <c r="G5" s="1" t="s">
        <v>22</v>
      </c>
      <c r="H5" s="1" t="s">
        <v>27</v>
      </c>
      <c r="I5" s="1" t="s">
        <v>21</v>
      </c>
      <c r="J5" s="1"/>
      <c r="K5" s="1"/>
      <c r="L5" s="1"/>
      <c r="M5" s="73" t="s">
        <v>24</v>
      </c>
      <c r="N5" s="1"/>
      <c r="O5" s="1"/>
      <c r="P5" s="1"/>
      <c r="Q5" s="1"/>
      <c r="R5" s="1"/>
      <c r="S5" s="1"/>
      <c r="T5" s="21">
        <v>1</v>
      </c>
      <c r="U5" s="12">
        <f>D5*E5</f>
        <v>600</v>
      </c>
    </row>
    <row r="6" spans="1:21" ht="15.5" x14ac:dyDescent="0.35">
      <c r="A6" s="1">
        <v>2</v>
      </c>
      <c r="B6" s="13" t="s">
        <v>116</v>
      </c>
      <c r="C6" s="1" t="s">
        <v>72</v>
      </c>
      <c r="D6" s="21">
        <v>1</v>
      </c>
      <c r="E6" s="3">
        <v>2600</v>
      </c>
      <c r="F6" s="111">
        <f t="shared" ref="F6:F13" si="0">D6*E6</f>
        <v>2600</v>
      </c>
      <c r="G6" s="1" t="s">
        <v>22</v>
      </c>
      <c r="H6" s="1" t="s">
        <v>27</v>
      </c>
      <c r="I6" s="1" t="s">
        <v>21</v>
      </c>
      <c r="J6" s="1"/>
      <c r="K6" s="1"/>
      <c r="L6" s="1"/>
      <c r="M6" s="73" t="s">
        <v>24</v>
      </c>
      <c r="N6" s="1"/>
      <c r="O6" s="1"/>
      <c r="P6" s="1"/>
      <c r="Q6" s="1"/>
      <c r="R6" s="1"/>
      <c r="S6" s="1"/>
      <c r="T6" s="21">
        <v>1</v>
      </c>
      <c r="U6" s="12">
        <f t="shared" ref="U6:U12" si="1">D6*E6</f>
        <v>2600</v>
      </c>
    </row>
    <row r="7" spans="1:21" ht="15.5" x14ac:dyDescent="0.35">
      <c r="A7" s="1">
        <v>3</v>
      </c>
      <c r="B7" s="13" t="s">
        <v>121</v>
      </c>
      <c r="C7" s="1" t="s">
        <v>72</v>
      </c>
      <c r="D7" s="21">
        <v>4</v>
      </c>
      <c r="E7" s="3">
        <v>8500</v>
      </c>
      <c r="F7" s="111">
        <f t="shared" si="0"/>
        <v>34000</v>
      </c>
      <c r="G7" s="1" t="s">
        <v>22</v>
      </c>
      <c r="H7" s="1" t="s">
        <v>27</v>
      </c>
      <c r="I7" s="1" t="s">
        <v>21</v>
      </c>
      <c r="J7" s="1"/>
      <c r="K7" s="1"/>
      <c r="L7" s="1"/>
      <c r="M7" s="73" t="s">
        <v>24</v>
      </c>
      <c r="N7" s="1"/>
      <c r="O7" s="1"/>
      <c r="P7" s="1"/>
      <c r="Q7" s="1"/>
      <c r="R7" s="1"/>
      <c r="S7" s="1"/>
      <c r="T7" s="21">
        <v>4</v>
      </c>
      <c r="U7" s="12">
        <f t="shared" si="1"/>
        <v>34000</v>
      </c>
    </row>
    <row r="8" spans="1:21" ht="15.5" x14ac:dyDescent="0.35">
      <c r="A8" s="1">
        <v>4</v>
      </c>
      <c r="B8" s="13" t="s">
        <v>453</v>
      </c>
      <c r="C8" s="1" t="s">
        <v>72</v>
      </c>
      <c r="D8" s="21">
        <v>1</v>
      </c>
      <c r="E8" s="3">
        <v>2600</v>
      </c>
      <c r="F8" s="111">
        <f t="shared" si="0"/>
        <v>2600</v>
      </c>
      <c r="G8" s="1" t="s">
        <v>22</v>
      </c>
      <c r="H8" s="1" t="s">
        <v>27</v>
      </c>
      <c r="I8" s="1" t="s">
        <v>21</v>
      </c>
      <c r="J8" s="1"/>
      <c r="K8" s="1"/>
      <c r="L8" s="1"/>
      <c r="M8" s="73" t="s">
        <v>24</v>
      </c>
      <c r="N8" s="1"/>
      <c r="O8" s="1"/>
      <c r="P8" s="1"/>
      <c r="Q8" s="1"/>
      <c r="R8" s="1"/>
      <c r="S8" s="1"/>
      <c r="T8" s="21">
        <v>1</v>
      </c>
      <c r="U8" s="12">
        <f t="shared" si="1"/>
        <v>2600</v>
      </c>
    </row>
    <row r="9" spans="1:21" ht="15.5" x14ac:dyDescent="0.35">
      <c r="A9" s="1">
        <v>5</v>
      </c>
      <c r="B9" s="13" t="s">
        <v>454</v>
      </c>
      <c r="C9" s="1" t="s">
        <v>72</v>
      </c>
      <c r="D9" s="21">
        <v>2</v>
      </c>
      <c r="E9" s="3">
        <v>6400</v>
      </c>
      <c r="F9" s="111">
        <f t="shared" si="0"/>
        <v>12800</v>
      </c>
      <c r="G9" s="1" t="s">
        <v>22</v>
      </c>
      <c r="H9" s="1" t="s">
        <v>27</v>
      </c>
      <c r="I9" s="1" t="s">
        <v>21</v>
      </c>
      <c r="J9" s="1"/>
      <c r="K9" s="1"/>
      <c r="L9" s="1"/>
      <c r="M9" s="73" t="s">
        <v>24</v>
      </c>
      <c r="N9" s="1"/>
      <c r="O9" s="1"/>
      <c r="P9" s="1"/>
      <c r="Q9" s="1"/>
      <c r="R9" s="1"/>
      <c r="S9" s="1"/>
      <c r="T9" s="21">
        <v>2</v>
      </c>
      <c r="U9" s="12">
        <f t="shared" si="1"/>
        <v>12800</v>
      </c>
    </row>
    <row r="10" spans="1:21" ht="15.5" x14ac:dyDescent="0.35">
      <c r="A10" s="1">
        <v>6</v>
      </c>
      <c r="B10" s="13" t="s">
        <v>455</v>
      </c>
      <c r="C10" s="1" t="s">
        <v>72</v>
      </c>
      <c r="D10" s="21">
        <v>2</v>
      </c>
      <c r="E10" s="64">
        <v>5600</v>
      </c>
      <c r="F10" s="111">
        <f t="shared" si="0"/>
        <v>11200</v>
      </c>
      <c r="G10" s="1" t="s">
        <v>22</v>
      </c>
      <c r="H10" s="1" t="s">
        <v>27</v>
      </c>
      <c r="I10" s="1" t="s">
        <v>21</v>
      </c>
      <c r="J10" s="1"/>
      <c r="K10" s="1"/>
      <c r="L10" s="1"/>
      <c r="M10" s="73" t="s">
        <v>24</v>
      </c>
      <c r="N10" s="1"/>
      <c r="O10" s="1"/>
      <c r="P10" s="1"/>
      <c r="Q10" s="1"/>
      <c r="R10" s="1"/>
      <c r="S10" s="1"/>
      <c r="T10" s="21">
        <v>2</v>
      </c>
      <c r="U10" s="12">
        <f t="shared" si="1"/>
        <v>11200</v>
      </c>
    </row>
    <row r="11" spans="1:21" ht="15.5" x14ac:dyDescent="0.35">
      <c r="A11" s="1">
        <v>7</v>
      </c>
      <c r="B11" s="13" t="s">
        <v>456</v>
      </c>
      <c r="C11" s="1" t="s">
        <v>72</v>
      </c>
      <c r="D11" s="21">
        <v>1</v>
      </c>
      <c r="E11" s="64">
        <v>8000</v>
      </c>
      <c r="F11" s="111">
        <f t="shared" si="0"/>
        <v>8000</v>
      </c>
      <c r="G11" s="1" t="s">
        <v>22</v>
      </c>
      <c r="H11" s="1" t="s">
        <v>27</v>
      </c>
      <c r="I11" s="1" t="s">
        <v>21</v>
      </c>
      <c r="J11" s="1"/>
      <c r="K11" s="1"/>
      <c r="L11" s="1"/>
      <c r="M11" s="73" t="s">
        <v>24</v>
      </c>
      <c r="N11" s="1"/>
      <c r="O11" s="1"/>
      <c r="P11" s="1"/>
      <c r="Q11" s="1"/>
      <c r="R11" s="1"/>
      <c r="S11" s="1"/>
      <c r="T11" s="21">
        <v>1</v>
      </c>
      <c r="U11" s="12">
        <f t="shared" si="1"/>
        <v>8000</v>
      </c>
    </row>
    <row r="12" spans="1:21" ht="15.5" x14ac:dyDescent="0.35">
      <c r="A12" s="1">
        <v>8</v>
      </c>
      <c r="B12" s="13" t="s">
        <v>457</v>
      </c>
      <c r="C12" s="1" t="s">
        <v>72</v>
      </c>
      <c r="D12" s="21">
        <v>1</v>
      </c>
      <c r="E12" s="64">
        <v>4800</v>
      </c>
      <c r="F12" s="111">
        <f t="shared" si="0"/>
        <v>4800</v>
      </c>
      <c r="G12" s="1" t="s">
        <v>22</v>
      </c>
      <c r="H12" s="1" t="s">
        <v>27</v>
      </c>
      <c r="I12" s="1" t="s">
        <v>21</v>
      </c>
      <c r="J12" s="1"/>
      <c r="K12" s="1"/>
      <c r="L12" s="1"/>
      <c r="M12" s="73" t="s">
        <v>24</v>
      </c>
      <c r="N12" s="1"/>
      <c r="O12" s="1"/>
      <c r="P12" s="1"/>
      <c r="Q12" s="1"/>
      <c r="R12" s="1"/>
      <c r="S12" s="1"/>
      <c r="T12" s="21">
        <v>1</v>
      </c>
      <c r="U12" s="12">
        <f t="shared" si="1"/>
        <v>4800</v>
      </c>
    </row>
    <row r="13" spans="1:21" ht="15.5" x14ac:dyDescent="0.35">
      <c r="A13" s="1">
        <v>9</v>
      </c>
      <c r="B13" s="13" t="s">
        <v>458</v>
      </c>
      <c r="C13" s="1" t="s">
        <v>72</v>
      </c>
      <c r="D13" s="21">
        <v>1</v>
      </c>
      <c r="E13" s="64">
        <v>1400</v>
      </c>
      <c r="F13" s="111">
        <f t="shared" si="0"/>
        <v>1400</v>
      </c>
      <c r="G13" s="1" t="s">
        <v>22</v>
      </c>
      <c r="H13" s="1" t="s">
        <v>27</v>
      </c>
      <c r="I13" s="1" t="s">
        <v>21</v>
      </c>
      <c r="J13" s="1"/>
      <c r="K13" s="1"/>
      <c r="L13" s="1"/>
      <c r="M13" s="73" t="s">
        <v>24</v>
      </c>
      <c r="N13" s="1"/>
      <c r="O13" s="1"/>
      <c r="P13" s="1"/>
      <c r="Q13" s="1"/>
      <c r="R13" s="1"/>
      <c r="S13" s="1"/>
      <c r="T13" s="21">
        <v>1</v>
      </c>
      <c r="U13" s="12">
        <f>D13*E13</f>
        <v>1400</v>
      </c>
    </row>
    <row r="14" spans="1:21" ht="15.5" x14ac:dyDescent="0.35">
      <c r="A14" s="1"/>
      <c r="B14" s="13"/>
      <c r="C14" s="1"/>
      <c r="D14" s="21"/>
      <c r="E14" s="64"/>
      <c r="F14" s="3"/>
      <c r="G14" s="1"/>
      <c r="H14" s="1"/>
      <c r="I14" s="1"/>
      <c r="J14" s="1"/>
      <c r="K14" s="1"/>
      <c r="L14" s="1"/>
      <c r="M14" s="73"/>
      <c r="N14" s="1"/>
      <c r="O14" s="1"/>
      <c r="P14" s="1"/>
      <c r="Q14" s="1"/>
      <c r="R14" s="1"/>
      <c r="S14" s="1"/>
      <c r="T14" s="21"/>
      <c r="U14" s="12"/>
    </row>
    <row r="15" spans="1:21" ht="15.5" x14ac:dyDescent="0.35">
      <c r="A15" s="1"/>
      <c r="B15" s="13"/>
      <c r="C15" s="1"/>
      <c r="D15" s="21"/>
      <c r="E15" s="64"/>
      <c r="F15" s="3"/>
      <c r="G15" s="1"/>
      <c r="H15" s="1"/>
      <c r="I15" s="1"/>
      <c r="J15" s="1"/>
      <c r="K15" s="1"/>
      <c r="L15" s="1"/>
      <c r="M15" s="73"/>
      <c r="N15" s="1"/>
      <c r="O15" s="1"/>
      <c r="P15" s="1"/>
      <c r="Q15" s="1"/>
      <c r="R15" s="1"/>
      <c r="S15" s="1"/>
      <c r="T15" s="21"/>
      <c r="U15" s="12"/>
    </row>
    <row r="16" spans="1:21" ht="15.5" x14ac:dyDescent="0.35">
      <c r="A16" s="1"/>
      <c r="B16" s="13"/>
      <c r="C16" s="1"/>
      <c r="D16" s="1"/>
      <c r="E16" s="3"/>
      <c r="F16" s="83">
        <f>SUM(F5:F15)</f>
        <v>78000</v>
      </c>
      <c r="G16" s="1"/>
      <c r="H16" s="1"/>
      <c r="I16" s="1"/>
      <c r="J16" s="1"/>
      <c r="K16" s="1"/>
      <c r="L16" s="1"/>
      <c r="M16" s="73"/>
      <c r="N16" s="1"/>
      <c r="O16" s="1"/>
      <c r="P16" s="1"/>
      <c r="Q16" s="1"/>
      <c r="R16" s="1"/>
      <c r="S16" s="1"/>
      <c r="T16" s="1"/>
      <c r="U16" s="12"/>
    </row>
    <row r="17" spans="1:21" x14ac:dyDescent="0.35">
      <c r="A17" s="1"/>
      <c r="B17" s="1"/>
      <c r="C17" s="1"/>
      <c r="D17" s="1"/>
      <c r="E17" s="3"/>
      <c r="F17" s="83"/>
      <c r="G17" s="1"/>
      <c r="H17" s="1"/>
      <c r="I17" s="1"/>
      <c r="J17" s="1"/>
      <c r="K17" s="1"/>
      <c r="L17" s="1"/>
      <c r="M17" s="73"/>
      <c r="N17" s="1"/>
      <c r="O17" s="1"/>
      <c r="P17" s="1"/>
      <c r="Q17" s="1"/>
      <c r="R17" s="1"/>
      <c r="S17" s="1"/>
      <c r="T17" s="1"/>
      <c r="U17" s="12"/>
    </row>
    <row r="18" spans="1:21" x14ac:dyDescent="0.35">
      <c r="A18" s="125" t="s">
        <v>480</v>
      </c>
      <c r="B18" s="126"/>
      <c r="C18" s="1"/>
      <c r="D18" s="1"/>
      <c r="E18" s="3"/>
      <c r="F18" s="3"/>
      <c r="G18" s="1"/>
      <c r="H18" s="1"/>
      <c r="I18" s="1"/>
      <c r="J18" s="1"/>
      <c r="K18" s="1"/>
      <c r="L18" s="1"/>
      <c r="M18" s="73"/>
      <c r="N18" s="1"/>
      <c r="O18" s="1"/>
      <c r="P18" s="1"/>
      <c r="Q18" s="1"/>
      <c r="R18" s="1"/>
      <c r="S18" s="1"/>
      <c r="T18" s="1"/>
      <c r="U18" s="12"/>
    </row>
    <row r="19" spans="1:21" x14ac:dyDescent="0.35">
      <c r="A19" s="1">
        <v>1</v>
      </c>
      <c r="B19" s="1" t="s">
        <v>339</v>
      </c>
      <c r="C19" s="1" t="s">
        <v>340</v>
      </c>
      <c r="D19" s="1">
        <v>400</v>
      </c>
      <c r="E19" s="3">
        <v>200</v>
      </c>
      <c r="F19" s="3">
        <v>80000</v>
      </c>
      <c r="G19" s="1" t="s">
        <v>22</v>
      </c>
      <c r="H19" s="1" t="s">
        <v>27</v>
      </c>
      <c r="I19" s="1" t="s">
        <v>21</v>
      </c>
      <c r="J19" s="1"/>
      <c r="K19" s="1"/>
      <c r="L19" s="1"/>
      <c r="M19" s="73" t="s">
        <v>24</v>
      </c>
      <c r="N19" s="1"/>
      <c r="O19" s="66"/>
      <c r="P19" s="1"/>
      <c r="Q19" s="66"/>
      <c r="R19" s="1"/>
      <c r="S19" s="1"/>
      <c r="T19" s="1">
        <v>400</v>
      </c>
      <c r="U19" s="12">
        <f>D19*E19</f>
        <v>80000</v>
      </c>
    </row>
    <row r="20" spans="1:21" ht="15.5" x14ac:dyDescent="0.35">
      <c r="A20" s="1"/>
      <c r="B20" s="13"/>
      <c r="C20" s="1"/>
      <c r="D20" s="1"/>
      <c r="E20" s="3"/>
      <c r="F20" s="3"/>
      <c r="G20" s="1"/>
      <c r="H20" s="1"/>
      <c r="I20" s="1"/>
      <c r="J20" s="1"/>
      <c r="K20" s="1"/>
      <c r="L20" s="1"/>
      <c r="M20" s="73"/>
      <c r="N20" s="1"/>
      <c r="O20" s="1"/>
      <c r="P20" s="1"/>
      <c r="Q20" s="1"/>
      <c r="R20" s="1"/>
      <c r="S20" s="1"/>
      <c r="T20" s="22"/>
      <c r="U20" s="12"/>
    </row>
    <row r="21" spans="1:21" x14ac:dyDescent="0.35">
      <c r="A21" s="1"/>
      <c r="B21" s="1"/>
      <c r="C21" s="1"/>
      <c r="D21" s="1"/>
      <c r="E21" s="3"/>
      <c r="F21" s="3"/>
      <c r="G21" s="1"/>
      <c r="H21" s="1"/>
      <c r="I21" s="1"/>
      <c r="J21" s="1"/>
      <c r="K21" s="1"/>
      <c r="L21" s="1"/>
      <c r="M21" s="73"/>
      <c r="N21" s="1"/>
      <c r="O21" s="1"/>
      <c r="P21" s="1"/>
      <c r="Q21" s="1"/>
      <c r="R21" s="1"/>
      <c r="S21" s="1"/>
      <c r="T21" s="4"/>
      <c r="U21" s="12"/>
    </row>
    <row r="22" spans="1:21" x14ac:dyDescent="0.35">
      <c r="A22" s="1"/>
      <c r="B22" s="1"/>
      <c r="C22" s="1"/>
      <c r="D22" s="1"/>
      <c r="E22" s="3"/>
      <c r="F22" s="83">
        <f>SUM(F19:F21)</f>
        <v>80000</v>
      </c>
      <c r="G22" s="1"/>
      <c r="H22" s="1"/>
      <c r="I22" s="1"/>
      <c r="J22" s="1"/>
      <c r="K22" s="1"/>
      <c r="L22" s="1"/>
      <c r="M22" s="73"/>
      <c r="N22" s="1"/>
      <c r="O22" s="1"/>
      <c r="P22" s="1"/>
      <c r="Q22" s="1"/>
      <c r="R22" s="1"/>
      <c r="S22" s="1"/>
      <c r="T22" s="1"/>
      <c r="U22" s="12"/>
    </row>
    <row r="23" spans="1:21" x14ac:dyDescent="0.35">
      <c r="A23" s="2" t="s">
        <v>481</v>
      </c>
      <c r="B23" s="2"/>
      <c r="C23" s="2"/>
      <c r="D23" s="1"/>
      <c r="E23" s="3"/>
      <c r="F23" s="83"/>
      <c r="G23" s="1"/>
      <c r="H23" s="1"/>
      <c r="I23" s="1"/>
      <c r="J23" s="1"/>
      <c r="K23" s="1"/>
      <c r="L23" s="1"/>
      <c r="M23" s="73"/>
      <c r="N23" s="1"/>
      <c r="O23" s="1"/>
      <c r="P23" s="1"/>
      <c r="Q23" s="1"/>
      <c r="R23" s="1"/>
      <c r="S23" s="1"/>
      <c r="T23" s="1"/>
      <c r="U23" s="12"/>
    </row>
    <row r="24" spans="1:21" s="15" customFormat="1" ht="15.5" x14ac:dyDescent="0.35">
      <c r="A24" s="14">
        <v>1</v>
      </c>
      <c r="B24" s="13" t="s">
        <v>459</v>
      </c>
      <c r="C24" s="13" t="s">
        <v>73</v>
      </c>
      <c r="D24" s="14">
        <v>33250</v>
      </c>
      <c r="E24" s="19">
        <v>200</v>
      </c>
      <c r="F24" s="71">
        <v>2567000</v>
      </c>
      <c r="G24" s="107" t="s">
        <v>22</v>
      </c>
      <c r="H24" s="14" t="s">
        <v>27</v>
      </c>
      <c r="I24" s="14" t="s">
        <v>21</v>
      </c>
      <c r="J24" s="14"/>
      <c r="K24" s="14"/>
      <c r="L24" s="14"/>
      <c r="M24" s="81" t="s">
        <v>24</v>
      </c>
      <c r="N24" s="14"/>
      <c r="O24" s="14"/>
      <c r="P24" s="14"/>
      <c r="Q24" s="14"/>
      <c r="R24" s="14"/>
      <c r="S24" s="14"/>
      <c r="T24" s="14">
        <v>33250</v>
      </c>
      <c r="U24" s="45">
        <f>D24*E24</f>
        <v>6650000</v>
      </c>
    </row>
    <row r="25" spans="1:21" s="15" customFormat="1" x14ac:dyDescent="0.35">
      <c r="A25" s="14">
        <v>2</v>
      </c>
      <c r="B25" s="14" t="s">
        <v>435</v>
      </c>
      <c r="C25" s="14" t="s">
        <v>217</v>
      </c>
      <c r="D25" s="14">
        <v>1</v>
      </c>
      <c r="E25" s="19">
        <v>5200000</v>
      </c>
      <c r="F25" s="71">
        <v>2944000</v>
      </c>
      <c r="G25" s="107" t="s">
        <v>22</v>
      </c>
      <c r="H25" s="14" t="s">
        <v>27</v>
      </c>
      <c r="I25" s="14" t="s">
        <v>21</v>
      </c>
      <c r="J25" s="14"/>
      <c r="K25" s="14"/>
      <c r="L25" s="14"/>
      <c r="M25" s="81" t="s">
        <v>24</v>
      </c>
      <c r="N25" s="14"/>
      <c r="O25" s="14"/>
      <c r="P25" s="14"/>
      <c r="Q25" s="14"/>
      <c r="R25" s="14"/>
      <c r="S25" s="14"/>
      <c r="T25" s="14">
        <v>1</v>
      </c>
      <c r="U25" s="45">
        <f t="shared" ref="U25:U31" si="2">D25*E25</f>
        <v>5200000</v>
      </c>
    </row>
    <row r="26" spans="1:21" x14ac:dyDescent="0.35">
      <c r="A26" s="14">
        <v>3</v>
      </c>
      <c r="B26" s="14" t="s">
        <v>460</v>
      </c>
      <c r="C26" s="14" t="s">
        <v>461</v>
      </c>
      <c r="D26" s="14">
        <v>120</v>
      </c>
      <c r="E26" s="19">
        <v>200</v>
      </c>
      <c r="F26" s="71">
        <f>D26*E26</f>
        <v>24000</v>
      </c>
      <c r="G26" s="14" t="s">
        <v>22</v>
      </c>
      <c r="H26" s="14" t="s">
        <v>27</v>
      </c>
      <c r="I26" s="14" t="s">
        <v>21</v>
      </c>
      <c r="J26" s="14"/>
      <c r="K26" s="14"/>
      <c r="L26" s="14"/>
      <c r="M26" s="81" t="s">
        <v>24</v>
      </c>
      <c r="N26" s="14"/>
      <c r="O26" s="14"/>
      <c r="P26" s="14"/>
      <c r="Q26" s="14"/>
      <c r="R26" s="14"/>
      <c r="S26" s="14"/>
      <c r="T26" s="14">
        <v>120</v>
      </c>
      <c r="U26" s="12">
        <f t="shared" si="2"/>
        <v>24000</v>
      </c>
    </row>
    <row r="27" spans="1:21" x14ac:dyDescent="0.35">
      <c r="A27" s="14">
        <v>4</v>
      </c>
      <c r="B27" s="14" t="s">
        <v>462</v>
      </c>
      <c r="C27" s="14" t="s">
        <v>461</v>
      </c>
      <c r="D27" s="14">
        <v>364</v>
      </c>
      <c r="E27" s="19">
        <v>196.43</v>
      </c>
      <c r="F27" s="71">
        <f>D27*E27</f>
        <v>71500.52</v>
      </c>
      <c r="G27" s="14" t="s">
        <v>22</v>
      </c>
      <c r="H27" s="14" t="s">
        <v>27</v>
      </c>
      <c r="I27" s="14" t="s">
        <v>21</v>
      </c>
      <c r="J27" s="14"/>
      <c r="K27" s="14"/>
      <c r="L27" s="14"/>
      <c r="M27" s="81" t="s">
        <v>24</v>
      </c>
      <c r="N27" s="14"/>
      <c r="O27" s="14"/>
      <c r="P27" s="14"/>
      <c r="Q27" s="14"/>
      <c r="R27" s="14"/>
      <c r="S27" s="14"/>
      <c r="T27" s="15">
        <v>364</v>
      </c>
      <c r="U27" s="12">
        <f t="shared" si="2"/>
        <v>71500.52</v>
      </c>
    </row>
    <row r="28" spans="1:21" x14ac:dyDescent="0.35">
      <c r="A28" s="14"/>
      <c r="B28" s="14"/>
      <c r="C28" s="14"/>
      <c r="D28" s="14"/>
      <c r="E28" s="19"/>
      <c r="F28" s="19"/>
      <c r="G28" s="14"/>
      <c r="H28" s="14"/>
      <c r="I28" s="14"/>
      <c r="J28" s="14"/>
      <c r="K28" s="14"/>
      <c r="L28" s="14"/>
      <c r="M28" s="81"/>
      <c r="N28" s="14"/>
      <c r="O28" s="14"/>
      <c r="P28" s="14"/>
      <c r="Q28" s="14"/>
      <c r="R28" s="14"/>
      <c r="S28" s="14"/>
      <c r="T28" s="14"/>
      <c r="U28" s="12">
        <f t="shared" si="2"/>
        <v>0</v>
      </c>
    </row>
    <row r="29" spans="1:21" x14ac:dyDescent="0.35">
      <c r="A29" s="14"/>
      <c r="B29" s="14"/>
      <c r="C29" s="14"/>
      <c r="D29" s="14"/>
      <c r="E29" s="19"/>
      <c r="F29" s="19"/>
      <c r="G29" s="14"/>
      <c r="H29" s="14"/>
      <c r="I29" s="14"/>
      <c r="J29" s="14"/>
      <c r="K29" s="14"/>
      <c r="L29" s="14"/>
      <c r="M29" s="81"/>
      <c r="N29" s="14"/>
      <c r="O29" s="14"/>
      <c r="P29" s="14"/>
      <c r="Q29" s="14"/>
      <c r="R29" s="14"/>
      <c r="S29" s="14"/>
      <c r="T29" s="14"/>
      <c r="U29" s="12">
        <f>D29*E29</f>
        <v>0</v>
      </c>
    </row>
    <row r="30" spans="1:21" x14ac:dyDescent="0.35">
      <c r="A30" s="14"/>
      <c r="B30" s="14"/>
      <c r="C30" s="14"/>
      <c r="D30" s="14"/>
      <c r="E30" s="19"/>
      <c r="F30" s="84"/>
      <c r="G30" s="14"/>
      <c r="H30" s="14"/>
      <c r="I30" s="14"/>
      <c r="J30" s="14"/>
      <c r="K30" s="14"/>
      <c r="L30" s="14"/>
      <c r="M30" s="81"/>
      <c r="N30" s="14"/>
      <c r="O30" s="14"/>
      <c r="P30" s="14"/>
      <c r="Q30" s="14"/>
      <c r="R30" s="14"/>
      <c r="S30" s="14"/>
      <c r="T30" s="14"/>
      <c r="U30" s="12">
        <f t="shared" si="2"/>
        <v>0</v>
      </c>
    </row>
    <row r="31" spans="1:21" x14ac:dyDescent="0.35">
      <c r="A31" s="1"/>
      <c r="B31" s="1"/>
      <c r="C31" s="1"/>
      <c r="D31" s="1"/>
      <c r="E31" s="3"/>
      <c r="F31" s="83">
        <f>SUM(F24:F30)</f>
        <v>5606500.5199999996</v>
      </c>
      <c r="G31" s="1"/>
      <c r="H31" s="1"/>
      <c r="I31" s="1"/>
      <c r="J31" s="1"/>
      <c r="K31" s="1"/>
      <c r="L31" s="1"/>
      <c r="M31" s="73"/>
      <c r="N31" s="1"/>
      <c r="O31" s="1"/>
      <c r="P31" s="1"/>
      <c r="Q31" s="1"/>
      <c r="R31" s="1"/>
      <c r="S31" s="1"/>
      <c r="T31" s="1"/>
      <c r="U31" s="12">
        <f t="shared" si="2"/>
        <v>0</v>
      </c>
    </row>
    <row r="32" spans="1:21" x14ac:dyDescent="0.35">
      <c r="A32" s="1"/>
      <c r="B32" s="1"/>
      <c r="C32" s="1"/>
      <c r="D32" s="1"/>
      <c r="E32" s="3"/>
      <c r="F32" s="83"/>
      <c r="G32" s="1"/>
      <c r="H32" s="1"/>
      <c r="I32" s="1"/>
      <c r="J32" s="1"/>
      <c r="K32" s="1"/>
      <c r="L32" s="1"/>
      <c r="M32" s="73"/>
      <c r="N32" s="1"/>
      <c r="O32" s="1"/>
      <c r="P32" s="1"/>
      <c r="Q32" s="1"/>
      <c r="R32" s="1"/>
      <c r="S32" s="1"/>
      <c r="T32" s="4"/>
      <c r="U32" s="12"/>
    </row>
    <row r="33" spans="1:21" ht="15.5" x14ac:dyDescent="0.35">
      <c r="A33" s="123" t="s">
        <v>482</v>
      </c>
      <c r="B33" s="124"/>
      <c r="C33" s="1"/>
      <c r="D33" s="1"/>
      <c r="E33" s="3"/>
      <c r="F33" s="83"/>
      <c r="G33" s="1"/>
      <c r="H33" s="1"/>
      <c r="I33" s="1"/>
      <c r="J33" s="1"/>
      <c r="K33" s="1"/>
      <c r="L33" s="1"/>
      <c r="M33" s="73"/>
      <c r="N33" s="1"/>
      <c r="O33" s="1"/>
      <c r="P33" s="1"/>
      <c r="Q33" s="1"/>
      <c r="R33" s="1"/>
      <c r="S33" s="1"/>
      <c r="T33" s="4"/>
      <c r="U33" s="12"/>
    </row>
    <row r="34" spans="1:21" ht="15.5" x14ac:dyDescent="0.35">
      <c r="A34" s="1">
        <v>1</v>
      </c>
      <c r="B34" s="13" t="s">
        <v>439</v>
      </c>
      <c r="C34" s="1" t="s">
        <v>72</v>
      </c>
      <c r="D34" s="1">
        <v>6</v>
      </c>
      <c r="E34" s="3">
        <v>2595</v>
      </c>
      <c r="F34" s="111">
        <f>D34*E34</f>
        <v>15570</v>
      </c>
      <c r="G34" s="1" t="s">
        <v>22</v>
      </c>
      <c r="H34" s="1" t="s">
        <v>27</v>
      </c>
      <c r="I34" s="1" t="s">
        <v>21</v>
      </c>
      <c r="J34" s="1"/>
      <c r="K34" s="1"/>
      <c r="L34" s="1"/>
      <c r="M34" s="81" t="s">
        <v>24</v>
      </c>
      <c r="N34" s="1"/>
      <c r="O34" s="1"/>
      <c r="P34" s="1"/>
      <c r="Q34" s="1"/>
      <c r="R34" s="1"/>
      <c r="S34" s="1"/>
      <c r="T34" s="1">
        <v>6</v>
      </c>
      <c r="U34" s="12">
        <f>D34*E34</f>
        <v>15570</v>
      </c>
    </row>
    <row r="35" spans="1:21" x14ac:dyDescent="0.35">
      <c r="A35" s="1">
        <v>2</v>
      </c>
      <c r="B35" s="1" t="s">
        <v>94</v>
      </c>
      <c r="C35" s="1" t="s">
        <v>72</v>
      </c>
      <c r="D35" s="1">
        <v>1</v>
      </c>
      <c r="E35" s="3">
        <v>130324</v>
      </c>
      <c r="F35" s="111">
        <f t="shared" ref="F35:F58" si="3">D35*E35</f>
        <v>130324</v>
      </c>
      <c r="G35" s="1" t="s">
        <v>22</v>
      </c>
      <c r="H35" s="1" t="s">
        <v>27</v>
      </c>
      <c r="I35" s="1" t="s">
        <v>21</v>
      </c>
      <c r="J35" s="1"/>
      <c r="K35" s="1"/>
      <c r="L35" s="1"/>
      <c r="M35" s="81" t="s">
        <v>24</v>
      </c>
      <c r="N35" s="1"/>
      <c r="O35" s="1"/>
      <c r="P35" s="1"/>
      <c r="Q35" s="1"/>
      <c r="R35" s="1"/>
      <c r="S35" s="1"/>
      <c r="T35" s="1">
        <v>1</v>
      </c>
      <c r="U35" s="12">
        <f t="shared" ref="U35:U58" si="4">D35*E35</f>
        <v>130324</v>
      </c>
    </row>
    <row r="36" spans="1:21" x14ac:dyDescent="0.35">
      <c r="A36" s="1">
        <v>3</v>
      </c>
      <c r="B36" s="1" t="s">
        <v>440</v>
      </c>
      <c r="C36" s="1" t="s">
        <v>72</v>
      </c>
      <c r="D36" s="1">
        <v>1</v>
      </c>
      <c r="E36" s="3">
        <v>91708</v>
      </c>
      <c r="F36" s="111">
        <f t="shared" si="3"/>
        <v>91708</v>
      </c>
      <c r="G36" s="1" t="s">
        <v>22</v>
      </c>
      <c r="H36" s="1" t="s">
        <v>27</v>
      </c>
      <c r="I36" s="1" t="s">
        <v>21</v>
      </c>
      <c r="J36" s="1"/>
      <c r="K36" s="1"/>
      <c r="L36" s="1"/>
      <c r="M36" s="81" t="s">
        <v>24</v>
      </c>
      <c r="N36" s="1"/>
      <c r="O36" s="1"/>
      <c r="P36" s="1"/>
      <c r="Q36" s="1"/>
      <c r="R36" s="1"/>
      <c r="S36" s="1"/>
      <c r="T36" s="1">
        <v>1</v>
      </c>
      <c r="U36" s="12">
        <f t="shared" si="4"/>
        <v>91708</v>
      </c>
    </row>
    <row r="37" spans="1:21" x14ac:dyDescent="0.35">
      <c r="A37" s="1">
        <v>4</v>
      </c>
      <c r="B37" s="1" t="s">
        <v>184</v>
      </c>
      <c r="C37" s="1" t="s">
        <v>47</v>
      </c>
      <c r="D37" s="1">
        <v>300</v>
      </c>
      <c r="E37" s="3">
        <v>50</v>
      </c>
      <c r="F37" s="111">
        <f t="shared" si="3"/>
        <v>15000</v>
      </c>
      <c r="G37" s="1" t="s">
        <v>22</v>
      </c>
      <c r="H37" s="1" t="s">
        <v>27</v>
      </c>
      <c r="I37" s="1" t="s">
        <v>21</v>
      </c>
      <c r="J37" s="1"/>
      <c r="K37" s="1"/>
      <c r="L37" s="1"/>
      <c r="M37" s="81" t="s">
        <v>24</v>
      </c>
      <c r="N37" s="1"/>
      <c r="O37" s="1"/>
      <c r="P37" s="1"/>
      <c r="Q37" s="1"/>
      <c r="R37" s="1"/>
      <c r="S37" s="1"/>
      <c r="T37" s="1">
        <v>300</v>
      </c>
      <c r="U37" s="12">
        <f t="shared" si="4"/>
        <v>15000</v>
      </c>
    </row>
    <row r="38" spans="1:21" x14ac:dyDescent="0.35">
      <c r="A38" s="1">
        <v>5</v>
      </c>
      <c r="B38" s="1" t="s">
        <v>185</v>
      </c>
      <c r="C38" s="1" t="s">
        <v>47</v>
      </c>
      <c r="D38" s="1">
        <v>300</v>
      </c>
      <c r="E38" s="3">
        <v>55</v>
      </c>
      <c r="F38" s="111">
        <f t="shared" si="3"/>
        <v>16500</v>
      </c>
      <c r="G38" s="1" t="s">
        <v>22</v>
      </c>
      <c r="H38" s="1" t="s">
        <v>27</v>
      </c>
      <c r="I38" s="1" t="s">
        <v>21</v>
      </c>
      <c r="J38" s="1"/>
      <c r="K38" s="1"/>
      <c r="L38" s="1"/>
      <c r="M38" s="81" t="s">
        <v>24</v>
      </c>
      <c r="N38" s="1"/>
      <c r="O38" s="1"/>
      <c r="P38" s="1"/>
      <c r="Q38" s="1"/>
      <c r="R38" s="1"/>
      <c r="S38" s="1"/>
      <c r="T38" s="1">
        <v>300</v>
      </c>
      <c r="U38" s="12">
        <f t="shared" si="4"/>
        <v>16500</v>
      </c>
    </row>
    <row r="39" spans="1:21" x14ac:dyDescent="0.35">
      <c r="A39" s="1">
        <v>6</v>
      </c>
      <c r="B39" s="1" t="s">
        <v>186</v>
      </c>
      <c r="C39" s="1" t="s">
        <v>47</v>
      </c>
      <c r="D39" s="1">
        <v>300</v>
      </c>
      <c r="E39" s="3">
        <v>60</v>
      </c>
      <c r="F39" s="111">
        <f t="shared" si="3"/>
        <v>18000</v>
      </c>
      <c r="G39" s="1" t="s">
        <v>22</v>
      </c>
      <c r="H39" s="1" t="s">
        <v>27</v>
      </c>
      <c r="I39" s="1" t="s">
        <v>21</v>
      </c>
      <c r="J39" s="1"/>
      <c r="K39" s="1"/>
      <c r="L39" s="1"/>
      <c r="M39" s="81" t="s">
        <v>24</v>
      </c>
      <c r="N39" s="1"/>
      <c r="O39" s="1"/>
      <c r="P39" s="1"/>
      <c r="Q39" s="1"/>
      <c r="R39" s="1"/>
      <c r="S39" s="1"/>
      <c r="T39" s="1">
        <v>300</v>
      </c>
      <c r="U39" s="12">
        <f t="shared" si="4"/>
        <v>18000</v>
      </c>
    </row>
    <row r="40" spans="1:21" x14ac:dyDescent="0.35">
      <c r="A40" s="1">
        <v>7</v>
      </c>
      <c r="B40" s="1" t="s">
        <v>52</v>
      </c>
      <c r="C40" s="1" t="s">
        <v>54</v>
      </c>
      <c r="D40" s="1">
        <v>2</v>
      </c>
      <c r="E40" s="3">
        <v>6500</v>
      </c>
      <c r="F40" s="111">
        <f t="shared" si="3"/>
        <v>13000</v>
      </c>
      <c r="G40" s="1" t="s">
        <v>22</v>
      </c>
      <c r="H40" s="1" t="s">
        <v>27</v>
      </c>
      <c r="I40" s="1" t="s">
        <v>21</v>
      </c>
      <c r="J40" s="1"/>
      <c r="K40" s="1"/>
      <c r="L40" s="1"/>
      <c r="M40" s="81" t="s">
        <v>24</v>
      </c>
      <c r="N40" s="1"/>
      <c r="O40" s="1"/>
      <c r="P40" s="1"/>
      <c r="Q40" s="1"/>
      <c r="R40" s="1"/>
      <c r="S40" s="1"/>
      <c r="T40" s="1">
        <v>2</v>
      </c>
      <c r="U40" s="12">
        <f t="shared" si="4"/>
        <v>13000</v>
      </c>
    </row>
    <row r="41" spans="1:21" x14ac:dyDescent="0.35">
      <c r="A41" s="1">
        <v>8</v>
      </c>
      <c r="B41" s="1" t="s">
        <v>183</v>
      </c>
      <c r="C41" s="1" t="s">
        <v>55</v>
      </c>
      <c r="D41" s="1">
        <v>1</v>
      </c>
      <c r="E41" s="3">
        <v>35000</v>
      </c>
      <c r="F41" s="111">
        <f t="shared" si="3"/>
        <v>35000</v>
      </c>
      <c r="G41" s="1" t="s">
        <v>22</v>
      </c>
      <c r="H41" s="1" t="s">
        <v>27</v>
      </c>
      <c r="I41" s="1" t="s">
        <v>21</v>
      </c>
      <c r="J41" s="1"/>
      <c r="K41" s="1"/>
      <c r="L41" s="1"/>
      <c r="M41" s="81" t="s">
        <v>24</v>
      </c>
      <c r="N41" s="1"/>
      <c r="O41" s="1"/>
      <c r="P41" s="1"/>
      <c r="Q41" s="1"/>
      <c r="R41" s="1"/>
      <c r="S41" s="1"/>
      <c r="T41" s="1">
        <v>1</v>
      </c>
      <c r="U41" s="12">
        <f t="shared" si="4"/>
        <v>35000</v>
      </c>
    </row>
    <row r="42" spans="1:21" x14ac:dyDescent="0.35">
      <c r="A42" s="1">
        <v>9</v>
      </c>
      <c r="B42" s="1" t="s">
        <v>56</v>
      </c>
      <c r="C42" s="1" t="s">
        <v>54</v>
      </c>
      <c r="D42" s="1">
        <v>5</v>
      </c>
      <c r="E42" s="3">
        <v>2400</v>
      </c>
      <c r="F42" s="111">
        <f>D42*E42</f>
        <v>12000</v>
      </c>
      <c r="G42" s="1" t="s">
        <v>22</v>
      </c>
      <c r="H42" s="1" t="s">
        <v>27</v>
      </c>
      <c r="I42" s="1" t="s">
        <v>21</v>
      </c>
      <c r="J42" s="1"/>
      <c r="K42" s="1"/>
      <c r="L42" s="1"/>
      <c r="M42" s="81" t="s">
        <v>24</v>
      </c>
      <c r="N42" s="1"/>
      <c r="O42" s="1"/>
      <c r="P42" s="1"/>
      <c r="Q42" s="1"/>
      <c r="R42" s="1"/>
      <c r="S42" s="1"/>
      <c r="T42" s="1">
        <v>5</v>
      </c>
      <c r="U42" s="12">
        <f t="shared" si="4"/>
        <v>12000</v>
      </c>
    </row>
    <row r="43" spans="1:21" x14ac:dyDescent="0.35">
      <c r="A43" s="1">
        <v>10</v>
      </c>
      <c r="B43" s="1" t="s">
        <v>70</v>
      </c>
      <c r="C43" s="1" t="s">
        <v>54</v>
      </c>
      <c r="D43" s="1">
        <v>5</v>
      </c>
      <c r="E43" s="3">
        <v>2800</v>
      </c>
      <c r="F43" s="111">
        <f t="shared" si="3"/>
        <v>14000</v>
      </c>
      <c r="G43" s="1" t="s">
        <v>22</v>
      </c>
      <c r="H43" s="1" t="s">
        <v>27</v>
      </c>
      <c r="I43" s="1" t="s">
        <v>21</v>
      </c>
      <c r="J43" s="1"/>
      <c r="K43" s="1"/>
      <c r="L43" s="1"/>
      <c r="M43" s="81" t="s">
        <v>24</v>
      </c>
      <c r="N43" s="1"/>
      <c r="O43" s="1"/>
      <c r="P43" s="1"/>
      <c r="Q43" s="1"/>
      <c r="R43" s="1"/>
      <c r="S43" s="1"/>
      <c r="T43" s="1">
        <v>5</v>
      </c>
      <c r="U43" s="12">
        <f t="shared" si="4"/>
        <v>14000</v>
      </c>
    </row>
    <row r="44" spans="1:21" x14ac:dyDescent="0.35">
      <c r="A44" s="1">
        <v>11</v>
      </c>
      <c r="B44" s="1" t="s">
        <v>180</v>
      </c>
      <c r="C44" s="1" t="s">
        <v>55</v>
      </c>
      <c r="D44" s="1">
        <v>1</v>
      </c>
      <c r="E44" s="3">
        <v>15800</v>
      </c>
      <c r="F44" s="111">
        <f>D44*E44</f>
        <v>15800</v>
      </c>
      <c r="G44" s="1" t="s">
        <v>22</v>
      </c>
      <c r="H44" s="1" t="s">
        <v>27</v>
      </c>
      <c r="I44" s="1" t="s">
        <v>21</v>
      </c>
      <c r="J44" s="1"/>
      <c r="K44" s="1"/>
      <c r="L44" s="1"/>
      <c r="M44" s="81" t="s">
        <v>24</v>
      </c>
      <c r="N44" s="1"/>
      <c r="O44" s="1"/>
      <c r="P44" s="1"/>
      <c r="Q44" s="1"/>
      <c r="R44" s="1"/>
      <c r="S44" s="1"/>
      <c r="T44" s="1">
        <v>1</v>
      </c>
      <c r="U44" s="12">
        <f>D44*E44</f>
        <v>15800</v>
      </c>
    </row>
    <row r="45" spans="1:21" ht="19.5" customHeight="1" x14ac:dyDescent="0.35">
      <c r="A45" s="1">
        <v>12</v>
      </c>
      <c r="B45" s="1" t="s">
        <v>181</v>
      </c>
      <c r="C45" s="1" t="s">
        <v>55</v>
      </c>
      <c r="D45" s="1">
        <v>1</v>
      </c>
      <c r="E45" s="1">
        <v>14800</v>
      </c>
      <c r="F45" s="111">
        <f>D45*F50</f>
        <v>25000</v>
      </c>
      <c r="G45" s="1" t="s">
        <v>22</v>
      </c>
      <c r="H45" s="1" t="s">
        <v>27</v>
      </c>
      <c r="I45" s="1" t="s">
        <v>21</v>
      </c>
      <c r="J45" s="1"/>
      <c r="K45" s="1"/>
      <c r="L45" s="1"/>
      <c r="M45" s="81" t="s">
        <v>24</v>
      </c>
      <c r="N45" s="73"/>
      <c r="O45" s="1"/>
      <c r="P45" s="1"/>
      <c r="Q45" s="1"/>
      <c r="R45" s="1"/>
      <c r="S45" s="1"/>
      <c r="T45" s="1">
        <v>1</v>
      </c>
      <c r="U45" s="12">
        <f t="shared" si="4"/>
        <v>14800</v>
      </c>
    </row>
    <row r="46" spans="1:21" ht="15.5" x14ac:dyDescent="0.35">
      <c r="A46" s="1">
        <v>13</v>
      </c>
      <c r="B46" s="1" t="s">
        <v>182</v>
      </c>
      <c r="C46" s="18" t="s">
        <v>55</v>
      </c>
      <c r="D46" s="1">
        <v>1</v>
      </c>
      <c r="E46" s="1">
        <v>15800</v>
      </c>
      <c r="F46" s="111">
        <f t="shared" si="3"/>
        <v>15800</v>
      </c>
      <c r="G46" s="1" t="s">
        <v>22</v>
      </c>
      <c r="H46" s="1" t="s">
        <v>27</v>
      </c>
      <c r="I46" s="1" t="s">
        <v>21</v>
      </c>
      <c r="J46" s="1"/>
      <c r="K46" s="1"/>
      <c r="L46" s="1"/>
      <c r="M46" s="81" t="s">
        <v>24</v>
      </c>
      <c r="N46" s="73"/>
      <c r="O46" s="1"/>
      <c r="P46" s="1"/>
      <c r="Q46" s="1"/>
      <c r="R46" s="1"/>
      <c r="S46" s="1"/>
      <c r="T46" s="1">
        <v>1</v>
      </c>
      <c r="U46" s="12">
        <f t="shared" si="4"/>
        <v>15800</v>
      </c>
    </row>
    <row r="47" spans="1:21" ht="15.5" x14ac:dyDescent="0.35">
      <c r="A47" s="1">
        <v>14</v>
      </c>
      <c r="B47" s="1" t="s">
        <v>441</v>
      </c>
      <c r="C47" s="18" t="s">
        <v>55</v>
      </c>
      <c r="D47" s="1">
        <v>3000</v>
      </c>
      <c r="E47" s="1">
        <v>45</v>
      </c>
      <c r="F47" s="111">
        <f t="shared" si="3"/>
        <v>135000</v>
      </c>
      <c r="G47" s="1" t="s">
        <v>22</v>
      </c>
      <c r="H47" s="1" t="s">
        <v>27</v>
      </c>
      <c r="I47" s="1" t="s">
        <v>21</v>
      </c>
      <c r="J47" s="1"/>
      <c r="K47" s="1"/>
      <c r="L47" s="1"/>
      <c r="M47" s="81" t="s">
        <v>24</v>
      </c>
      <c r="N47" s="73"/>
      <c r="O47" s="1"/>
      <c r="P47" s="1"/>
      <c r="Q47" s="1"/>
      <c r="R47" s="1"/>
      <c r="S47" s="1"/>
      <c r="T47" s="1">
        <v>3000</v>
      </c>
      <c r="U47" s="12">
        <f t="shared" si="4"/>
        <v>135000</v>
      </c>
    </row>
    <row r="48" spans="1:21" ht="15.5" x14ac:dyDescent="0.35">
      <c r="A48" s="1">
        <v>15</v>
      </c>
      <c r="B48" s="1" t="s">
        <v>442</v>
      </c>
      <c r="C48" s="18" t="s">
        <v>55</v>
      </c>
      <c r="D48" s="1">
        <v>40</v>
      </c>
      <c r="E48" s="1">
        <v>2500</v>
      </c>
      <c r="F48" s="111">
        <f t="shared" si="3"/>
        <v>100000</v>
      </c>
      <c r="G48" s="1" t="s">
        <v>22</v>
      </c>
      <c r="H48" s="1" t="s">
        <v>27</v>
      </c>
      <c r="I48" s="1" t="s">
        <v>21</v>
      </c>
      <c r="J48" s="1"/>
      <c r="K48" s="1"/>
      <c r="L48" s="1"/>
      <c r="M48" s="81" t="s">
        <v>24</v>
      </c>
      <c r="N48" s="73"/>
      <c r="O48" s="1"/>
      <c r="P48" s="1"/>
      <c r="Q48" s="1"/>
      <c r="R48" s="1"/>
      <c r="S48" s="1"/>
      <c r="T48" s="1">
        <v>40</v>
      </c>
      <c r="U48" s="12">
        <f t="shared" si="4"/>
        <v>100000</v>
      </c>
    </row>
    <row r="49" spans="1:21" ht="15.5" x14ac:dyDescent="0.35">
      <c r="A49" s="1">
        <v>16</v>
      </c>
      <c r="B49" s="1" t="s">
        <v>443</v>
      </c>
      <c r="C49" s="13" t="s">
        <v>310</v>
      </c>
      <c r="D49" s="1">
        <v>2</v>
      </c>
      <c r="E49" s="1">
        <v>38200</v>
      </c>
      <c r="F49" s="111">
        <f t="shared" si="3"/>
        <v>76400</v>
      </c>
      <c r="G49" s="1" t="s">
        <v>22</v>
      </c>
      <c r="H49" s="1" t="s">
        <v>27</v>
      </c>
      <c r="I49" s="1" t="s">
        <v>21</v>
      </c>
      <c r="J49" s="1"/>
      <c r="K49" s="1"/>
      <c r="L49" s="1"/>
      <c r="M49" s="81" t="s">
        <v>24</v>
      </c>
      <c r="N49" s="73"/>
      <c r="O49" s="1"/>
      <c r="P49" s="1"/>
      <c r="Q49" s="1"/>
      <c r="R49" s="1"/>
      <c r="S49" s="1"/>
      <c r="T49" s="1">
        <v>2</v>
      </c>
      <c r="U49" s="12">
        <f t="shared" si="4"/>
        <v>76400</v>
      </c>
    </row>
    <row r="50" spans="1:21" ht="15.5" x14ac:dyDescent="0.35">
      <c r="A50" s="1">
        <v>17</v>
      </c>
      <c r="B50" s="13" t="s">
        <v>444</v>
      </c>
      <c r="C50" s="1" t="s">
        <v>310</v>
      </c>
      <c r="D50" s="1">
        <v>2</v>
      </c>
      <c r="E50" s="43">
        <v>12500</v>
      </c>
      <c r="F50" s="111">
        <f t="shared" si="3"/>
        <v>25000</v>
      </c>
      <c r="G50" s="1" t="s">
        <v>22</v>
      </c>
      <c r="H50" s="1" t="s">
        <v>27</v>
      </c>
      <c r="I50" s="1" t="s">
        <v>21</v>
      </c>
      <c r="J50" s="1"/>
      <c r="K50" s="1"/>
      <c r="L50" s="1"/>
      <c r="M50" s="81" t="s">
        <v>24</v>
      </c>
      <c r="N50" s="1"/>
      <c r="O50" s="1"/>
      <c r="P50" s="1"/>
      <c r="Q50" s="1"/>
      <c r="R50" s="1"/>
      <c r="S50" s="1"/>
      <c r="T50" s="1">
        <v>2</v>
      </c>
      <c r="U50" s="12">
        <f t="shared" si="4"/>
        <v>25000</v>
      </c>
    </row>
    <row r="51" spans="1:21" ht="15.5" x14ac:dyDescent="0.35">
      <c r="A51" s="1">
        <v>18</v>
      </c>
      <c r="B51" s="13" t="s">
        <v>445</v>
      </c>
      <c r="C51" s="1" t="s">
        <v>310</v>
      </c>
      <c r="D51" s="1">
        <v>2</v>
      </c>
      <c r="E51" s="3">
        <v>12200</v>
      </c>
      <c r="F51" s="111">
        <f t="shared" si="3"/>
        <v>24400</v>
      </c>
      <c r="G51" s="1" t="s">
        <v>22</v>
      </c>
      <c r="H51" s="1" t="s">
        <v>27</v>
      </c>
      <c r="I51" s="1" t="s">
        <v>21</v>
      </c>
      <c r="J51" s="1"/>
      <c r="K51" s="1"/>
      <c r="L51" s="1"/>
      <c r="M51" s="81" t="s">
        <v>24</v>
      </c>
      <c r="N51" s="1"/>
      <c r="O51" s="1"/>
      <c r="P51" s="1"/>
      <c r="Q51" s="1"/>
      <c r="R51" s="1"/>
      <c r="S51" s="1"/>
      <c r="T51" s="1">
        <v>2</v>
      </c>
      <c r="U51" s="12">
        <f t="shared" si="4"/>
        <v>24400</v>
      </c>
    </row>
    <row r="52" spans="1:21" ht="15.5" x14ac:dyDescent="0.35">
      <c r="A52" s="1">
        <v>19</v>
      </c>
      <c r="B52" s="18" t="s">
        <v>446</v>
      </c>
      <c r="C52" s="1" t="s">
        <v>310</v>
      </c>
      <c r="D52" s="1">
        <v>2</v>
      </c>
      <c r="E52" s="3">
        <v>38000</v>
      </c>
      <c r="F52" s="111">
        <f>D52*E52</f>
        <v>76000</v>
      </c>
      <c r="G52" s="1" t="s">
        <v>22</v>
      </c>
      <c r="H52" s="1" t="s">
        <v>27</v>
      </c>
      <c r="I52" s="1" t="s">
        <v>21</v>
      </c>
      <c r="J52" s="1"/>
      <c r="K52" s="1"/>
      <c r="L52" s="1"/>
      <c r="M52" s="81" t="s">
        <v>24</v>
      </c>
      <c r="N52" s="1"/>
      <c r="O52" s="1"/>
      <c r="P52" s="1"/>
      <c r="Q52" s="1"/>
      <c r="R52" s="1"/>
      <c r="S52" s="1"/>
      <c r="T52" s="1">
        <v>2</v>
      </c>
      <c r="U52" s="12">
        <f t="shared" si="4"/>
        <v>76000</v>
      </c>
    </row>
    <row r="53" spans="1:21" ht="15.5" x14ac:dyDescent="0.35">
      <c r="A53" s="1">
        <v>20</v>
      </c>
      <c r="B53" s="18" t="s">
        <v>447</v>
      </c>
      <c r="C53" s="1" t="s">
        <v>310</v>
      </c>
      <c r="D53" s="1">
        <v>2</v>
      </c>
      <c r="E53" s="3">
        <v>24200</v>
      </c>
      <c r="F53" s="111">
        <f>D53*E53</f>
        <v>48400</v>
      </c>
      <c r="G53" s="1" t="s">
        <v>22</v>
      </c>
      <c r="H53" s="1" t="s">
        <v>27</v>
      </c>
      <c r="I53" s="1" t="s">
        <v>21</v>
      </c>
      <c r="J53" s="1"/>
      <c r="K53" s="1"/>
      <c r="L53" s="1"/>
      <c r="M53" s="81" t="s">
        <v>24</v>
      </c>
      <c r="N53" s="1"/>
      <c r="O53" s="1"/>
      <c r="P53" s="1"/>
      <c r="Q53" s="1"/>
      <c r="R53" s="1"/>
      <c r="S53" s="1"/>
      <c r="T53" s="1">
        <v>2</v>
      </c>
      <c r="U53" s="12">
        <f t="shared" si="4"/>
        <v>48400</v>
      </c>
    </row>
    <row r="54" spans="1:21" ht="15.5" x14ac:dyDescent="0.35">
      <c r="A54" s="1">
        <v>21</v>
      </c>
      <c r="B54" s="18" t="s">
        <v>448</v>
      </c>
      <c r="C54" s="1" t="s">
        <v>310</v>
      </c>
      <c r="D54" s="1">
        <v>2</v>
      </c>
      <c r="E54" s="3">
        <v>120000</v>
      </c>
      <c r="F54" s="111">
        <f t="shared" si="3"/>
        <v>240000</v>
      </c>
      <c r="G54" s="1" t="s">
        <v>22</v>
      </c>
      <c r="H54" s="1" t="s">
        <v>27</v>
      </c>
      <c r="I54" s="1" t="s">
        <v>21</v>
      </c>
      <c r="J54" s="1"/>
      <c r="K54" s="1"/>
      <c r="L54" s="1"/>
      <c r="M54" s="81" t="s">
        <v>24</v>
      </c>
      <c r="N54" s="1"/>
      <c r="O54" s="1"/>
      <c r="P54" s="1"/>
      <c r="Q54" s="1"/>
      <c r="R54" s="1"/>
      <c r="S54" s="1"/>
      <c r="T54" s="1">
        <v>2</v>
      </c>
      <c r="U54" s="12">
        <f t="shared" si="4"/>
        <v>240000</v>
      </c>
    </row>
    <row r="55" spans="1:21" ht="15.5" x14ac:dyDescent="0.35">
      <c r="A55" s="1">
        <v>22</v>
      </c>
      <c r="B55" s="18" t="s">
        <v>449</v>
      </c>
      <c r="C55" s="1" t="s">
        <v>310</v>
      </c>
      <c r="D55" s="1">
        <v>2</v>
      </c>
      <c r="E55" s="3">
        <v>9800</v>
      </c>
      <c r="F55" s="111">
        <f>D55*E55</f>
        <v>19600</v>
      </c>
      <c r="G55" s="1" t="s">
        <v>22</v>
      </c>
      <c r="H55" s="1" t="s">
        <v>27</v>
      </c>
      <c r="I55" s="1" t="s">
        <v>21</v>
      </c>
      <c r="J55" s="1"/>
      <c r="K55" s="1"/>
      <c r="L55" s="1"/>
      <c r="M55" s="81" t="s">
        <v>24</v>
      </c>
      <c r="N55" s="1"/>
      <c r="O55" s="1"/>
      <c r="P55" s="1"/>
      <c r="Q55" s="1"/>
      <c r="R55" s="1"/>
      <c r="S55" s="1"/>
      <c r="T55" s="1">
        <v>2</v>
      </c>
      <c r="U55" s="12">
        <f>D55*E55</f>
        <v>19600</v>
      </c>
    </row>
    <row r="56" spans="1:21" ht="15.5" x14ac:dyDescent="0.35">
      <c r="A56" s="1">
        <v>23</v>
      </c>
      <c r="B56" s="18" t="s">
        <v>450</v>
      </c>
      <c r="C56" s="1" t="s">
        <v>310</v>
      </c>
      <c r="D56" s="1">
        <v>2</v>
      </c>
      <c r="E56" s="3">
        <v>16400</v>
      </c>
      <c r="F56" s="111">
        <f t="shared" si="3"/>
        <v>32800</v>
      </c>
      <c r="G56" s="1" t="s">
        <v>22</v>
      </c>
      <c r="H56" s="1" t="s">
        <v>27</v>
      </c>
      <c r="I56" s="1" t="s">
        <v>21</v>
      </c>
      <c r="J56" s="1"/>
      <c r="K56" s="1"/>
      <c r="L56" s="1"/>
      <c r="M56" s="81" t="s">
        <v>24</v>
      </c>
      <c r="N56" s="1"/>
      <c r="O56" s="1"/>
      <c r="P56" s="1"/>
      <c r="Q56" s="1"/>
      <c r="R56" s="1"/>
      <c r="S56" s="1"/>
      <c r="T56" s="1">
        <v>2</v>
      </c>
      <c r="U56" s="12">
        <f t="shared" si="4"/>
        <v>32800</v>
      </c>
    </row>
    <row r="57" spans="1:21" ht="15.5" x14ac:dyDescent="0.35">
      <c r="A57" s="1">
        <v>24</v>
      </c>
      <c r="B57" s="18" t="s">
        <v>451</v>
      </c>
      <c r="C57" s="1" t="s">
        <v>310</v>
      </c>
      <c r="D57" s="1">
        <v>2</v>
      </c>
      <c r="E57" s="3">
        <v>14800</v>
      </c>
      <c r="F57" s="111">
        <f t="shared" si="3"/>
        <v>29600</v>
      </c>
      <c r="G57" s="1" t="s">
        <v>22</v>
      </c>
      <c r="H57" s="1" t="s">
        <v>27</v>
      </c>
      <c r="I57" s="1" t="s">
        <v>21</v>
      </c>
      <c r="J57" s="1"/>
      <c r="K57" s="1"/>
      <c r="L57" s="1"/>
      <c r="M57" s="81" t="s">
        <v>24</v>
      </c>
      <c r="N57" s="1"/>
      <c r="O57" s="1"/>
      <c r="P57" s="1"/>
      <c r="Q57" s="1"/>
      <c r="R57" s="1"/>
      <c r="S57" s="1"/>
      <c r="T57" s="1">
        <v>2</v>
      </c>
      <c r="U57" s="12">
        <f t="shared" si="4"/>
        <v>29600</v>
      </c>
    </row>
    <row r="58" spans="1:21" ht="15.5" x14ac:dyDescent="0.35">
      <c r="A58" s="1">
        <v>25</v>
      </c>
      <c r="B58" s="18" t="s">
        <v>452</v>
      </c>
      <c r="C58" s="1" t="s">
        <v>310</v>
      </c>
      <c r="D58" s="1">
        <v>1</v>
      </c>
      <c r="E58" s="3">
        <v>28700</v>
      </c>
      <c r="F58" s="111">
        <f t="shared" si="3"/>
        <v>28700</v>
      </c>
      <c r="G58" s="1" t="s">
        <v>22</v>
      </c>
      <c r="H58" s="1" t="s">
        <v>27</v>
      </c>
      <c r="I58" s="1" t="s">
        <v>21</v>
      </c>
      <c r="J58" s="1"/>
      <c r="K58" s="1"/>
      <c r="L58" s="1"/>
      <c r="M58" s="81" t="s">
        <v>24</v>
      </c>
      <c r="N58" s="1"/>
      <c r="O58" s="1"/>
      <c r="P58" s="1"/>
      <c r="Q58" s="1"/>
      <c r="R58" s="1"/>
      <c r="S58" s="1"/>
      <c r="T58" s="1">
        <v>1</v>
      </c>
      <c r="U58" s="12">
        <f t="shared" si="4"/>
        <v>28700</v>
      </c>
    </row>
    <row r="59" spans="1:21" ht="15.5" x14ac:dyDescent="0.35">
      <c r="A59" s="1"/>
      <c r="B59" s="18"/>
      <c r="C59" s="1"/>
      <c r="D59" s="1"/>
      <c r="E59" s="3"/>
      <c r="F59" s="111"/>
      <c r="G59" s="1"/>
      <c r="H59" s="1"/>
      <c r="I59" s="1"/>
      <c r="J59" s="1"/>
      <c r="K59" s="1"/>
      <c r="L59" s="1"/>
      <c r="M59" s="73"/>
      <c r="N59" s="1"/>
      <c r="O59" s="1"/>
      <c r="P59" s="1"/>
      <c r="Q59" s="1"/>
      <c r="R59" s="1"/>
      <c r="S59" s="1"/>
      <c r="T59" s="1"/>
      <c r="U59" s="12"/>
    </row>
    <row r="60" spans="1:21" ht="15.5" x14ac:dyDescent="0.35">
      <c r="A60" s="1"/>
      <c r="B60" s="18"/>
      <c r="C60" s="1"/>
      <c r="D60" s="1"/>
      <c r="E60" s="3"/>
      <c r="F60" s="83"/>
      <c r="G60" s="1"/>
      <c r="H60" s="1"/>
      <c r="I60" s="1"/>
      <c r="J60" s="1"/>
      <c r="K60" s="1"/>
      <c r="L60" s="1"/>
      <c r="M60" s="73"/>
      <c r="N60" s="1"/>
      <c r="O60" s="1"/>
      <c r="P60" s="1"/>
      <c r="Q60" s="1"/>
      <c r="R60" s="1"/>
      <c r="S60" s="1"/>
      <c r="T60" s="1"/>
      <c r="U60" s="12"/>
    </row>
    <row r="61" spans="1:21" ht="15.5" x14ac:dyDescent="0.35">
      <c r="A61" s="1"/>
      <c r="B61" s="18"/>
      <c r="C61" s="1"/>
      <c r="D61" s="1"/>
      <c r="E61" s="3"/>
      <c r="F61" s="83">
        <f>SUM(F34:F60)</f>
        <v>1253602</v>
      </c>
      <c r="G61" s="1"/>
      <c r="H61" s="1"/>
      <c r="I61" s="1"/>
      <c r="J61" s="1"/>
      <c r="K61" s="1"/>
      <c r="L61" s="1"/>
      <c r="M61" s="73"/>
      <c r="N61" s="1"/>
      <c r="O61" s="1"/>
      <c r="P61" s="1"/>
      <c r="Q61" s="1"/>
      <c r="R61" s="1"/>
      <c r="S61" s="1"/>
      <c r="T61" s="1"/>
      <c r="U61" s="12"/>
    </row>
    <row r="62" spans="1:21" ht="15.5" x14ac:dyDescent="0.35">
      <c r="A62" s="1"/>
      <c r="B62" s="18"/>
      <c r="C62" s="1"/>
      <c r="D62" s="1"/>
      <c r="E62" s="3"/>
      <c r="F62" s="3"/>
      <c r="G62" s="1"/>
      <c r="H62" s="1"/>
      <c r="I62" s="1"/>
      <c r="J62" s="1"/>
      <c r="K62" s="1"/>
      <c r="L62" s="1"/>
      <c r="M62" s="73"/>
      <c r="N62" s="1"/>
      <c r="O62" s="1"/>
      <c r="P62" s="1"/>
      <c r="Q62" s="1"/>
      <c r="R62" s="1"/>
      <c r="S62" s="1"/>
      <c r="T62" s="1"/>
      <c r="U62" s="12"/>
    </row>
    <row r="63" spans="1:21" x14ac:dyDescent="0.35">
      <c r="A63" s="1"/>
      <c r="B63" s="14"/>
      <c r="C63" s="14"/>
      <c r="D63" s="14"/>
      <c r="E63" s="3" t="s">
        <v>429</v>
      </c>
      <c r="F63" s="83"/>
      <c r="G63" s="1"/>
      <c r="H63" s="1"/>
      <c r="I63" s="1"/>
      <c r="J63" s="1"/>
      <c r="K63" s="1"/>
      <c r="L63" s="1"/>
      <c r="M63" s="75"/>
      <c r="N63" s="1"/>
      <c r="O63" s="1"/>
      <c r="P63" s="1"/>
      <c r="Q63" s="1"/>
      <c r="R63" s="1"/>
      <c r="S63" s="1"/>
      <c r="T63" s="1"/>
      <c r="U63" s="12"/>
    </row>
    <row r="64" spans="1:21" x14ac:dyDescent="0.35">
      <c r="A64" s="125" t="s">
        <v>372</v>
      </c>
      <c r="B64" s="126"/>
      <c r="C64" s="1"/>
      <c r="D64" s="1"/>
      <c r="E64" s="3"/>
      <c r="F64" s="3"/>
      <c r="G64" s="1"/>
      <c r="H64" s="1"/>
      <c r="I64" s="1"/>
      <c r="J64" s="1"/>
      <c r="K64" s="1"/>
      <c r="L64" s="1"/>
      <c r="M64" s="75"/>
      <c r="N64" s="1"/>
      <c r="O64" s="1"/>
      <c r="P64" s="1"/>
      <c r="Q64" s="1"/>
      <c r="R64" s="1"/>
      <c r="S64" s="1"/>
      <c r="T64" s="1"/>
      <c r="U64" s="12"/>
    </row>
    <row r="65" spans="1:21" x14ac:dyDescent="0.35">
      <c r="A65" s="67">
        <v>1</v>
      </c>
      <c r="B65" s="68" t="s">
        <v>463</v>
      </c>
      <c r="C65" s="1" t="s">
        <v>464</v>
      </c>
      <c r="D65" s="1">
        <v>10</v>
      </c>
      <c r="E65" s="3">
        <v>3600</v>
      </c>
      <c r="F65" s="3">
        <v>36000</v>
      </c>
      <c r="G65" s="1" t="s">
        <v>465</v>
      </c>
      <c r="H65" s="1" t="s">
        <v>27</v>
      </c>
      <c r="I65" s="1" t="s">
        <v>21</v>
      </c>
      <c r="J65" s="1"/>
      <c r="K65" s="1"/>
      <c r="L65" s="1"/>
      <c r="M65" s="73" t="s">
        <v>24</v>
      </c>
      <c r="N65" s="1"/>
      <c r="O65" s="66"/>
      <c r="P65" s="1"/>
      <c r="Q65" s="1"/>
      <c r="R65" s="1"/>
      <c r="S65" s="1"/>
      <c r="T65" s="1">
        <v>10</v>
      </c>
      <c r="U65" s="12">
        <f>D65*E65</f>
        <v>36000</v>
      </c>
    </row>
    <row r="66" spans="1:21" x14ac:dyDescent="0.35">
      <c r="A66" s="67"/>
      <c r="B66" s="68"/>
      <c r="C66" s="1"/>
      <c r="D66" s="1"/>
      <c r="E66" s="3"/>
      <c r="F66" s="3"/>
      <c r="G66" s="1"/>
      <c r="H66" s="1"/>
      <c r="I66" s="1"/>
      <c r="J66" s="1"/>
      <c r="K66" s="1"/>
      <c r="L66" s="1"/>
      <c r="M66" s="73"/>
      <c r="N66" s="1"/>
      <c r="O66" s="66"/>
      <c r="P66" s="1"/>
      <c r="Q66" s="1"/>
      <c r="R66" s="1"/>
      <c r="S66" s="1"/>
      <c r="T66" s="1"/>
      <c r="U66" s="12"/>
    </row>
    <row r="67" spans="1:21" x14ac:dyDescent="0.35">
      <c r="A67" s="1"/>
      <c r="B67" s="1"/>
      <c r="C67" s="1"/>
      <c r="D67" s="1"/>
      <c r="E67" s="3"/>
      <c r="F67" s="83">
        <f>SUM(F65:F66)</f>
        <v>36000</v>
      </c>
      <c r="G67" s="1"/>
      <c r="H67" s="1"/>
      <c r="I67" s="1"/>
      <c r="J67" s="1"/>
      <c r="K67" s="1"/>
      <c r="L67" s="1"/>
      <c r="M67" s="75"/>
      <c r="N67" s="1"/>
      <c r="O67" s="1"/>
      <c r="P67" s="1"/>
      <c r="Q67" s="1"/>
      <c r="R67" s="1"/>
      <c r="S67" s="1"/>
      <c r="T67" s="1"/>
      <c r="U67" s="12"/>
    </row>
    <row r="68" spans="1:21" x14ac:dyDescent="0.35">
      <c r="A68" s="127" t="s">
        <v>373</v>
      </c>
      <c r="B68" s="128"/>
      <c r="C68" s="1"/>
      <c r="D68" s="1"/>
      <c r="E68" s="3"/>
      <c r="F68" s="3"/>
      <c r="G68" s="1"/>
      <c r="H68" s="1"/>
      <c r="I68" s="1"/>
      <c r="J68" s="1"/>
      <c r="K68" s="1"/>
      <c r="L68" s="1"/>
      <c r="M68" s="75"/>
      <c r="N68" s="1"/>
      <c r="O68" s="1"/>
      <c r="P68" s="1"/>
      <c r="Q68" s="1"/>
      <c r="R68" s="1"/>
      <c r="S68" s="1"/>
      <c r="T68" s="1"/>
      <c r="U68" s="12"/>
    </row>
    <row r="69" spans="1:21" s="15" customFormat="1" x14ac:dyDescent="0.35">
      <c r="A69" s="14">
        <v>1</v>
      </c>
      <c r="B69" s="50" t="s">
        <v>473</v>
      </c>
      <c r="C69" s="14" t="s">
        <v>391</v>
      </c>
      <c r="D69" s="14">
        <v>10</v>
      </c>
      <c r="E69" s="19">
        <v>60000</v>
      </c>
      <c r="F69" s="19">
        <f t="shared" ref="F69:F74" si="5">D69*E69</f>
        <v>600000</v>
      </c>
      <c r="G69" s="14" t="s">
        <v>22</v>
      </c>
      <c r="H69" s="14" t="s">
        <v>27</v>
      </c>
      <c r="I69" s="14" t="s">
        <v>21</v>
      </c>
      <c r="J69" s="14"/>
      <c r="K69" s="14"/>
      <c r="L69" s="14"/>
      <c r="M69" s="81" t="s">
        <v>24</v>
      </c>
      <c r="N69" s="14"/>
      <c r="O69" s="14"/>
      <c r="P69" s="14"/>
      <c r="Q69" s="14"/>
      <c r="R69" s="14"/>
      <c r="S69" s="14"/>
      <c r="T69" s="14">
        <v>10</v>
      </c>
      <c r="U69" s="45">
        <f t="shared" ref="U69:U81" si="6">D69*E69</f>
        <v>600000</v>
      </c>
    </row>
    <row r="70" spans="1:21" s="15" customFormat="1" x14ac:dyDescent="0.35">
      <c r="A70" s="14">
        <v>2</v>
      </c>
      <c r="B70" s="50" t="s">
        <v>431</v>
      </c>
      <c r="C70" s="14" t="s">
        <v>391</v>
      </c>
      <c r="D70" s="14">
        <v>10</v>
      </c>
      <c r="E70" s="19">
        <v>50000</v>
      </c>
      <c r="F70" s="19">
        <f t="shared" si="5"/>
        <v>500000</v>
      </c>
      <c r="G70" s="14" t="s">
        <v>22</v>
      </c>
      <c r="H70" s="14" t="s">
        <v>27</v>
      </c>
      <c r="I70" s="14" t="s">
        <v>21</v>
      </c>
      <c r="J70" s="14"/>
      <c r="K70" s="14"/>
      <c r="L70" s="14"/>
      <c r="M70" s="81" t="s">
        <v>24</v>
      </c>
      <c r="N70" s="14"/>
      <c r="O70" s="14"/>
      <c r="P70" s="14"/>
      <c r="Q70" s="14"/>
      <c r="R70" s="14"/>
      <c r="S70" s="14"/>
      <c r="T70" s="14">
        <v>10</v>
      </c>
      <c r="U70" s="45">
        <f t="shared" si="6"/>
        <v>500000</v>
      </c>
    </row>
    <row r="71" spans="1:21" s="15" customFormat="1" x14ac:dyDescent="0.35">
      <c r="A71" s="14">
        <v>4</v>
      </c>
      <c r="B71" s="50" t="s">
        <v>432</v>
      </c>
      <c r="C71" s="14" t="s">
        <v>391</v>
      </c>
      <c r="D71" s="14">
        <v>5</v>
      </c>
      <c r="E71" s="19">
        <v>25000</v>
      </c>
      <c r="F71" s="19">
        <f t="shared" si="5"/>
        <v>125000</v>
      </c>
      <c r="G71" s="14" t="s">
        <v>22</v>
      </c>
      <c r="H71" s="14" t="s">
        <v>27</v>
      </c>
      <c r="I71" s="14" t="s">
        <v>21</v>
      </c>
      <c r="J71" s="14"/>
      <c r="K71" s="14"/>
      <c r="L71" s="14"/>
      <c r="M71" s="81" t="s">
        <v>24</v>
      </c>
      <c r="N71" s="14"/>
      <c r="O71" s="14"/>
      <c r="P71" s="14"/>
      <c r="Q71" s="14"/>
      <c r="R71" s="14"/>
      <c r="S71" s="14"/>
      <c r="T71" s="14">
        <v>5</v>
      </c>
      <c r="U71" s="45">
        <f t="shared" si="6"/>
        <v>125000</v>
      </c>
    </row>
    <row r="72" spans="1:21" s="15" customFormat="1" x14ac:dyDescent="0.35">
      <c r="A72" s="14">
        <v>5</v>
      </c>
      <c r="B72" s="50" t="s">
        <v>474</v>
      </c>
      <c r="C72" s="14" t="s">
        <v>391</v>
      </c>
      <c r="D72" s="14">
        <v>5</v>
      </c>
      <c r="E72" s="19">
        <v>20000</v>
      </c>
      <c r="F72" s="19">
        <f t="shared" si="5"/>
        <v>100000</v>
      </c>
      <c r="G72" s="14" t="s">
        <v>22</v>
      </c>
      <c r="H72" s="14" t="s">
        <v>27</v>
      </c>
      <c r="I72" s="14" t="s">
        <v>21</v>
      </c>
      <c r="J72" s="14"/>
      <c r="K72" s="14"/>
      <c r="L72" s="14"/>
      <c r="M72" s="81" t="s">
        <v>24</v>
      </c>
      <c r="N72" s="14"/>
      <c r="O72" s="14"/>
      <c r="P72" s="14"/>
      <c r="Q72" s="14"/>
      <c r="R72" s="14"/>
      <c r="S72" s="14"/>
      <c r="T72" s="14">
        <v>5</v>
      </c>
      <c r="U72" s="45">
        <f t="shared" si="6"/>
        <v>100000</v>
      </c>
    </row>
    <row r="73" spans="1:21" s="15" customFormat="1" x14ac:dyDescent="0.35">
      <c r="A73" s="14">
        <v>6</v>
      </c>
      <c r="B73" s="50" t="s">
        <v>472</v>
      </c>
      <c r="C73" s="14" t="s">
        <v>391</v>
      </c>
      <c r="D73" s="14">
        <v>20</v>
      </c>
      <c r="E73" s="19">
        <v>50000</v>
      </c>
      <c r="F73" s="19">
        <f t="shared" si="5"/>
        <v>1000000</v>
      </c>
      <c r="G73" s="14" t="s">
        <v>22</v>
      </c>
      <c r="H73" s="14" t="s">
        <v>27</v>
      </c>
      <c r="I73" s="14" t="s">
        <v>21</v>
      </c>
      <c r="J73" s="14"/>
      <c r="K73" s="14"/>
      <c r="L73" s="14"/>
      <c r="M73" s="81" t="s">
        <v>24</v>
      </c>
      <c r="N73" s="14"/>
      <c r="O73" s="14"/>
      <c r="P73" s="14"/>
      <c r="Q73" s="14"/>
      <c r="R73" s="14"/>
      <c r="S73" s="14"/>
      <c r="T73" s="14">
        <v>25</v>
      </c>
      <c r="U73" s="45">
        <f t="shared" si="6"/>
        <v>1000000</v>
      </c>
    </row>
    <row r="74" spans="1:21" s="15" customFormat="1" x14ac:dyDescent="0.35">
      <c r="A74" s="14">
        <v>9</v>
      </c>
      <c r="B74" s="50" t="s">
        <v>433</v>
      </c>
      <c r="C74" s="14" t="s">
        <v>391</v>
      </c>
      <c r="D74" s="14">
        <v>15</v>
      </c>
      <c r="E74" s="19">
        <v>30000</v>
      </c>
      <c r="F74" s="19">
        <f t="shared" si="5"/>
        <v>450000</v>
      </c>
      <c r="G74" s="14" t="s">
        <v>22</v>
      </c>
      <c r="H74" s="14" t="s">
        <v>27</v>
      </c>
      <c r="I74" s="14" t="s">
        <v>21</v>
      </c>
      <c r="J74" s="14"/>
      <c r="K74" s="14"/>
      <c r="L74" s="14"/>
      <c r="M74" s="81" t="s">
        <v>24</v>
      </c>
      <c r="N74" s="14"/>
      <c r="O74" s="14"/>
      <c r="P74" s="14"/>
      <c r="Q74" s="14"/>
      <c r="R74" s="14"/>
      <c r="S74" s="14"/>
      <c r="T74" s="14">
        <v>15</v>
      </c>
      <c r="U74" s="45">
        <f t="shared" si="6"/>
        <v>450000</v>
      </c>
    </row>
    <row r="75" spans="1:21" s="15" customFormat="1" x14ac:dyDescent="0.35">
      <c r="A75" s="14">
        <v>11</v>
      </c>
      <c r="B75" s="82" t="s">
        <v>434</v>
      </c>
      <c r="C75" s="14" t="s">
        <v>391</v>
      </c>
      <c r="D75" s="14">
        <v>20</v>
      </c>
      <c r="E75" s="19">
        <v>50000</v>
      </c>
      <c r="F75" s="19">
        <f>D75*E75</f>
        <v>1000000</v>
      </c>
      <c r="G75" s="14" t="s">
        <v>22</v>
      </c>
      <c r="H75" s="14" t="s">
        <v>27</v>
      </c>
      <c r="I75" s="14" t="s">
        <v>21</v>
      </c>
      <c r="J75" s="14"/>
      <c r="K75" s="14"/>
      <c r="L75" s="14"/>
      <c r="M75" s="81" t="s">
        <v>24</v>
      </c>
      <c r="N75" s="14"/>
      <c r="O75" s="14"/>
      <c r="P75" s="14"/>
      <c r="Q75" s="14"/>
      <c r="R75" s="14"/>
      <c r="S75" s="14"/>
      <c r="T75" s="14">
        <v>20</v>
      </c>
      <c r="U75" s="45">
        <f t="shared" si="6"/>
        <v>1000000</v>
      </c>
    </row>
    <row r="76" spans="1:21" s="15" customFormat="1" x14ac:dyDescent="0.35">
      <c r="A76" s="14">
        <v>12</v>
      </c>
      <c r="B76" s="114" t="s">
        <v>475</v>
      </c>
      <c r="C76" s="14" t="s">
        <v>345</v>
      </c>
      <c r="D76" s="14">
        <v>25</v>
      </c>
      <c r="E76" s="19">
        <v>28560</v>
      </c>
      <c r="F76" s="19">
        <v>714000</v>
      </c>
      <c r="G76" s="14" t="s">
        <v>22</v>
      </c>
      <c r="H76" s="14" t="s">
        <v>27</v>
      </c>
      <c r="I76" s="14" t="s">
        <v>21</v>
      </c>
      <c r="J76" s="14"/>
      <c r="K76" s="14"/>
      <c r="L76" s="14"/>
      <c r="M76" s="81" t="s">
        <v>24</v>
      </c>
      <c r="N76" s="14"/>
      <c r="O76" s="14"/>
      <c r="P76" s="14"/>
      <c r="Q76" s="14"/>
      <c r="R76" s="14"/>
      <c r="S76" s="14"/>
      <c r="T76" s="14">
        <v>15</v>
      </c>
      <c r="U76" s="45">
        <f t="shared" si="6"/>
        <v>714000</v>
      </c>
    </row>
    <row r="77" spans="1:21" x14ac:dyDescent="0.35">
      <c r="A77" s="104"/>
      <c r="B77" s="105"/>
      <c r="C77" s="104"/>
      <c r="D77" s="104"/>
      <c r="E77" s="106"/>
      <c r="F77" s="19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45"/>
    </row>
    <row r="78" spans="1:21" x14ac:dyDescent="0.35">
      <c r="A78" s="14"/>
      <c r="B78" s="14"/>
      <c r="C78" s="14"/>
      <c r="D78" s="14"/>
      <c r="E78" s="19"/>
      <c r="F78" s="84">
        <f>SUM(F69:F77)</f>
        <v>4489000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45"/>
    </row>
    <row r="79" spans="1:21" s="15" customFormat="1" x14ac:dyDescent="0.35">
      <c r="A79" s="129" t="s">
        <v>374</v>
      </c>
      <c r="B79" s="130"/>
      <c r="C79" s="14"/>
      <c r="D79" s="14"/>
      <c r="E79" s="19"/>
      <c r="F79" s="19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45"/>
    </row>
    <row r="80" spans="1:21" s="15" customFormat="1" x14ac:dyDescent="0.35">
      <c r="A80" s="14">
        <v>1</v>
      </c>
      <c r="B80" s="14" t="s">
        <v>436</v>
      </c>
      <c r="C80" s="14" t="s">
        <v>152</v>
      </c>
      <c r="D80" s="14">
        <v>10</v>
      </c>
      <c r="E80" s="19">
        <v>28000</v>
      </c>
      <c r="F80" s="19">
        <f t="shared" ref="F80:F81" si="7">D80*E80</f>
        <v>280000</v>
      </c>
      <c r="G80" s="14" t="s">
        <v>22</v>
      </c>
      <c r="H80" s="14" t="s">
        <v>27</v>
      </c>
      <c r="I80" s="14" t="s">
        <v>21</v>
      </c>
      <c r="J80" s="81" t="s">
        <v>24</v>
      </c>
      <c r="K80" s="81" t="s">
        <v>24</v>
      </c>
      <c r="L80" s="81" t="s">
        <v>24</v>
      </c>
      <c r="M80" s="81"/>
      <c r="N80" s="14"/>
      <c r="O80" s="14"/>
      <c r="P80" s="14"/>
      <c r="Q80" s="14"/>
      <c r="R80" s="14"/>
      <c r="S80" s="14"/>
      <c r="T80" s="14">
        <v>10</v>
      </c>
      <c r="U80" s="45">
        <f t="shared" si="6"/>
        <v>280000</v>
      </c>
    </row>
    <row r="81" spans="1:21" s="15" customFormat="1" x14ac:dyDescent="0.35">
      <c r="A81" s="14">
        <v>2</v>
      </c>
      <c r="B81" s="14" t="s">
        <v>436</v>
      </c>
      <c r="C81" s="14" t="s">
        <v>152</v>
      </c>
      <c r="D81" s="14">
        <v>10</v>
      </c>
      <c r="E81" s="19">
        <v>28000</v>
      </c>
      <c r="F81" s="19">
        <f t="shared" si="7"/>
        <v>280000</v>
      </c>
      <c r="G81" s="14" t="s">
        <v>22</v>
      </c>
      <c r="H81" s="14" t="s">
        <v>27</v>
      </c>
      <c r="I81" s="14" t="s">
        <v>21</v>
      </c>
      <c r="J81" s="81" t="s">
        <v>24</v>
      </c>
      <c r="K81" s="81" t="s">
        <v>24</v>
      </c>
      <c r="L81" s="81" t="s">
        <v>24</v>
      </c>
      <c r="M81" s="81"/>
      <c r="N81" s="14"/>
      <c r="O81" s="14"/>
      <c r="P81" s="14"/>
      <c r="Q81" s="14"/>
      <c r="R81" s="14"/>
      <c r="S81" s="14"/>
      <c r="T81" s="14">
        <v>10</v>
      </c>
      <c r="U81" s="45">
        <f t="shared" si="6"/>
        <v>280000</v>
      </c>
    </row>
    <row r="82" spans="1:21" s="15" customFormat="1" x14ac:dyDescent="0.35">
      <c r="A82" s="14">
        <v>3</v>
      </c>
      <c r="B82" s="14" t="s">
        <v>436</v>
      </c>
      <c r="C82" s="14" t="s">
        <v>152</v>
      </c>
      <c r="D82" s="14">
        <v>8</v>
      </c>
      <c r="E82" s="19"/>
      <c r="F82" s="19">
        <v>2435990</v>
      </c>
      <c r="G82" s="14" t="s">
        <v>22</v>
      </c>
      <c r="H82" s="14" t="s">
        <v>27</v>
      </c>
      <c r="I82" s="14" t="s">
        <v>21</v>
      </c>
      <c r="J82" s="81" t="s">
        <v>24</v>
      </c>
      <c r="K82" s="81" t="s">
        <v>24</v>
      </c>
      <c r="L82" s="81" t="s">
        <v>24</v>
      </c>
      <c r="M82" s="81"/>
      <c r="N82" s="14"/>
      <c r="O82" s="14"/>
      <c r="P82" s="14"/>
      <c r="Q82" s="14"/>
      <c r="R82" s="14"/>
      <c r="S82" s="14"/>
      <c r="T82" s="14">
        <v>8</v>
      </c>
      <c r="U82" s="45">
        <v>2435990</v>
      </c>
    </row>
    <row r="83" spans="1:21" x14ac:dyDescent="0.35">
      <c r="A83" s="14"/>
      <c r="B83" s="14"/>
      <c r="C83" s="14"/>
      <c r="D83" s="14"/>
      <c r="E83" s="19"/>
      <c r="F83" s="84">
        <f>SUM(F80:F82)</f>
        <v>2995990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45"/>
    </row>
    <row r="84" spans="1:21" x14ac:dyDescent="0.35">
      <c r="A84" s="14"/>
      <c r="B84" s="14"/>
      <c r="C84" s="14"/>
      <c r="D84" s="14"/>
      <c r="E84" s="51"/>
      <c r="F84" s="86"/>
      <c r="G84" s="14"/>
      <c r="H84" s="14"/>
      <c r="I84" s="14"/>
      <c r="J84" s="81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45"/>
    </row>
    <row r="85" spans="1:21" x14ac:dyDescent="0.35">
      <c r="A85" s="129" t="s">
        <v>375</v>
      </c>
      <c r="B85" s="130"/>
      <c r="C85" s="14"/>
      <c r="D85" s="14"/>
      <c r="E85" s="51"/>
      <c r="F85" s="86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45"/>
    </row>
    <row r="86" spans="1:21" s="15" customFormat="1" x14ac:dyDescent="0.35">
      <c r="A86" s="14">
        <v>1</v>
      </c>
      <c r="B86" s="14" t="s">
        <v>437</v>
      </c>
      <c r="C86" s="14" t="s">
        <v>212</v>
      </c>
      <c r="D86" s="14">
        <v>1</v>
      </c>
      <c r="E86" s="51">
        <v>1400000</v>
      </c>
      <c r="F86" s="115">
        <f>D86*E86</f>
        <v>1400000</v>
      </c>
      <c r="G86" s="14" t="s">
        <v>22</v>
      </c>
      <c r="H86" s="14" t="s">
        <v>27</v>
      </c>
      <c r="I86" s="14" t="s">
        <v>21</v>
      </c>
      <c r="J86" s="81" t="s">
        <v>24</v>
      </c>
      <c r="K86" s="81" t="s">
        <v>24</v>
      </c>
      <c r="L86" s="81" t="s">
        <v>24</v>
      </c>
      <c r="M86" s="14"/>
      <c r="N86" s="14"/>
      <c r="O86" s="14"/>
      <c r="P86" s="14"/>
      <c r="Q86" s="14"/>
      <c r="R86" s="14"/>
      <c r="S86" s="14"/>
      <c r="T86" s="14">
        <v>1</v>
      </c>
      <c r="U86" s="45">
        <f>D86*E86</f>
        <v>1400000</v>
      </c>
    </row>
    <row r="87" spans="1:21" ht="58" x14ac:dyDescent="0.35">
      <c r="A87" s="14">
        <v>2</v>
      </c>
      <c r="B87" s="50" t="s">
        <v>467</v>
      </c>
      <c r="C87" s="14" t="s">
        <v>74</v>
      </c>
      <c r="D87" s="14">
        <v>160000</v>
      </c>
      <c r="E87" s="19">
        <v>5</v>
      </c>
      <c r="F87" s="115">
        <v>800000</v>
      </c>
      <c r="G87" s="14"/>
      <c r="I87" s="14"/>
      <c r="J87" s="81"/>
      <c r="K87" s="81"/>
      <c r="L87" s="81"/>
      <c r="M87" s="14"/>
      <c r="N87" s="14"/>
      <c r="O87" s="14"/>
      <c r="P87" s="14"/>
      <c r="Q87" s="14"/>
      <c r="R87" s="14"/>
      <c r="S87" s="14"/>
      <c r="T87" s="14">
        <v>160000</v>
      </c>
      <c r="U87" s="45">
        <f>D87*E87</f>
        <v>800000</v>
      </c>
    </row>
    <row r="88" spans="1:21" x14ac:dyDescent="0.35">
      <c r="A88" s="14">
        <v>3</v>
      </c>
      <c r="B88" s="50" t="s">
        <v>476</v>
      </c>
      <c r="C88" s="14" t="s">
        <v>477</v>
      </c>
      <c r="D88" s="14">
        <v>1</v>
      </c>
      <c r="E88" s="19">
        <v>236000</v>
      </c>
      <c r="F88" s="115">
        <f>D88*E88</f>
        <v>236000</v>
      </c>
      <c r="G88" s="14"/>
      <c r="H88" s="14"/>
      <c r="I88" s="14"/>
      <c r="J88" s="81"/>
      <c r="K88" s="81"/>
      <c r="L88" s="81"/>
      <c r="M88" s="14"/>
      <c r="N88" s="14"/>
      <c r="O88" s="14"/>
      <c r="P88" s="14"/>
      <c r="Q88" s="14"/>
      <c r="R88" s="14"/>
      <c r="S88" s="14"/>
      <c r="T88" s="14">
        <v>1</v>
      </c>
      <c r="U88" s="45">
        <v>236000</v>
      </c>
    </row>
    <row r="89" spans="1:21" x14ac:dyDescent="0.35">
      <c r="A89" s="14"/>
      <c r="B89" s="50"/>
      <c r="C89" s="14"/>
      <c r="D89" s="14"/>
      <c r="E89" s="19"/>
      <c r="F89" s="86">
        <f>SUM(F86:F88)</f>
        <v>2436000</v>
      </c>
      <c r="G89" s="14"/>
      <c r="H89" s="14"/>
      <c r="I89" s="14"/>
      <c r="J89" s="81"/>
      <c r="K89" s="81"/>
      <c r="L89" s="81"/>
      <c r="M89" s="14"/>
      <c r="N89" s="14"/>
      <c r="O89" s="14"/>
      <c r="P89" s="14"/>
      <c r="Q89" s="14"/>
      <c r="R89" s="14"/>
      <c r="S89" s="14"/>
      <c r="T89" s="14"/>
      <c r="U89" s="45"/>
    </row>
    <row r="90" spans="1:21" x14ac:dyDescent="0.35">
      <c r="A90" s="14"/>
      <c r="B90" s="50"/>
      <c r="C90" s="14"/>
      <c r="D90" s="14"/>
      <c r="E90" s="19"/>
      <c r="F90" s="86"/>
      <c r="G90" s="14"/>
      <c r="H90" s="14"/>
      <c r="I90" s="14"/>
      <c r="J90" s="81"/>
      <c r="K90" s="81"/>
      <c r="L90" s="81"/>
      <c r="M90" s="14"/>
      <c r="N90" s="14"/>
      <c r="O90" s="14"/>
      <c r="P90" s="14"/>
      <c r="Q90" s="14"/>
      <c r="R90" s="14"/>
      <c r="S90" s="14"/>
      <c r="T90" s="14"/>
      <c r="U90" s="45"/>
    </row>
    <row r="91" spans="1:21" x14ac:dyDescent="0.35">
      <c r="A91" s="14"/>
      <c r="B91" s="50"/>
      <c r="C91" s="14"/>
      <c r="D91" s="14"/>
      <c r="E91" s="19"/>
      <c r="F91" s="86"/>
      <c r="G91" s="14"/>
      <c r="H91" s="14"/>
      <c r="I91" s="14"/>
      <c r="J91" s="81"/>
      <c r="K91" s="81"/>
      <c r="L91" s="81"/>
      <c r="M91" s="14"/>
      <c r="N91" s="14"/>
      <c r="O91" s="14"/>
      <c r="P91" s="14"/>
      <c r="Q91" s="14"/>
      <c r="R91" s="14"/>
      <c r="S91" s="14"/>
      <c r="T91" s="14"/>
      <c r="U91" s="45"/>
    </row>
    <row r="92" spans="1:21" s="15" customFormat="1" x14ac:dyDescent="0.35">
      <c r="A92" s="14"/>
      <c r="B92" s="14"/>
      <c r="C92" s="14"/>
      <c r="D92" s="14"/>
      <c r="E92" s="19"/>
      <c r="F92" s="85"/>
      <c r="G92" s="85"/>
      <c r="H92" s="85"/>
      <c r="I92" s="14"/>
      <c r="J92" s="81"/>
      <c r="K92" s="81"/>
      <c r="L92" s="81"/>
      <c r="M92" s="85"/>
      <c r="N92" s="85"/>
      <c r="O92" s="85"/>
      <c r="P92" s="85"/>
      <c r="Q92" s="85"/>
      <c r="R92" s="85"/>
      <c r="S92" s="85"/>
      <c r="T92" s="85"/>
      <c r="U92" s="45"/>
    </row>
    <row r="93" spans="1:21" s="15" customFormat="1" x14ac:dyDescent="0.35">
      <c r="A93" s="14"/>
      <c r="B93" s="14"/>
      <c r="C93" s="14"/>
      <c r="D93" s="14"/>
      <c r="E93" s="19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45"/>
    </row>
    <row r="94" spans="1:21" s="15" customFormat="1" x14ac:dyDescent="0.35">
      <c r="A94" s="14"/>
      <c r="B94" s="14"/>
      <c r="C94" s="14"/>
      <c r="D94" s="14"/>
      <c r="E94" s="85"/>
      <c r="F94" s="4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45"/>
    </row>
    <row r="95" spans="1:21" s="15" customFormat="1" x14ac:dyDescent="0.35">
      <c r="A95" s="129" t="s">
        <v>486</v>
      </c>
      <c r="B95" s="130"/>
      <c r="C95" s="14"/>
      <c r="D95" s="14"/>
      <c r="E95" s="51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45"/>
    </row>
    <row r="96" spans="1:21" s="15" customFormat="1" x14ac:dyDescent="0.35">
      <c r="A96" s="85">
        <v>1</v>
      </c>
      <c r="B96" s="85" t="s">
        <v>466</v>
      </c>
      <c r="C96" s="85" t="s">
        <v>438</v>
      </c>
      <c r="D96" s="85">
        <v>1</v>
      </c>
      <c r="E96" s="51">
        <v>300000</v>
      </c>
      <c r="F96" s="14">
        <f>D96*E96</f>
        <v>300000</v>
      </c>
      <c r="G96" s="14" t="s">
        <v>22</v>
      </c>
      <c r="H96" s="14" t="s">
        <v>27</v>
      </c>
      <c r="I96" s="14" t="s">
        <v>21</v>
      </c>
      <c r="J96" s="14" t="s">
        <v>24</v>
      </c>
      <c r="K96" s="81" t="s">
        <v>24</v>
      </c>
      <c r="L96" s="81" t="s">
        <v>24</v>
      </c>
      <c r="M96" s="14"/>
      <c r="N96" s="14"/>
      <c r="O96" s="14"/>
      <c r="P96" s="14"/>
      <c r="Q96" s="14"/>
      <c r="R96" s="14"/>
      <c r="S96" s="14"/>
      <c r="T96" s="14">
        <v>1</v>
      </c>
      <c r="U96" s="45">
        <v>300000</v>
      </c>
    </row>
    <row r="97" spans="1:726" s="15" customFormat="1" x14ac:dyDescent="0.35">
      <c r="A97" s="14">
        <v>2</v>
      </c>
      <c r="B97" s="14" t="s">
        <v>469</v>
      </c>
      <c r="C97" s="14" t="s">
        <v>49</v>
      </c>
      <c r="D97" s="14">
        <v>1</v>
      </c>
      <c r="E97" s="14">
        <v>3568061</v>
      </c>
      <c r="F97" s="19">
        <v>3568061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>
        <v>1</v>
      </c>
      <c r="U97" s="45">
        <v>3568061</v>
      </c>
    </row>
    <row r="98" spans="1:726" s="15" customFormat="1" x14ac:dyDescent="0.35">
      <c r="A98" s="14"/>
      <c r="B98" s="14"/>
      <c r="C98" s="14"/>
      <c r="D98" s="14"/>
      <c r="E98" s="51"/>
      <c r="F98" s="84">
        <f>SUM(F96:F97)</f>
        <v>3868061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45"/>
    </row>
    <row r="99" spans="1:726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81"/>
      <c r="K99" s="81"/>
      <c r="L99" s="81"/>
      <c r="M99" s="81"/>
      <c r="N99" s="14"/>
      <c r="O99" s="14"/>
      <c r="P99" s="14"/>
      <c r="Q99" s="14"/>
      <c r="R99" s="14"/>
      <c r="S99" s="14"/>
      <c r="T99" s="14"/>
      <c r="U99" s="45"/>
    </row>
    <row r="100" spans="1:726" x14ac:dyDescent="0.35">
      <c r="A100" s="46" t="s">
        <v>487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81"/>
      <c r="M100" s="81"/>
      <c r="N100" s="14"/>
      <c r="O100" s="14"/>
      <c r="P100" s="14"/>
      <c r="Q100" s="14"/>
      <c r="R100" s="14"/>
      <c r="S100" s="14"/>
      <c r="T100" s="14"/>
      <c r="U100" s="45"/>
    </row>
    <row r="101" spans="1:726" s="15" customFormat="1" ht="13.5" customHeight="1" x14ac:dyDescent="0.35">
      <c r="A101" s="14">
        <v>1</v>
      </c>
      <c r="B101" s="50" t="s">
        <v>470</v>
      </c>
      <c r="C101" s="14" t="s">
        <v>471</v>
      </c>
      <c r="D101" s="14">
        <v>1</v>
      </c>
      <c r="E101" s="14">
        <v>323500</v>
      </c>
      <c r="F101" s="86">
        <f>D101*E101</f>
        <v>323500</v>
      </c>
      <c r="G101" s="14"/>
      <c r="H101" s="14"/>
      <c r="I101" s="14"/>
      <c r="J101" s="14"/>
      <c r="K101" s="14"/>
      <c r="L101" s="81"/>
      <c r="M101" s="81"/>
      <c r="N101" s="14"/>
      <c r="O101" s="14"/>
      <c r="P101" s="14"/>
      <c r="Q101" s="14"/>
      <c r="R101" s="14"/>
      <c r="S101" s="14"/>
      <c r="T101" s="14">
        <v>1</v>
      </c>
      <c r="U101" s="45">
        <v>323500</v>
      </c>
    </row>
    <row r="102" spans="1:726" s="15" customForma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45"/>
    </row>
    <row r="103" spans="1:726" s="15" customFormat="1" x14ac:dyDescent="0.35">
      <c r="A103" s="14"/>
      <c r="B103" s="14"/>
      <c r="C103" s="14"/>
      <c r="D103" s="14"/>
      <c r="E103" s="14"/>
      <c r="F103" s="14"/>
      <c r="G103" s="85"/>
      <c r="H103" s="85"/>
      <c r="I103" s="14"/>
      <c r="J103" s="81"/>
      <c r="K103" s="81"/>
      <c r="L103" s="81"/>
      <c r="M103" s="81"/>
      <c r="N103" s="14"/>
      <c r="O103" s="14"/>
      <c r="P103" s="14"/>
      <c r="Q103" s="14"/>
      <c r="R103" s="14"/>
      <c r="S103" s="14"/>
      <c r="T103" s="14"/>
      <c r="U103" s="45"/>
    </row>
    <row r="104" spans="1:726" s="15" customFormat="1" x14ac:dyDescent="0.35">
      <c r="A104" s="14"/>
      <c r="B104" s="14"/>
      <c r="C104" s="14"/>
      <c r="D104" s="14"/>
      <c r="E104" s="14"/>
      <c r="F104" s="14"/>
      <c r="G104" s="85"/>
      <c r="H104" s="85"/>
      <c r="I104" s="14"/>
      <c r="J104" s="81"/>
      <c r="K104" s="81"/>
      <c r="L104" s="81"/>
      <c r="M104" s="81"/>
      <c r="N104" s="14"/>
      <c r="O104" s="14"/>
      <c r="P104" s="14"/>
      <c r="Q104" s="14"/>
      <c r="R104" s="14"/>
      <c r="S104" s="14"/>
      <c r="T104" s="14"/>
      <c r="U104" s="45"/>
    </row>
    <row r="105" spans="1:726" s="15" customFormat="1" x14ac:dyDescent="0.35">
      <c r="A105" s="14"/>
      <c r="B105" s="14"/>
      <c r="C105" s="14"/>
      <c r="D105" s="14"/>
      <c r="E105" s="51"/>
      <c r="F105" s="14"/>
      <c r="G105" s="85"/>
      <c r="H105" s="85"/>
      <c r="I105" s="14"/>
      <c r="J105" s="81"/>
      <c r="K105" s="81"/>
      <c r="L105" s="81"/>
      <c r="M105" s="81"/>
      <c r="N105" s="14"/>
      <c r="O105" s="14"/>
      <c r="P105" s="14"/>
      <c r="Q105" s="14"/>
      <c r="R105" s="14"/>
      <c r="S105" s="14"/>
      <c r="T105" s="14"/>
      <c r="U105" s="45"/>
    </row>
    <row r="106" spans="1:726" x14ac:dyDescent="0.35">
      <c r="A106" s="15"/>
      <c r="B106" s="15"/>
      <c r="C106" s="15"/>
      <c r="D106" s="15"/>
      <c r="E106" s="46" t="s">
        <v>383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5"/>
      <c r="JL106" s="15"/>
      <c r="JM106" s="15"/>
      <c r="JN106" s="15"/>
      <c r="JO106" s="15"/>
      <c r="JP106" s="15"/>
      <c r="JQ106" s="15"/>
      <c r="JR106" s="15"/>
      <c r="JS106" s="15"/>
      <c r="JT106" s="15"/>
      <c r="JU106" s="15"/>
      <c r="JV106" s="15"/>
      <c r="JW106" s="15"/>
      <c r="JX106" s="15"/>
      <c r="JY106" s="15"/>
      <c r="JZ106" s="15"/>
      <c r="KA106" s="15"/>
      <c r="KB106" s="15"/>
      <c r="KC106" s="15"/>
      <c r="KD106" s="15"/>
      <c r="KE106" s="15"/>
      <c r="KF106" s="15"/>
      <c r="KG106" s="15"/>
      <c r="KH106" s="15"/>
      <c r="KI106" s="15"/>
      <c r="KJ106" s="15"/>
      <c r="KK106" s="15"/>
      <c r="KL106" s="15"/>
      <c r="KM106" s="15"/>
      <c r="KN106" s="15"/>
      <c r="KO106" s="15"/>
      <c r="KP106" s="15"/>
      <c r="KQ106" s="15"/>
      <c r="KR106" s="15"/>
      <c r="KS106" s="15"/>
      <c r="KT106" s="15"/>
      <c r="KU106" s="15"/>
      <c r="KV106" s="15"/>
      <c r="KW106" s="15"/>
      <c r="KX106" s="15"/>
      <c r="KY106" s="15"/>
      <c r="KZ106" s="15"/>
      <c r="LA106" s="15"/>
      <c r="LB106" s="15"/>
      <c r="LC106" s="15"/>
      <c r="LD106" s="15"/>
      <c r="LE106" s="15"/>
      <c r="LF106" s="15"/>
      <c r="LG106" s="15"/>
    </row>
    <row r="107" spans="1:726" x14ac:dyDescent="0.35">
      <c r="A107" s="15"/>
      <c r="B107" s="15"/>
      <c r="C107" s="15"/>
      <c r="D107" s="15"/>
      <c r="E107" s="84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5"/>
      <c r="JL107" s="15"/>
      <c r="JM107" s="15"/>
      <c r="JN107" s="15"/>
      <c r="JO107" s="15"/>
      <c r="JP107" s="15"/>
      <c r="JQ107" s="15"/>
      <c r="JR107" s="15"/>
      <c r="JS107" s="15"/>
      <c r="JT107" s="15"/>
      <c r="JU107" s="15"/>
      <c r="JV107" s="15"/>
      <c r="JW107" s="15"/>
      <c r="JX107" s="15"/>
      <c r="JY107" s="15"/>
      <c r="JZ107" s="15"/>
      <c r="KA107" s="15"/>
      <c r="KB107" s="15"/>
      <c r="KC107" s="15"/>
      <c r="KD107" s="15"/>
      <c r="KE107" s="15"/>
      <c r="KF107" s="15"/>
      <c r="KG107" s="15"/>
      <c r="KH107" s="15"/>
      <c r="KI107" s="15"/>
      <c r="KJ107" s="15"/>
      <c r="KK107" s="15"/>
      <c r="KL107" s="15"/>
      <c r="KM107" s="15"/>
      <c r="KN107" s="15"/>
      <c r="KO107" s="15"/>
      <c r="KP107" s="15"/>
      <c r="KQ107" s="15"/>
      <c r="KR107" s="15"/>
      <c r="KS107" s="15"/>
      <c r="KT107" s="15"/>
      <c r="KU107" s="15"/>
      <c r="KV107" s="15"/>
      <c r="KW107" s="15"/>
      <c r="KX107" s="15"/>
      <c r="KY107" s="15"/>
      <c r="KZ107" s="15"/>
      <c r="LA107" s="15"/>
      <c r="LB107" s="15"/>
      <c r="LC107" s="15"/>
      <c r="LD107" s="15"/>
      <c r="LE107" s="15"/>
      <c r="LF107" s="15"/>
      <c r="LG107" s="15"/>
    </row>
    <row r="108" spans="1:726" x14ac:dyDescent="0.35">
      <c r="A108" s="15"/>
      <c r="B108" s="131" t="s">
        <v>371</v>
      </c>
      <c r="C108" s="132"/>
      <c r="D108" s="133"/>
      <c r="E108" s="84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5"/>
      <c r="JL108" s="15"/>
      <c r="JM108" s="15"/>
      <c r="JN108" s="15"/>
      <c r="JO108" s="15"/>
      <c r="JP108" s="15"/>
      <c r="JQ108" s="15"/>
      <c r="JR108" s="15"/>
      <c r="JS108" s="15"/>
      <c r="JT108" s="15"/>
      <c r="JU108" s="15"/>
      <c r="JV108" s="15"/>
      <c r="JW108" s="15"/>
      <c r="JX108" s="15"/>
      <c r="JY108" s="15"/>
      <c r="JZ108" s="15"/>
      <c r="KA108" s="15"/>
      <c r="KB108" s="15"/>
      <c r="KC108" s="15"/>
      <c r="KD108" s="15"/>
      <c r="KE108" s="15"/>
      <c r="KF108" s="15"/>
      <c r="KG108" s="15"/>
      <c r="KH108" s="15"/>
      <c r="KI108" s="15"/>
      <c r="KJ108" s="15"/>
      <c r="KK108" s="15"/>
      <c r="KL108" s="15"/>
      <c r="KM108" s="15"/>
      <c r="KN108" s="15"/>
      <c r="KO108" s="15"/>
      <c r="KP108" s="15"/>
      <c r="KQ108" s="15"/>
      <c r="KR108" s="15"/>
      <c r="KS108" s="15"/>
      <c r="KT108" s="15"/>
      <c r="KU108" s="15"/>
      <c r="KV108" s="15"/>
      <c r="KW108" s="15"/>
      <c r="KX108" s="15"/>
      <c r="KY108" s="15"/>
      <c r="KZ108" s="15"/>
      <c r="LA108" s="15"/>
      <c r="LB108" s="15"/>
      <c r="LC108" s="15"/>
      <c r="LD108" s="15"/>
      <c r="LE108" s="15"/>
      <c r="LF108" s="15"/>
      <c r="LG108" s="15"/>
    </row>
    <row r="109" spans="1:726" x14ac:dyDescent="0.35">
      <c r="A109" s="15">
        <v>1</v>
      </c>
      <c r="B109" s="108" t="s">
        <v>478</v>
      </c>
      <c r="C109" s="109"/>
      <c r="D109" s="110"/>
      <c r="E109" s="84">
        <v>78000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5"/>
      <c r="JL109" s="15"/>
      <c r="JM109" s="15"/>
      <c r="JN109" s="15"/>
      <c r="JO109" s="15"/>
      <c r="JP109" s="15"/>
      <c r="JQ109" s="15"/>
      <c r="JR109" s="15"/>
      <c r="JS109" s="15"/>
      <c r="JT109" s="15"/>
      <c r="JU109" s="15"/>
      <c r="JV109" s="15"/>
      <c r="JW109" s="15"/>
      <c r="JX109" s="15"/>
      <c r="JY109" s="15"/>
      <c r="JZ109" s="15"/>
      <c r="KA109" s="15"/>
      <c r="KB109" s="15"/>
      <c r="KC109" s="15"/>
      <c r="KD109" s="15"/>
      <c r="KE109" s="15"/>
      <c r="KF109" s="15"/>
      <c r="KG109" s="15"/>
      <c r="KH109" s="15"/>
      <c r="KI109" s="15"/>
      <c r="KJ109" s="15"/>
      <c r="KK109" s="15"/>
      <c r="KL109" s="15"/>
      <c r="KM109" s="15"/>
      <c r="KN109" s="15"/>
      <c r="KO109" s="15"/>
      <c r="KP109" s="15"/>
      <c r="KQ109" s="15"/>
      <c r="KR109" s="15"/>
      <c r="KS109" s="15"/>
      <c r="KT109" s="15"/>
      <c r="KU109" s="15"/>
      <c r="KV109" s="15"/>
      <c r="KW109" s="15"/>
      <c r="KX109" s="15"/>
      <c r="KY109" s="15"/>
      <c r="KZ109" s="15"/>
      <c r="LA109" s="15"/>
      <c r="LB109" s="15"/>
      <c r="LC109" s="15"/>
      <c r="LD109" s="15"/>
      <c r="LE109" s="15"/>
      <c r="LF109" s="15"/>
      <c r="LG109" s="15"/>
    </row>
    <row r="110" spans="1:726" x14ac:dyDescent="0.35">
      <c r="A110" s="15">
        <v>2</v>
      </c>
      <c r="B110" s="137" t="s">
        <v>376</v>
      </c>
      <c r="C110" s="137"/>
      <c r="D110" s="137"/>
      <c r="E110" s="84">
        <v>80000</v>
      </c>
    </row>
    <row r="111" spans="1:726" x14ac:dyDescent="0.35">
      <c r="A111" s="15">
        <v>3</v>
      </c>
      <c r="B111" s="116" t="s">
        <v>377</v>
      </c>
      <c r="C111" s="116"/>
      <c r="D111" s="116"/>
      <c r="E111" s="84">
        <v>5606500.5199999996</v>
      </c>
    </row>
    <row r="112" spans="1:726" x14ac:dyDescent="0.35">
      <c r="A112">
        <v>4</v>
      </c>
      <c r="B112" s="116" t="s">
        <v>378</v>
      </c>
      <c r="C112" s="116"/>
      <c r="D112" s="116"/>
      <c r="E112" s="84">
        <v>1253602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5"/>
      <c r="JL112" s="15"/>
      <c r="JM112" s="15"/>
      <c r="JN112" s="15"/>
      <c r="JO112" s="15"/>
      <c r="JP112" s="15"/>
      <c r="JQ112" s="15"/>
      <c r="JR112" s="15"/>
      <c r="JS112" s="15"/>
      <c r="JT112" s="15"/>
      <c r="JU112" s="15"/>
      <c r="JV112" s="15"/>
      <c r="JW112" s="15"/>
      <c r="JX112" s="15"/>
      <c r="JY112" s="15"/>
      <c r="JZ112" s="15"/>
      <c r="KA112" s="15"/>
      <c r="KB112" s="15"/>
      <c r="KC112" s="15"/>
      <c r="KD112" s="15"/>
      <c r="KE112" s="15"/>
      <c r="KF112" s="15"/>
      <c r="KG112" s="15"/>
      <c r="KH112" s="15"/>
      <c r="KI112" s="15"/>
      <c r="KJ112" s="15"/>
      <c r="KK112" s="15"/>
      <c r="KL112" s="15"/>
      <c r="KM112" s="15"/>
      <c r="KN112" s="15"/>
      <c r="KO112" s="15"/>
      <c r="KP112" s="15"/>
      <c r="KQ112" s="15"/>
      <c r="KR112" s="15"/>
      <c r="KS112" s="15"/>
      <c r="KT112" s="15"/>
      <c r="KU112" s="15"/>
      <c r="KV112" s="15"/>
      <c r="KW112" s="15"/>
      <c r="KX112" s="15"/>
      <c r="KY112" s="15"/>
      <c r="KZ112" s="15"/>
      <c r="LA112" s="15"/>
      <c r="LB112" s="15"/>
      <c r="LC112" s="15"/>
      <c r="LD112" s="15"/>
      <c r="LE112" s="15"/>
      <c r="LF112" s="15"/>
      <c r="LG112" s="15"/>
      <c r="LH112" s="15"/>
      <c r="LI112" s="15"/>
      <c r="LJ112" s="15"/>
      <c r="LK112" s="15"/>
      <c r="LL112" s="15"/>
      <c r="LM112" s="15"/>
      <c r="LN112" s="15"/>
      <c r="LO112" s="15"/>
      <c r="LP112" s="15"/>
      <c r="LQ112" s="15"/>
      <c r="LR112" s="15"/>
      <c r="LS112" s="15"/>
      <c r="LT112" s="15"/>
      <c r="LU112" s="15"/>
      <c r="LV112" s="15"/>
      <c r="LW112" s="15"/>
      <c r="LX112" s="15"/>
      <c r="LY112" s="15"/>
      <c r="LZ112" s="15"/>
      <c r="MA112" s="15"/>
      <c r="MB112" s="15"/>
      <c r="MC112" s="15"/>
      <c r="MD112" s="15"/>
      <c r="ME112" s="15"/>
      <c r="MF112" s="15"/>
      <c r="MG112" s="15"/>
      <c r="MH112" s="15"/>
      <c r="MI112" s="15"/>
      <c r="MJ112" s="15"/>
      <c r="MK112" s="15"/>
      <c r="ML112" s="15"/>
      <c r="MM112" s="15"/>
      <c r="MN112" s="15"/>
      <c r="MO112" s="15"/>
      <c r="MP112" s="15"/>
      <c r="MQ112" s="15"/>
      <c r="MR112" s="15"/>
      <c r="MS112" s="15"/>
      <c r="MT112" s="15"/>
      <c r="MU112" s="15"/>
      <c r="MV112" s="15"/>
      <c r="MW112" s="15"/>
      <c r="MX112" s="15"/>
      <c r="MY112" s="15"/>
      <c r="MZ112" s="15"/>
      <c r="NA112" s="15"/>
      <c r="NB112" s="15"/>
      <c r="NC112" s="15"/>
      <c r="ND112" s="15"/>
      <c r="NE112" s="15"/>
      <c r="NF112" s="15"/>
      <c r="NG112" s="15"/>
      <c r="NH112" s="15"/>
      <c r="NI112" s="15"/>
      <c r="NJ112" s="15"/>
      <c r="NK112" s="15"/>
      <c r="NL112" s="15"/>
      <c r="NM112" s="15"/>
      <c r="NN112" s="15"/>
      <c r="NO112" s="15"/>
      <c r="NP112" s="15"/>
      <c r="NQ112" s="15"/>
      <c r="NR112" s="15"/>
      <c r="NS112" s="15"/>
      <c r="NT112" s="15"/>
      <c r="NU112" s="15"/>
      <c r="NV112" s="15"/>
      <c r="NW112" s="15"/>
      <c r="NX112" s="15"/>
      <c r="NY112" s="15"/>
      <c r="NZ112" s="15"/>
      <c r="OA112" s="15"/>
      <c r="OB112" s="15"/>
      <c r="OC112" s="15"/>
      <c r="OD112" s="15"/>
      <c r="OE112" s="15"/>
      <c r="OF112" s="15"/>
      <c r="OG112" s="15"/>
      <c r="OH112" s="15"/>
      <c r="OI112" s="15"/>
      <c r="OJ112" s="15"/>
      <c r="OK112" s="15"/>
      <c r="OL112" s="15"/>
      <c r="OM112" s="15"/>
      <c r="ON112" s="15"/>
      <c r="OO112" s="15"/>
      <c r="OP112" s="15"/>
      <c r="OQ112" s="15"/>
      <c r="OR112" s="15"/>
      <c r="OS112" s="15"/>
      <c r="OT112" s="15"/>
      <c r="OU112" s="15"/>
      <c r="OV112" s="15"/>
      <c r="OW112" s="15"/>
      <c r="OX112" s="15"/>
      <c r="OY112" s="15"/>
      <c r="OZ112" s="15"/>
      <c r="PA112" s="15"/>
      <c r="PB112" s="15"/>
      <c r="PC112" s="15"/>
      <c r="PD112" s="15"/>
      <c r="PE112" s="15"/>
      <c r="PF112" s="15"/>
      <c r="PG112" s="15"/>
      <c r="PH112" s="15"/>
      <c r="PI112" s="15"/>
      <c r="PJ112" s="15"/>
      <c r="PK112" s="15"/>
      <c r="PL112" s="15"/>
      <c r="PM112" s="15"/>
      <c r="PN112" s="15"/>
      <c r="PO112" s="15"/>
      <c r="PP112" s="15"/>
      <c r="PQ112" s="15"/>
      <c r="PR112" s="15"/>
      <c r="PS112" s="15"/>
      <c r="PT112" s="15"/>
      <c r="PU112" s="15"/>
      <c r="PV112" s="15"/>
      <c r="PW112" s="15"/>
      <c r="PX112" s="15"/>
      <c r="PY112" s="15"/>
      <c r="PZ112" s="15"/>
      <c r="QA112" s="15"/>
      <c r="QB112" s="15"/>
      <c r="QC112" s="15"/>
      <c r="QD112" s="15"/>
      <c r="QE112" s="15"/>
      <c r="QF112" s="15"/>
      <c r="QG112" s="15"/>
      <c r="QH112" s="15"/>
      <c r="QI112" s="15"/>
      <c r="QJ112" s="15"/>
      <c r="QK112" s="15"/>
      <c r="QL112" s="15"/>
      <c r="QM112" s="15"/>
      <c r="QN112" s="15"/>
      <c r="QO112" s="15"/>
      <c r="QP112" s="15"/>
      <c r="QQ112" s="15"/>
      <c r="QR112" s="15"/>
      <c r="QS112" s="15"/>
      <c r="QT112" s="15"/>
      <c r="QU112" s="15"/>
      <c r="QV112" s="15"/>
      <c r="QW112" s="15"/>
      <c r="QX112" s="15"/>
      <c r="QY112" s="15"/>
      <c r="QZ112" s="15"/>
      <c r="RA112" s="15"/>
      <c r="RB112" s="15"/>
      <c r="RC112" s="15"/>
      <c r="RD112" s="15"/>
      <c r="RE112" s="15"/>
      <c r="RF112" s="15"/>
      <c r="RG112" s="15"/>
      <c r="RH112" s="15"/>
      <c r="RI112" s="15"/>
      <c r="RJ112" s="15"/>
      <c r="RK112" s="15"/>
      <c r="RL112" s="15"/>
      <c r="RM112" s="15"/>
      <c r="RN112" s="15"/>
      <c r="RO112" s="15"/>
      <c r="RP112" s="15"/>
      <c r="RQ112" s="15"/>
      <c r="RR112" s="15"/>
      <c r="RS112" s="15"/>
      <c r="RT112" s="15"/>
      <c r="RU112" s="15"/>
      <c r="RV112" s="15"/>
      <c r="RW112" s="15"/>
      <c r="RX112" s="15"/>
      <c r="RY112" s="15"/>
      <c r="RZ112" s="15"/>
      <c r="SA112" s="15"/>
      <c r="SB112" s="15"/>
      <c r="SC112" s="15"/>
      <c r="SD112" s="15"/>
      <c r="SE112" s="15"/>
      <c r="SF112" s="15"/>
      <c r="SG112" s="15"/>
      <c r="SH112" s="15"/>
      <c r="SI112" s="15"/>
      <c r="SJ112" s="15"/>
      <c r="SK112" s="15"/>
      <c r="SL112" s="15"/>
      <c r="SM112" s="15"/>
      <c r="SN112" s="15"/>
      <c r="SO112" s="15"/>
      <c r="SP112" s="15"/>
      <c r="SQ112" s="15"/>
      <c r="SR112" s="15"/>
      <c r="SS112" s="15"/>
      <c r="ST112" s="15"/>
      <c r="SU112" s="15"/>
      <c r="SV112" s="15"/>
      <c r="SW112" s="15"/>
      <c r="SX112" s="15"/>
      <c r="SY112" s="15"/>
      <c r="SZ112" s="15"/>
      <c r="TA112" s="15"/>
      <c r="TB112" s="15"/>
      <c r="TC112" s="15"/>
      <c r="TD112" s="15"/>
      <c r="TE112" s="15"/>
      <c r="TF112" s="15"/>
      <c r="TG112" s="15"/>
      <c r="TH112" s="15"/>
      <c r="TI112" s="15"/>
      <c r="TJ112" s="15"/>
      <c r="TK112" s="15"/>
      <c r="TL112" s="15"/>
      <c r="TM112" s="15"/>
      <c r="TN112" s="15"/>
      <c r="TO112" s="15"/>
      <c r="TP112" s="15"/>
      <c r="TQ112" s="15"/>
      <c r="TR112" s="15"/>
      <c r="TS112" s="15"/>
      <c r="TT112" s="15"/>
      <c r="TU112" s="15"/>
      <c r="TV112" s="15"/>
      <c r="TW112" s="15"/>
      <c r="TX112" s="15"/>
      <c r="TY112" s="15"/>
      <c r="TZ112" s="15"/>
      <c r="UA112" s="15"/>
      <c r="UB112" s="15"/>
      <c r="UC112" s="15"/>
      <c r="UD112" s="15"/>
      <c r="UE112" s="15"/>
      <c r="UF112" s="15"/>
      <c r="UG112" s="15"/>
      <c r="UH112" s="15"/>
      <c r="UI112" s="15"/>
      <c r="UJ112" s="15"/>
      <c r="UK112" s="15"/>
      <c r="UL112" s="15"/>
      <c r="UM112" s="15"/>
      <c r="UN112" s="15"/>
      <c r="UO112" s="15"/>
      <c r="UP112" s="15"/>
      <c r="UQ112" s="15"/>
      <c r="UR112" s="15"/>
      <c r="US112" s="15"/>
      <c r="UT112" s="15"/>
      <c r="UU112" s="15"/>
      <c r="UV112" s="15"/>
      <c r="UW112" s="15"/>
      <c r="UX112" s="15"/>
      <c r="UY112" s="15"/>
      <c r="UZ112" s="15"/>
      <c r="VA112" s="15"/>
      <c r="VB112" s="15"/>
      <c r="VC112" s="15"/>
      <c r="VD112" s="15"/>
      <c r="VE112" s="15"/>
      <c r="VF112" s="15"/>
      <c r="VG112" s="15"/>
      <c r="VH112" s="15"/>
      <c r="VI112" s="15"/>
      <c r="VJ112" s="15"/>
      <c r="VK112" s="15"/>
      <c r="VL112" s="15"/>
      <c r="VM112" s="15"/>
      <c r="VN112" s="15"/>
      <c r="VO112" s="15"/>
      <c r="VP112" s="15"/>
      <c r="VQ112" s="15"/>
      <c r="VR112" s="15"/>
      <c r="VS112" s="15"/>
      <c r="VT112" s="15"/>
      <c r="VU112" s="15"/>
      <c r="VV112" s="15"/>
      <c r="VW112" s="15"/>
      <c r="VX112" s="15"/>
      <c r="VY112" s="15"/>
      <c r="VZ112" s="15"/>
      <c r="WA112" s="15"/>
      <c r="WB112" s="15"/>
      <c r="WC112" s="15"/>
      <c r="WD112" s="15"/>
      <c r="WE112" s="15"/>
      <c r="WF112" s="15"/>
      <c r="WG112" s="15"/>
      <c r="WH112" s="15"/>
      <c r="WI112" s="15"/>
      <c r="WJ112" s="15"/>
      <c r="WK112" s="15"/>
      <c r="WL112" s="15"/>
      <c r="WM112" s="15"/>
      <c r="WN112" s="15"/>
      <c r="WO112" s="15"/>
      <c r="WP112" s="15"/>
      <c r="WQ112" s="15"/>
      <c r="WR112" s="15"/>
      <c r="WS112" s="15"/>
      <c r="WT112" s="15"/>
      <c r="WU112" s="15"/>
      <c r="WV112" s="15"/>
      <c r="WW112" s="15"/>
      <c r="WX112" s="15"/>
      <c r="WY112" s="15"/>
      <c r="WZ112" s="15"/>
      <c r="XA112" s="15"/>
      <c r="XB112" s="15"/>
      <c r="XC112" s="15"/>
      <c r="XD112" s="15"/>
      <c r="XE112" s="15"/>
      <c r="XF112" s="15"/>
      <c r="XG112" s="15"/>
      <c r="XH112" s="15"/>
      <c r="XI112" s="15"/>
      <c r="XJ112" s="15"/>
      <c r="XK112" s="15"/>
      <c r="XL112" s="15"/>
      <c r="XM112" s="15"/>
      <c r="XN112" s="15"/>
      <c r="XO112" s="15"/>
      <c r="XP112" s="15"/>
      <c r="XQ112" s="15"/>
      <c r="XR112" s="15"/>
      <c r="XS112" s="15"/>
      <c r="XT112" s="15"/>
      <c r="XU112" s="15"/>
      <c r="XV112" s="15"/>
      <c r="XW112" s="15"/>
      <c r="XX112" s="15"/>
      <c r="XY112" s="15"/>
      <c r="XZ112" s="15"/>
      <c r="YA112" s="15"/>
      <c r="YB112" s="15"/>
      <c r="YC112" s="15"/>
      <c r="YD112" s="15"/>
      <c r="YE112" s="15"/>
      <c r="YF112" s="15"/>
      <c r="YG112" s="15"/>
      <c r="YH112" s="15"/>
      <c r="YI112" s="15"/>
      <c r="YJ112" s="15"/>
      <c r="YK112" s="15"/>
      <c r="YL112" s="15"/>
      <c r="YM112" s="15"/>
      <c r="YN112" s="15"/>
      <c r="YO112" s="15"/>
      <c r="YP112" s="15"/>
      <c r="YQ112" s="15"/>
      <c r="YR112" s="15"/>
      <c r="YS112" s="15"/>
      <c r="YT112" s="15"/>
      <c r="YU112" s="15"/>
      <c r="YV112" s="15"/>
      <c r="YW112" s="15"/>
      <c r="YX112" s="15"/>
      <c r="YY112" s="15"/>
      <c r="YZ112" s="15"/>
      <c r="ZA112" s="15"/>
      <c r="ZB112" s="15"/>
      <c r="ZC112" s="15"/>
      <c r="ZD112" s="15"/>
      <c r="ZE112" s="15"/>
      <c r="ZF112" s="15"/>
      <c r="ZG112" s="15"/>
      <c r="ZH112" s="15"/>
      <c r="ZI112" s="15"/>
      <c r="ZJ112" s="15"/>
      <c r="ZK112" s="15"/>
      <c r="ZL112" s="15"/>
      <c r="ZM112" s="15"/>
      <c r="ZN112" s="15"/>
      <c r="ZO112" s="15"/>
      <c r="ZP112" s="15"/>
      <c r="ZQ112" s="15"/>
      <c r="ZR112" s="15"/>
      <c r="ZS112" s="15"/>
      <c r="ZT112" s="15"/>
      <c r="ZU112" s="15"/>
      <c r="ZV112" s="15"/>
      <c r="ZW112" s="15"/>
      <c r="ZX112" s="15"/>
      <c r="ZY112" s="15"/>
      <c r="ZZ112" s="15"/>
      <c r="AAA112" s="15"/>
      <c r="AAB112" s="15"/>
      <c r="AAC112" s="15"/>
      <c r="AAD112" s="15"/>
      <c r="AAE112" s="15"/>
      <c r="AAF112" s="15"/>
      <c r="AAG112" s="15"/>
      <c r="AAH112" s="15"/>
      <c r="AAI112" s="15"/>
      <c r="AAJ112" s="15"/>
      <c r="AAK112" s="15"/>
      <c r="AAL112" s="15"/>
      <c r="AAM112" s="15"/>
      <c r="AAN112" s="15"/>
      <c r="AAO112" s="15"/>
      <c r="AAP112" s="15"/>
      <c r="AAQ112" s="15"/>
      <c r="AAR112" s="15"/>
      <c r="AAS112" s="15"/>
      <c r="AAT112" s="15"/>
      <c r="AAU112" s="15"/>
      <c r="AAV112" s="15"/>
      <c r="AAW112" s="15"/>
      <c r="AAX112" s="15"/>
    </row>
    <row r="113" spans="1:8" s="15" customFormat="1" x14ac:dyDescent="0.35">
      <c r="A113" s="15">
        <v>5</v>
      </c>
      <c r="B113" s="121" t="s">
        <v>379</v>
      </c>
      <c r="C113" s="121"/>
      <c r="D113" s="121"/>
      <c r="E113" s="84">
        <v>36000</v>
      </c>
    </row>
    <row r="114" spans="1:8" x14ac:dyDescent="0.35">
      <c r="A114">
        <v>6</v>
      </c>
      <c r="B114" s="116" t="s">
        <v>380</v>
      </c>
      <c r="C114" s="116"/>
      <c r="D114" s="116"/>
      <c r="E114" s="84">
        <v>4489000</v>
      </c>
    </row>
    <row r="115" spans="1:8" x14ac:dyDescent="0.35">
      <c r="A115">
        <v>7</v>
      </c>
      <c r="B115" s="116" t="s">
        <v>381</v>
      </c>
      <c r="C115" s="116"/>
      <c r="D115" s="116"/>
      <c r="E115" s="84">
        <v>2995990</v>
      </c>
    </row>
    <row r="116" spans="1:8" x14ac:dyDescent="0.35">
      <c r="A116">
        <v>8</v>
      </c>
      <c r="B116" s="116" t="s">
        <v>382</v>
      </c>
      <c r="C116" s="116"/>
      <c r="D116" s="116"/>
      <c r="E116" s="84">
        <v>2436000</v>
      </c>
    </row>
    <row r="117" spans="1:8" x14ac:dyDescent="0.35">
      <c r="A117">
        <v>9</v>
      </c>
      <c r="B117" s="116" t="s">
        <v>485</v>
      </c>
      <c r="C117" s="116"/>
      <c r="D117" s="116"/>
      <c r="E117" s="84">
        <v>3868061</v>
      </c>
    </row>
    <row r="118" spans="1:8" x14ac:dyDescent="0.35">
      <c r="A118">
        <v>10</v>
      </c>
      <c r="B118" s="118" t="s">
        <v>483</v>
      </c>
      <c r="C118" s="119"/>
      <c r="D118" s="120"/>
      <c r="E118" s="84">
        <v>323500</v>
      </c>
    </row>
    <row r="119" spans="1:8" x14ac:dyDescent="0.35">
      <c r="B119" s="117" t="s">
        <v>384</v>
      </c>
      <c r="C119" s="117"/>
      <c r="D119" s="117"/>
      <c r="E119" s="83"/>
    </row>
    <row r="120" spans="1:8" x14ac:dyDescent="0.35">
      <c r="E120" s="1"/>
      <c r="H120" s="112"/>
    </row>
    <row r="121" spans="1:8" x14ac:dyDescent="0.35">
      <c r="E121" s="100">
        <f>SUM(E109:E120)</f>
        <v>21166653.52</v>
      </c>
      <c r="H121" s="112"/>
    </row>
    <row r="123" spans="1:8" x14ac:dyDescent="0.35">
      <c r="B123" s="99" t="s">
        <v>426</v>
      </c>
    </row>
    <row r="124" spans="1:8" x14ac:dyDescent="0.35">
      <c r="B124" s="1" t="s">
        <v>381</v>
      </c>
      <c r="C124" s="1"/>
      <c r="D124" s="1"/>
      <c r="E124" s="83">
        <v>2995990</v>
      </c>
    </row>
    <row r="125" spans="1:8" x14ac:dyDescent="0.35">
      <c r="B125" s="1" t="s">
        <v>382</v>
      </c>
      <c r="C125" s="1"/>
      <c r="D125" s="1"/>
      <c r="E125" s="103">
        <v>2436000</v>
      </c>
    </row>
    <row r="126" spans="1:8" x14ac:dyDescent="0.35">
      <c r="B126" s="1" t="s">
        <v>485</v>
      </c>
      <c r="C126" s="1"/>
      <c r="D126" s="1"/>
      <c r="E126" s="103">
        <v>3868061</v>
      </c>
    </row>
    <row r="127" spans="1:8" x14ac:dyDescent="0.35">
      <c r="B127" s="1" t="s">
        <v>484</v>
      </c>
      <c r="C127" s="1"/>
      <c r="D127" s="67"/>
      <c r="E127" s="100">
        <v>323500</v>
      </c>
    </row>
    <row r="128" spans="1:8" x14ac:dyDescent="0.35">
      <c r="E128" s="1"/>
    </row>
    <row r="129" spans="2:5" x14ac:dyDescent="0.35">
      <c r="E129" s="1"/>
    </row>
    <row r="130" spans="2:5" x14ac:dyDescent="0.35">
      <c r="E130" s="1"/>
    </row>
    <row r="131" spans="2:5" x14ac:dyDescent="0.35">
      <c r="B131" s="101" t="s">
        <v>427</v>
      </c>
      <c r="E131" s="100">
        <f>SUM(E125:E130)</f>
        <v>6627561</v>
      </c>
    </row>
    <row r="132" spans="2:5" x14ac:dyDescent="0.35">
      <c r="B132" t="s">
        <v>428</v>
      </c>
      <c r="E132" s="102"/>
    </row>
    <row r="133" spans="2:5" x14ac:dyDescent="0.35">
      <c r="E133" s="112">
        <v>6627561</v>
      </c>
    </row>
    <row r="134" spans="2:5" x14ac:dyDescent="0.35">
      <c r="B134" t="s">
        <v>430</v>
      </c>
      <c r="E134" s="113">
        <v>21166653.52</v>
      </c>
    </row>
    <row r="136" spans="2:5" x14ac:dyDescent="0.35">
      <c r="E136">
        <f>E133/E134*100</f>
        <v>31.311331258565435</v>
      </c>
    </row>
  </sheetData>
  <mergeCells count="20">
    <mergeCell ref="N2:U2"/>
    <mergeCell ref="A18:B18"/>
    <mergeCell ref="B110:D110"/>
    <mergeCell ref="B111:D111"/>
    <mergeCell ref="E1:H1"/>
    <mergeCell ref="A33:B33"/>
    <mergeCell ref="A64:B64"/>
    <mergeCell ref="A68:B68"/>
    <mergeCell ref="A79:B79"/>
    <mergeCell ref="B108:D108"/>
    <mergeCell ref="A85:B85"/>
    <mergeCell ref="A95:B95"/>
    <mergeCell ref="B117:D117"/>
    <mergeCell ref="B119:D119"/>
    <mergeCell ref="B118:D118"/>
    <mergeCell ref="B112:D112"/>
    <mergeCell ref="B113:D113"/>
    <mergeCell ref="B114:D114"/>
    <mergeCell ref="B115:D115"/>
    <mergeCell ref="B116:D1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4"/>
  <sheetViews>
    <sheetView topLeftCell="A73" zoomScale="110" zoomScaleNormal="110" workbookViewId="0">
      <selection activeCell="H193" sqref="H193"/>
    </sheetView>
  </sheetViews>
  <sheetFormatPr defaultRowHeight="14.5" x14ac:dyDescent="0.35"/>
  <cols>
    <col min="1" max="1" width="15" customWidth="1"/>
    <col min="2" max="2" width="29.81640625" customWidth="1"/>
    <col min="3" max="3" width="7.81640625" customWidth="1"/>
    <col min="4" max="4" width="6.7265625" customWidth="1"/>
    <col min="5" max="5" width="16.7265625" customWidth="1"/>
    <col min="6" max="6" width="19.453125" customWidth="1"/>
    <col min="7" max="7" width="10" customWidth="1"/>
    <col min="8" max="8" width="19.1796875" customWidth="1"/>
    <col min="9" max="9" width="11.7265625" customWidth="1"/>
    <col min="15" max="15" width="12.1796875" customWidth="1"/>
    <col min="17" max="17" width="11.179687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122" t="s">
        <v>386</v>
      </c>
      <c r="F1" s="122"/>
      <c r="G1" s="122"/>
      <c r="H1" s="122"/>
    </row>
    <row r="2" spans="1:21" ht="29" x14ac:dyDescent="0.35">
      <c r="A2" s="6"/>
      <c r="B2" s="7" t="s">
        <v>0</v>
      </c>
      <c r="C2" s="7" t="s">
        <v>36</v>
      </c>
      <c r="D2" s="8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8" t="s">
        <v>7</v>
      </c>
      <c r="K2" s="8" t="s">
        <v>8</v>
      </c>
      <c r="L2" s="8" t="s">
        <v>9</v>
      </c>
      <c r="M2" s="8" t="s">
        <v>16</v>
      </c>
      <c r="N2" s="134" t="s">
        <v>10</v>
      </c>
      <c r="O2" s="135"/>
      <c r="P2" s="135"/>
      <c r="Q2" s="135"/>
      <c r="R2" s="135"/>
      <c r="S2" s="135"/>
      <c r="T2" s="135"/>
      <c r="U2" s="136"/>
    </row>
    <row r="3" spans="1:21" x14ac:dyDescent="0.35">
      <c r="A3" s="6"/>
      <c r="B3" s="7"/>
      <c r="C3" s="7"/>
      <c r="D3" s="8"/>
      <c r="E3" s="7"/>
      <c r="F3" s="7"/>
      <c r="G3" s="7"/>
      <c r="H3" s="7"/>
      <c r="I3" s="7"/>
      <c r="J3" s="8"/>
      <c r="K3" s="8"/>
      <c r="L3" s="8"/>
      <c r="M3" s="8"/>
      <c r="N3" s="138" t="s">
        <v>11</v>
      </c>
      <c r="O3" s="139"/>
      <c r="P3" s="138" t="s">
        <v>12</v>
      </c>
      <c r="Q3" s="139"/>
      <c r="R3" s="138" t="s">
        <v>13</v>
      </c>
      <c r="S3" s="139"/>
      <c r="T3" s="138" t="s">
        <v>14</v>
      </c>
      <c r="U3" s="139"/>
    </row>
    <row r="4" spans="1:21" x14ac:dyDescent="0.35">
      <c r="A4" s="6"/>
      <c r="B4" s="7"/>
      <c r="C4" s="7"/>
      <c r="D4" s="8"/>
      <c r="E4" s="7"/>
      <c r="F4" s="7"/>
      <c r="G4" s="7"/>
      <c r="H4" s="7"/>
      <c r="I4" s="7"/>
      <c r="J4" s="8"/>
      <c r="K4" s="8"/>
      <c r="L4" s="8"/>
      <c r="M4" s="8"/>
      <c r="N4" t="s">
        <v>1</v>
      </c>
      <c r="O4" s="9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35">
      <c r="A5" s="2" t="s">
        <v>17</v>
      </c>
      <c r="B5" s="5"/>
      <c r="C5" s="5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5">
      <c r="A6" s="1">
        <v>1</v>
      </c>
      <c r="B6" s="1" t="s">
        <v>18</v>
      </c>
      <c r="C6" s="1"/>
      <c r="D6" s="1">
        <v>1</v>
      </c>
      <c r="E6" s="3">
        <v>10000</v>
      </c>
      <c r="F6" s="3">
        <f>D6*E6</f>
        <v>10000</v>
      </c>
      <c r="G6" s="1" t="s">
        <v>22</v>
      </c>
      <c r="H6" s="1" t="s">
        <v>23</v>
      </c>
      <c r="I6" s="1" t="s">
        <v>21</v>
      </c>
      <c r="J6" s="1"/>
      <c r="K6" s="1"/>
      <c r="L6" s="1"/>
      <c r="M6" s="11" t="s">
        <v>24</v>
      </c>
      <c r="N6" s="1"/>
      <c r="O6" s="1"/>
      <c r="P6" s="1"/>
      <c r="Q6" s="1"/>
      <c r="R6" s="1"/>
      <c r="S6" s="1"/>
      <c r="T6" s="1">
        <v>1</v>
      </c>
      <c r="U6" s="12">
        <f>D6*E6</f>
        <v>10000</v>
      </c>
    </row>
    <row r="7" spans="1:21" x14ac:dyDescent="0.35">
      <c r="A7" s="1">
        <v>2</v>
      </c>
      <c r="B7" s="1" t="s">
        <v>19</v>
      </c>
      <c r="C7" s="1"/>
      <c r="D7" s="1">
        <v>1</v>
      </c>
      <c r="E7" s="3">
        <v>10000</v>
      </c>
      <c r="F7" s="3">
        <f t="shared" ref="F7:F116" si="0">D7*E7</f>
        <v>10000</v>
      </c>
      <c r="G7" s="1" t="s">
        <v>22</v>
      </c>
      <c r="H7" s="1" t="s">
        <v>23</v>
      </c>
      <c r="I7" s="1" t="s">
        <v>21</v>
      </c>
      <c r="J7" s="1"/>
      <c r="K7" s="1"/>
      <c r="L7" s="1"/>
      <c r="M7" s="11" t="s">
        <v>24</v>
      </c>
      <c r="N7" s="1"/>
      <c r="O7" s="1"/>
      <c r="P7" s="1"/>
      <c r="Q7" s="1"/>
      <c r="R7" s="1"/>
      <c r="S7" s="1"/>
      <c r="T7" s="1">
        <v>1</v>
      </c>
      <c r="U7" s="12">
        <f t="shared" ref="U7:U116" si="1">D7*E7</f>
        <v>10000</v>
      </c>
    </row>
    <row r="8" spans="1:21" x14ac:dyDescent="0.35">
      <c r="A8" s="1">
        <v>3</v>
      </c>
      <c r="B8" s="1" t="s">
        <v>20</v>
      </c>
      <c r="C8" s="1"/>
      <c r="D8" s="1">
        <v>1</v>
      </c>
      <c r="E8" s="3">
        <v>50000</v>
      </c>
      <c r="F8" s="3">
        <f t="shared" si="0"/>
        <v>50000</v>
      </c>
      <c r="G8" s="1" t="s">
        <v>22</v>
      </c>
      <c r="H8" s="1" t="s">
        <v>23</v>
      </c>
      <c r="I8" s="1" t="s">
        <v>21</v>
      </c>
      <c r="J8" s="1"/>
      <c r="K8" s="1"/>
      <c r="L8" s="1"/>
      <c r="M8" s="11" t="s">
        <v>24</v>
      </c>
      <c r="N8" s="1"/>
      <c r="O8" s="1"/>
      <c r="P8" s="1"/>
      <c r="Q8" s="1"/>
      <c r="R8" s="1"/>
      <c r="S8" s="1"/>
      <c r="T8" s="1">
        <v>1</v>
      </c>
      <c r="U8" s="12">
        <f t="shared" si="1"/>
        <v>50000</v>
      </c>
    </row>
    <row r="9" spans="1:21" x14ac:dyDescent="0.35">
      <c r="A9" s="1">
        <v>4</v>
      </c>
      <c r="B9" s="1" t="s">
        <v>324</v>
      </c>
      <c r="C9" s="1"/>
      <c r="D9" s="1">
        <v>1</v>
      </c>
      <c r="E9" s="3">
        <v>10000</v>
      </c>
      <c r="F9" s="3">
        <f>D9*E9</f>
        <v>10000</v>
      </c>
      <c r="G9" s="1" t="s">
        <v>22</v>
      </c>
      <c r="H9" s="1" t="s">
        <v>23</v>
      </c>
      <c r="I9" s="1" t="s">
        <v>21</v>
      </c>
      <c r="J9" s="1"/>
      <c r="K9" s="1"/>
      <c r="L9" s="1"/>
      <c r="M9" s="11"/>
      <c r="N9" s="1"/>
      <c r="O9" s="1"/>
      <c r="P9" s="1"/>
      <c r="Q9" s="1"/>
      <c r="R9" s="1"/>
      <c r="S9" s="1"/>
      <c r="T9" s="1"/>
      <c r="U9" s="12"/>
    </row>
    <row r="10" spans="1:21" x14ac:dyDescent="0.35">
      <c r="A10" s="34">
        <v>5</v>
      </c>
      <c r="B10" s="34" t="s">
        <v>173</v>
      </c>
      <c r="C10" s="34"/>
      <c r="D10" s="34">
        <v>1</v>
      </c>
      <c r="E10" s="35"/>
      <c r="F10" s="35"/>
      <c r="G10" s="34" t="s">
        <v>22</v>
      </c>
      <c r="H10" s="34" t="s">
        <v>23</v>
      </c>
      <c r="I10" s="34" t="s">
        <v>21</v>
      </c>
      <c r="J10" s="34"/>
      <c r="K10" s="34"/>
      <c r="L10" s="34"/>
      <c r="M10" s="36" t="s">
        <v>24</v>
      </c>
      <c r="N10" s="1"/>
      <c r="O10" s="1"/>
      <c r="P10" s="1"/>
      <c r="Q10" s="1"/>
      <c r="R10" s="1"/>
      <c r="S10" s="1"/>
      <c r="T10" s="1"/>
      <c r="U10" s="12"/>
    </row>
    <row r="11" spans="1:21" x14ac:dyDescent="0.35">
      <c r="A11" s="1"/>
      <c r="B11" s="1"/>
      <c r="C11" s="1"/>
      <c r="D11" s="1"/>
      <c r="E11" s="3"/>
      <c r="F11" s="3"/>
      <c r="G11" s="1"/>
      <c r="H11" s="1"/>
      <c r="I11" s="1"/>
      <c r="J11" s="1"/>
      <c r="K11" s="1"/>
      <c r="L11" s="1"/>
      <c r="M11" s="11"/>
      <c r="N11" s="1"/>
      <c r="O11" s="1"/>
      <c r="P11" s="1"/>
      <c r="Q11" s="1"/>
      <c r="R11" s="1"/>
      <c r="S11" s="1"/>
      <c r="T11" s="1"/>
      <c r="U11" s="12"/>
    </row>
    <row r="12" spans="1:21" x14ac:dyDescent="0.35">
      <c r="A12" s="1"/>
      <c r="B12" s="1"/>
      <c r="C12" s="1"/>
      <c r="D12" s="1"/>
      <c r="E12" s="3"/>
      <c r="F12" s="3"/>
      <c r="G12" s="1"/>
      <c r="H12" s="1"/>
      <c r="I12" s="1"/>
      <c r="J12" s="1"/>
      <c r="K12" s="1"/>
      <c r="L12" s="1"/>
      <c r="M12" s="11"/>
      <c r="N12" s="1"/>
      <c r="O12" s="1"/>
      <c r="P12" s="1"/>
      <c r="Q12" s="1"/>
      <c r="R12" s="1"/>
      <c r="S12" s="1"/>
      <c r="T12" s="1"/>
      <c r="U12" s="12"/>
    </row>
    <row r="13" spans="1:21" x14ac:dyDescent="0.35">
      <c r="A13" s="2" t="s">
        <v>25</v>
      </c>
      <c r="B13" s="2"/>
      <c r="C13" s="2"/>
      <c r="D13" s="1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2">
        <f t="shared" si="1"/>
        <v>0</v>
      </c>
    </row>
    <row r="14" spans="1:21" ht="62" x14ac:dyDescent="0.35">
      <c r="A14" s="1">
        <v>1</v>
      </c>
      <c r="B14" s="13" t="s">
        <v>284</v>
      </c>
      <c r="C14" s="1" t="s">
        <v>76</v>
      </c>
      <c r="D14" s="1">
        <v>0</v>
      </c>
      <c r="E14" s="3">
        <v>72000</v>
      </c>
      <c r="F14" s="3">
        <f t="shared" ref="F14:F35" si="2">D14*E14</f>
        <v>0</v>
      </c>
      <c r="G14" s="1"/>
      <c r="H14" s="1" t="s">
        <v>23</v>
      </c>
      <c r="I14" s="1" t="s">
        <v>21</v>
      </c>
      <c r="J14" s="1"/>
      <c r="K14" s="1"/>
      <c r="L14" s="1"/>
      <c r="M14" s="11" t="s">
        <v>24</v>
      </c>
      <c r="N14" s="1">
        <v>0</v>
      </c>
      <c r="O14" s="66">
        <f>E14*N14</f>
        <v>0</v>
      </c>
      <c r="P14" s="1"/>
      <c r="Q14" s="66">
        <f>E14*P14</f>
        <v>0</v>
      </c>
      <c r="R14" s="1"/>
      <c r="S14" s="66">
        <f>E14*R14</f>
        <v>0</v>
      </c>
      <c r="T14" s="1"/>
      <c r="U14" s="12">
        <f>E14*T14</f>
        <v>0</v>
      </c>
    </row>
    <row r="15" spans="1:21" ht="31" x14ac:dyDescent="0.35">
      <c r="A15" s="1">
        <v>2</v>
      </c>
      <c r="B15" s="13" t="s">
        <v>266</v>
      </c>
      <c r="C15" s="1" t="s">
        <v>55</v>
      </c>
      <c r="D15" s="1">
        <v>20</v>
      </c>
      <c r="E15" s="3">
        <v>3600</v>
      </c>
      <c r="F15" s="3">
        <f>D15*E15</f>
        <v>72000</v>
      </c>
      <c r="G15" s="1"/>
      <c r="H15" s="1" t="s">
        <v>27</v>
      </c>
      <c r="I15" s="1" t="s">
        <v>21</v>
      </c>
      <c r="J15" s="1"/>
      <c r="K15" s="1"/>
      <c r="L15" s="1"/>
      <c r="M15" s="1"/>
      <c r="N15" s="1">
        <v>10</v>
      </c>
      <c r="O15" s="66">
        <f t="shared" ref="O15:O35" si="3">E15*N15</f>
        <v>36000</v>
      </c>
      <c r="P15" s="1"/>
      <c r="Q15" s="66">
        <f>E15*P15</f>
        <v>0</v>
      </c>
      <c r="R15" s="1">
        <v>10</v>
      </c>
      <c r="S15" s="66">
        <f>E15*R15</f>
        <v>36000</v>
      </c>
      <c r="T15" s="1"/>
      <c r="U15" s="12">
        <f>E15*T15</f>
        <v>0</v>
      </c>
    </row>
    <row r="16" spans="1:21" ht="15.5" x14ac:dyDescent="0.35">
      <c r="A16" s="1">
        <v>3</v>
      </c>
      <c r="B16" s="13" t="s">
        <v>114</v>
      </c>
      <c r="C16" s="1" t="s">
        <v>117</v>
      </c>
      <c r="D16" s="1">
        <v>8</v>
      </c>
      <c r="E16" s="3">
        <v>600</v>
      </c>
      <c r="F16" s="3">
        <f t="shared" ref="F16:F18" si="4">D16*E16</f>
        <v>4800</v>
      </c>
      <c r="G16" s="1"/>
      <c r="H16" s="1" t="s">
        <v>27</v>
      </c>
      <c r="I16" s="1" t="s">
        <v>21</v>
      </c>
      <c r="J16" s="1"/>
      <c r="K16" s="1"/>
      <c r="L16" s="1"/>
      <c r="M16" s="1"/>
      <c r="N16" s="1">
        <v>2</v>
      </c>
      <c r="O16" s="66">
        <f t="shared" si="3"/>
        <v>1200</v>
      </c>
      <c r="P16" s="1">
        <v>2</v>
      </c>
      <c r="Q16" s="66">
        <f>E16*P16</f>
        <v>1200</v>
      </c>
      <c r="R16" s="1">
        <v>2</v>
      </c>
      <c r="S16" s="66">
        <f t="shared" ref="S16:S35" si="5">E16*R16</f>
        <v>1200</v>
      </c>
      <c r="T16" s="1">
        <v>2</v>
      </c>
      <c r="U16" s="12">
        <f>E16*T16</f>
        <v>1200</v>
      </c>
    </row>
    <row r="17" spans="1:21" ht="15.5" x14ac:dyDescent="0.35">
      <c r="A17" s="1">
        <v>4</v>
      </c>
      <c r="B17" s="13" t="s">
        <v>115</v>
      </c>
      <c r="C17" s="1" t="s">
        <v>118</v>
      </c>
      <c r="D17" s="1">
        <v>5</v>
      </c>
      <c r="E17" s="3">
        <v>3600</v>
      </c>
      <c r="F17" s="3">
        <f t="shared" si="4"/>
        <v>18000</v>
      </c>
      <c r="G17" s="1"/>
      <c r="H17" s="1" t="s">
        <v>27</v>
      </c>
      <c r="I17" s="1" t="s">
        <v>21</v>
      </c>
      <c r="J17" s="1"/>
      <c r="K17" s="1"/>
      <c r="L17" s="1"/>
      <c r="M17" s="1"/>
      <c r="N17" s="1">
        <v>2</v>
      </c>
      <c r="O17" s="66">
        <f t="shared" si="3"/>
        <v>7200</v>
      </c>
      <c r="P17" s="1"/>
      <c r="Q17" s="66">
        <f t="shared" ref="Q17:Q35" si="6">E17*P17</f>
        <v>0</v>
      </c>
      <c r="R17" s="1">
        <v>3</v>
      </c>
      <c r="S17" s="66">
        <f t="shared" si="5"/>
        <v>10800</v>
      </c>
      <c r="T17" s="1"/>
      <c r="U17" s="12">
        <f t="shared" ref="U17:U35" si="7">E17*T17</f>
        <v>0</v>
      </c>
    </row>
    <row r="18" spans="1:21" ht="15.5" x14ac:dyDescent="0.35">
      <c r="A18" s="1">
        <v>5</v>
      </c>
      <c r="B18" s="13" t="s">
        <v>116</v>
      </c>
      <c r="C18" s="1" t="s">
        <v>119</v>
      </c>
      <c r="D18" s="1">
        <v>8</v>
      </c>
      <c r="E18" s="3">
        <v>2600</v>
      </c>
      <c r="F18" s="3">
        <f t="shared" si="4"/>
        <v>20800</v>
      </c>
      <c r="G18" s="1"/>
      <c r="H18" s="1" t="s">
        <v>27</v>
      </c>
      <c r="I18" s="1" t="s">
        <v>21</v>
      </c>
      <c r="J18" s="1"/>
      <c r="K18" s="1"/>
      <c r="L18" s="1"/>
      <c r="M18" s="1"/>
      <c r="N18" s="1">
        <v>2</v>
      </c>
      <c r="O18" s="66">
        <f t="shared" si="3"/>
        <v>5200</v>
      </c>
      <c r="P18" s="1">
        <v>2</v>
      </c>
      <c r="Q18" s="66">
        <f t="shared" si="6"/>
        <v>5200</v>
      </c>
      <c r="R18" s="1">
        <v>2</v>
      </c>
      <c r="S18" s="66">
        <f t="shared" si="5"/>
        <v>5200</v>
      </c>
      <c r="T18" s="1">
        <v>2</v>
      </c>
      <c r="U18" s="12">
        <f t="shared" si="7"/>
        <v>5200</v>
      </c>
    </row>
    <row r="19" spans="1:21" ht="15.5" x14ac:dyDescent="0.35">
      <c r="A19" s="1">
        <v>6</v>
      </c>
      <c r="B19" s="13" t="s">
        <v>126</v>
      </c>
      <c r="C19" s="1" t="s">
        <v>65</v>
      </c>
      <c r="D19" s="1">
        <v>0</v>
      </c>
      <c r="E19" s="3">
        <v>1600</v>
      </c>
      <c r="F19" s="3">
        <f t="shared" si="2"/>
        <v>0</v>
      </c>
      <c r="G19" s="1"/>
      <c r="H19" s="1" t="s">
        <v>27</v>
      </c>
      <c r="I19" s="1" t="s">
        <v>21</v>
      </c>
      <c r="J19" s="1"/>
      <c r="K19" s="1"/>
      <c r="L19" s="1"/>
      <c r="M19" s="1"/>
      <c r="N19" s="1">
        <v>0</v>
      </c>
      <c r="O19" s="66">
        <f t="shared" si="3"/>
        <v>0</v>
      </c>
      <c r="P19" s="1"/>
      <c r="Q19" s="66">
        <f t="shared" si="6"/>
        <v>0</v>
      </c>
      <c r="R19" s="1"/>
      <c r="S19" s="66">
        <f t="shared" si="5"/>
        <v>0</v>
      </c>
      <c r="T19" s="1"/>
      <c r="U19" s="12">
        <f t="shared" si="7"/>
        <v>0</v>
      </c>
    </row>
    <row r="20" spans="1:21" ht="15.5" x14ac:dyDescent="0.35">
      <c r="A20" s="1">
        <v>7</v>
      </c>
      <c r="B20" s="13" t="s">
        <v>124</v>
      </c>
      <c r="C20" s="1" t="s">
        <v>65</v>
      </c>
      <c r="D20" s="1">
        <v>0</v>
      </c>
      <c r="E20" s="3">
        <v>1500</v>
      </c>
      <c r="F20" s="3">
        <f t="shared" si="2"/>
        <v>0</v>
      </c>
      <c r="G20" s="1"/>
      <c r="H20" s="1" t="s">
        <v>27</v>
      </c>
      <c r="I20" s="1" t="s">
        <v>21</v>
      </c>
      <c r="J20" s="1"/>
      <c r="K20" s="1"/>
      <c r="L20" s="1"/>
      <c r="M20" s="1"/>
      <c r="N20" s="1">
        <v>0</v>
      </c>
      <c r="O20" s="66">
        <f t="shared" si="3"/>
        <v>0</v>
      </c>
      <c r="P20" s="1"/>
      <c r="Q20" s="66">
        <f t="shared" si="6"/>
        <v>0</v>
      </c>
      <c r="R20" s="1"/>
      <c r="S20" s="66">
        <f t="shared" si="5"/>
        <v>0</v>
      </c>
      <c r="T20" s="1"/>
      <c r="U20" s="12">
        <f t="shared" si="7"/>
        <v>0</v>
      </c>
    </row>
    <row r="21" spans="1:21" ht="15.5" x14ac:dyDescent="0.35">
      <c r="A21" s="1">
        <v>8</v>
      </c>
      <c r="B21" s="13" t="s">
        <v>125</v>
      </c>
      <c r="C21" s="1" t="s">
        <v>65</v>
      </c>
      <c r="D21" s="1">
        <v>0</v>
      </c>
      <c r="E21" s="3">
        <v>1600</v>
      </c>
      <c r="F21" s="3">
        <f t="shared" si="2"/>
        <v>0</v>
      </c>
      <c r="G21" s="1"/>
      <c r="H21" s="1" t="s">
        <v>27</v>
      </c>
      <c r="I21" s="1" t="s">
        <v>21</v>
      </c>
      <c r="J21" s="1"/>
      <c r="K21" s="1"/>
      <c r="L21" s="1"/>
      <c r="M21" s="1"/>
      <c r="N21" s="1">
        <v>0</v>
      </c>
      <c r="O21" s="66">
        <f t="shared" si="3"/>
        <v>0</v>
      </c>
      <c r="P21" s="1"/>
      <c r="Q21" s="66">
        <f t="shared" si="6"/>
        <v>0</v>
      </c>
      <c r="R21" s="1"/>
      <c r="S21" s="66">
        <f t="shared" si="5"/>
        <v>0</v>
      </c>
      <c r="T21" s="1"/>
      <c r="U21" s="12">
        <f t="shared" si="7"/>
        <v>0</v>
      </c>
    </row>
    <row r="22" spans="1:21" ht="15.5" x14ac:dyDescent="0.35">
      <c r="A22" s="1">
        <v>9</v>
      </c>
      <c r="B22" s="13" t="s">
        <v>121</v>
      </c>
      <c r="C22" s="1" t="s">
        <v>65</v>
      </c>
      <c r="D22" s="1">
        <v>0</v>
      </c>
      <c r="E22" s="3">
        <v>8500</v>
      </c>
      <c r="F22" s="3">
        <f t="shared" si="2"/>
        <v>0</v>
      </c>
      <c r="G22" s="1"/>
      <c r="H22" s="1" t="s">
        <v>27</v>
      </c>
      <c r="I22" s="1" t="s">
        <v>21</v>
      </c>
      <c r="J22" s="1"/>
      <c r="K22" s="1"/>
      <c r="L22" s="1"/>
      <c r="M22" s="1"/>
      <c r="N22" s="1">
        <v>0</v>
      </c>
      <c r="O22" s="66">
        <f t="shared" si="3"/>
        <v>0</v>
      </c>
      <c r="P22" s="1"/>
      <c r="Q22" s="66">
        <f t="shared" si="6"/>
        <v>0</v>
      </c>
      <c r="R22" s="1"/>
      <c r="S22" s="66">
        <f t="shared" si="5"/>
        <v>0</v>
      </c>
      <c r="T22" s="1"/>
      <c r="U22" s="12">
        <f t="shared" si="7"/>
        <v>0</v>
      </c>
    </row>
    <row r="23" spans="1:21" ht="15.5" x14ac:dyDescent="0.35">
      <c r="A23" s="1">
        <v>10</v>
      </c>
      <c r="B23" s="13" t="s">
        <v>122</v>
      </c>
      <c r="C23" s="1" t="s">
        <v>65</v>
      </c>
      <c r="D23" s="1">
        <v>0</v>
      </c>
      <c r="E23" s="3">
        <v>5000</v>
      </c>
      <c r="F23" s="3">
        <f t="shared" si="2"/>
        <v>0</v>
      </c>
      <c r="G23" s="1"/>
      <c r="H23" s="1" t="s">
        <v>27</v>
      </c>
      <c r="I23" s="1" t="s">
        <v>21</v>
      </c>
      <c r="J23" s="1"/>
      <c r="K23" s="1"/>
      <c r="L23" s="1"/>
      <c r="M23" s="1"/>
      <c r="N23" s="1">
        <v>0</v>
      </c>
      <c r="O23" s="66">
        <f t="shared" si="3"/>
        <v>0</v>
      </c>
      <c r="P23" s="1"/>
      <c r="Q23" s="66">
        <f t="shared" si="6"/>
        <v>0</v>
      </c>
      <c r="R23" s="1"/>
      <c r="S23" s="66">
        <f t="shared" si="5"/>
        <v>0</v>
      </c>
      <c r="T23" s="1"/>
      <c r="U23" s="12">
        <f t="shared" si="7"/>
        <v>0</v>
      </c>
    </row>
    <row r="24" spans="1:21" ht="15.5" x14ac:dyDescent="0.35">
      <c r="A24" s="1">
        <v>11</v>
      </c>
      <c r="B24" s="13" t="s">
        <v>267</v>
      </c>
      <c r="C24" s="1" t="s">
        <v>268</v>
      </c>
      <c r="D24" s="1">
        <v>8</v>
      </c>
      <c r="E24" s="64">
        <v>1200</v>
      </c>
      <c r="F24" s="3">
        <f t="shared" si="2"/>
        <v>9600</v>
      </c>
      <c r="G24" s="1"/>
      <c r="H24" s="1" t="s">
        <v>27</v>
      </c>
      <c r="I24" s="1" t="s">
        <v>21</v>
      </c>
      <c r="J24" s="1"/>
      <c r="K24" s="1"/>
      <c r="L24" s="1"/>
      <c r="M24" s="1"/>
      <c r="N24" s="1">
        <v>2</v>
      </c>
      <c r="O24" s="66">
        <f t="shared" si="3"/>
        <v>2400</v>
      </c>
      <c r="P24" s="1">
        <v>2</v>
      </c>
      <c r="Q24" s="66">
        <f t="shared" si="6"/>
        <v>2400</v>
      </c>
      <c r="R24" s="1">
        <v>2</v>
      </c>
      <c r="S24" s="66">
        <f t="shared" si="5"/>
        <v>2400</v>
      </c>
      <c r="T24" s="1">
        <v>2</v>
      </c>
      <c r="U24" s="12">
        <f t="shared" si="7"/>
        <v>2400</v>
      </c>
    </row>
    <row r="25" spans="1:21" ht="15.5" x14ac:dyDescent="0.35">
      <c r="A25" s="1">
        <v>12</v>
      </c>
      <c r="B25" s="13" t="s">
        <v>269</v>
      </c>
      <c r="C25" s="1" t="s">
        <v>270</v>
      </c>
      <c r="D25" s="1">
        <v>8</v>
      </c>
      <c r="E25" s="64">
        <v>1200</v>
      </c>
      <c r="F25" s="3">
        <f t="shared" si="2"/>
        <v>9600</v>
      </c>
      <c r="G25" s="1"/>
      <c r="H25" s="1" t="s">
        <v>27</v>
      </c>
      <c r="I25" s="1" t="s">
        <v>21</v>
      </c>
      <c r="J25" s="1"/>
      <c r="K25" s="1"/>
      <c r="L25" s="1"/>
      <c r="M25" s="1"/>
      <c r="N25" s="1">
        <v>2</v>
      </c>
      <c r="O25" s="66">
        <f t="shared" si="3"/>
        <v>2400</v>
      </c>
      <c r="P25" s="1">
        <v>2</v>
      </c>
      <c r="Q25" s="66">
        <f t="shared" si="6"/>
        <v>2400</v>
      </c>
      <c r="R25" s="1">
        <v>2</v>
      </c>
      <c r="S25" s="66">
        <f t="shared" si="5"/>
        <v>2400</v>
      </c>
      <c r="T25" s="1">
        <v>2</v>
      </c>
      <c r="U25" s="12">
        <f t="shared" si="7"/>
        <v>2400</v>
      </c>
    </row>
    <row r="26" spans="1:21" ht="15.5" x14ac:dyDescent="0.35">
      <c r="A26" s="1">
        <v>13</v>
      </c>
      <c r="B26" s="13" t="s">
        <v>338</v>
      </c>
      <c r="C26" s="1" t="s">
        <v>271</v>
      </c>
      <c r="D26" s="1">
        <v>4</v>
      </c>
      <c r="E26" s="64">
        <v>1300</v>
      </c>
      <c r="F26" s="3">
        <f t="shared" si="2"/>
        <v>5200</v>
      </c>
      <c r="G26" s="1"/>
      <c r="H26" s="1" t="s">
        <v>27</v>
      </c>
      <c r="I26" s="1" t="s">
        <v>21</v>
      </c>
      <c r="J26" s="1"/>
      <c r="K26" s="1"/>
      <c r="L26" s="1"/>
      <c r="M26" s="1"/>
      <c r="N26" s="1">
        <v>2</v>
      </c>
      <c r="O26" s="66">
        <f t="shared" si="3"/>
        <v>2600</v>
      </c>
      <c r="P26" s="1"/>
      <c r="Q26" s="66">
        <f t="shared" si="6"/>
        <v>0</v>
      </c>
      <c r="R26" s="1">
        <v>2</v>
      </c>
      <c r="S26" s="66">
        <f t="shared" si="5"/>
        <v>2600</v>
      </c>
      <c r="T26" s="1"/>
      <c r="U26" s="12">
        <f t="shared" si="7"/>
        <v>0</v>
      </c>
    </row>
    <row r="27" spans="1:21" ht="15.5" x14ac:dyDescent="0.35">
      <c r="A27" s="1">
        <v>14</v>
      </c>
      <c r="B27" s="13" t="s">
        <v>272</v>
      </c>
      <c r="C27" s="1" t="s">
        <v>273</v>
      </c>
      <c r="D27" s="1">
        <v>12</v>
      </c>
      <c r="E27" s="64">
        <v>500</v>
      </c>
      <c r="F27" s="3">
        <f t="shared" si="2"/>
        <v>6000</v>
      </c>
      <c r="G27" s="1"/>
      <c r="H27" s="1" t="s">
        <v>27</v>
      </c>
      <c r="I27" s="1" t="s">
        <v>21</v>
      </c>
      <c r="J27" s="1"/>
      <c r="K27" s="1"/>
      <c r="L27" s="1"/>
      <c r="M27" s="1"/>
      <c r="N27" s="1">
        <v>3</v>
      </c>
      <c r="O27" s="66">
        <f t="shared" si="3"/>
        <v>1500</v>
      </c>
      <c r="P27" s="1">
        <v>3</v>
      </c>
      <c r="Q27" s="66">
        <f t="shared" si="6"/>
        <v>1500</v>
      </c>
      <c r="R27" s="1">
        <v>3</v>
      </c>
      <c r="S27" s="66">
        <f t="shared" si="5"/>
        <v>1500</v>
      </c>
      <c r="T27" s="1">
        <v>3</v>
      </c>
      <c r="U27" s="12">
        <f t="shared" si="7"/>
        <v>1500</v>
      </c>
    </row>
    <row r="28" spans="1:21" ht="15.5" x14ac:dyDescent="0.35">
      <c r="A28" s="1">
        <v>15</v>
      </c>
      <c r="B28" s="13" t="s">
        <v>274</v>
      </c>
      <c r="C28" s="1" t="s">
        <v>275</v>
      </c>
      <c r="D28" s="1">
        <v>8</v>
      </c>
      <c r="E28" s="64">
        <v>1400</v>
      </c>
      <c r="F28" s="3">
        <f t="shared" si="2"/>
        <v>11200</v>
      </c>
      <c r="G28" s="1"/>
      <c r="H28" s="1" t="s">
        <v>27</v>
      </c>
      <c r="I28" s="1" t="s">
        <v>21</v>
      </c>
      <c r="J28" s="1"/>
      <c r="K28" s="1"/>
      <c r="L28" s="1"/>
      <c r="M28" s="1"/>
      <c r="N28" s="1">
        <v>2</v>
      </c>
      <c r="O28" s="66">
        <f t="shared" si="3"/>
        <v>2800</v>
      </c>
      <c r="P28" s="1">
        <v>2</v>
      </c>
      <c r="Q28" s="66">
        <f t="shared" si="6"/>
        <v>2800</v>
      </c>
      <c r="R28" s="1">
        <v>2</v>
      </c>
      <c r="S28" s="66">
        <f t="shared" si="5"/>
        <v>2800</v>
      </c>
      <c r="T28" s="1">
        <v>2</v>
      </c>
      <c r="U28" s="12">
        <f t="shared" si="7"/>
        <v>2800</v>
      </c>
    </row>
    <row r="29" spans="1:21" ht="15.5" x14ac:dyDescent="0.35">
      <c r="A29" s="1">
        <v>16</v>
      </c>
      <c r="B29" s="13" t="s">
        <v>276</v>
      </c>
      <c r="C29" s="1" t="s">
        <v>277</v>
      </c>
      <c r="D29" s="1">
        <v>4</v>
      </c>
      <c r="E29" s="64">
        <v>400</v>
      </c>
      <c r="F29" s="3">
        <f t="shared" si="2"/>
        <v>1600</v>
      </c>
      <c r="G29" s="1"/>
      <c r="H29" s="1" t="s">
        <v>27</v>
      </c>
      <c r="I29" s="1" t="s">
        <v>21</v>
      </c>
      <c r="J29" s="1"/>
      <c r="K29" s="1"/>
      <c r="L29" s="1"/>
      <c r="M29" s="1"/>
      <c r="N29" s="1">
        <v>2</v>
      </c>
      <c r="O29" s="66">
        <f t="shared" si="3"/>
        <v>800</v>
      </c>
      <c r="P29" s="1"/>
      <c r="Q29" s="66">
        <f t="shared" si="6"/>
        <v>0</v>
      </c>
      <c r="R29" s="1">
        <v>2</v>
      </c>
      <c r="S29" s="66">
        <f t="shared" si="5"/>
        <v>800</v>
      </c>
      <c r="T29" s="1"/>
      <c r="U29" s="12">
        <f t="shared" si="7"/>
        <v>0</v>
      </c>
    </row>
    <row r="30" spans="1:21" ht="15.5" x14ac:dyDescent="0.35">
      <c r="A30" s="1">
        <v>17</v>
      </c>
      <c r="B30" s="13" t="s">
        <v>280</v>
      </c>
      <c r="C30" s="1" t="s">
        <v>278</v>
      </c>
      <c r="D30" s="1">
        <v>4</v>
      </c>
      <c r="E30" s="64">
        <v>3000</v>
      </c>
      <c r="F30" s="3">
        <f t="shared" si="2"/>
        <v>12000</v>
      </c>
      <c r="G30" s="1"/>
      <c r="H30" s="1" t="s">
        <v>27</v>
      </c>
      <c r="I30" s="1" t="s">
        <v>21</v>
      </c>
      <c r="J30" s="1"/>
      <c r="K30" s="1"/>
      <c r="L30" s="1"/>
      <c r="M30" s="1"/>
      <c r="N30" s="1">
        <v>1</v>
      </c>
      <c r="O30" s="66">
        <f t="shared" si="3"/>
        <v>3000</v>
      </c>
      <c r="P30" s="1">
        <v>1</v>
      </c>
      <c r="Q30" s="66">
        <f t="shared" si="6"/>
        <v>3000</v>
      </c>
      <c r="R30" s="1">
        <v>1</v>
      </c>
      <c r="S30" s="66">
        <f t="shared" si="5"/>
        <v>3000</v>
      </c>
      <c r="T30" s="1">
        <v>1</v>
      </c>
      <c r="U30" s="12">
        <f t="shared" si="7"/>
        <v>3000</v>
      </c>
    </row>
    <row r="31" spans="1:21" ht="15.5" x14ac:dyDescent="0.35">
      <c r="A31" s="1">
        <v>18</v>
      </c>
      <c r="B31" s="13" t="s">
        <v>279</v>
      </c>
      <c r="C31" s="1" t="s">
        <v>268</v>
      </c>
      <c r="D31" s="1">
        <v>4</v>
      </c>
      <c r="E31" s="64">
        <v>700</v>
      </c>
      <c r="F31" s="3">
        <f t="shared" si="2"/>
        <v>2800</v>
      </c>
      <c r="G31" s="1"/>
      <c r="H31" s="1" t="s">
        <v>27</v>
      </c>
      <c r="I31" s="1" t="s">
        <v>21</v>
      </c>
      <c r="J31" s="1"/>
      <c r="K31" s="1"/>
      <c r="L31" s="1"/>
      <c r="M31" s="1"/>
      <c r="N31" s="1">
        <v>1</v>
      </c>
      <c r="O31" s="66">
        <f t="shared" si="3"/>
        <v>700</v>
      </c>
      <c r="P31" s="1">
        <v>1</v>
      </c>
      <c r="Q31" s="66">
        <f t="shared" si="6"/>
        <v>700</v>
      </c>
      <c r="R31" s="1">
        <v>1</v>
      </c>
      <c r="S31" s="66">
        <f t="shared" si="5"/>
        <v>700</v>
      </c>
      <c r="T31" s="1">
        <v>1</v>
      </c>
      <c r="U31" s="12">
        <f t="shared" si="7"/>
        <v>700</v>
      </c>
    </row>
    <row r="32" spans="1:21" ht="15.5" x14ac:dyDescent="0.35">
      <c r="A32" s="1">
        <v>19</v>
      </c>
      <c r="B32" s="13" t="s">
        <v>281</v>
      </c>
      <c r="C32" s="1" t="s">
        <v>119</v>
      </c>
      <c r="D32" s="1">
        <v>8</v>
      </c>
      <c r="E32" s="64">
        <v>2800</v>
      </c>
      <c r="F32" s="3">
        <f t="shared" si="2"/>
        <v>22400</v>
      </c>
      <c r="G32" s="1"/>
      <c r="H32" s="1" t="s">
        <v>27</v>
      </c>
      <c r="I32" s="1" t="s">
        <v>21</v>
      </c>
      <c r="J32" s="1"/>
      <c r="K32" s="1"/>
      <c r="L32" s="1"/>
      <c r="M32" s="1"/>
      <c r="N32" s="1">
        <v>2</v>
      </c>
      <c r="O32" s="66">
        <f t="shared" si="3"/>
        <v>5600</v>
      </c>
      <c r="P32" s="1">
        <v>2</v>
      </c>
      <c r="Q32" s="66">
        <f t="shared" si="6"/>
        <v>5600</v>
      </c>
      <c r="R32" s="1">
        <v>2</v>
      </c>
      <c r="S32" s="66">
        <f t="shared" si="5"/>
        <v>5600</v>
      </c>
      <c r="T32" s="1">
        <v>2</v>
      </c>
      <c r="U32" s="12">
        <f t="shared" si="7"/>
        <v>5600</v>
      </c>
    </row>
    <row r="33" spans="1:21" ht="15.5" x14ac:dyDescent="0.35">
      <c r="A33" s="1">
        <v>20</v>
      </c>
      <c r="B33" s="13" t="s">
        <v>387</v>
      </c>
      <c r="C33" s="1" t="s">
        <v>268</v>
      </c>
      <c r="D33" s="1">
        <v>8</v>
      </c>
      <c r="E33" s="64">
        <v>700</v>
      </c>
      <c r="F33" s="3">
        <f t="shared" si="2"/>
        <v>5600</v>
      </c>
      <c r="G33" s="1"/>
      <c r="H33" s="1" t="s">
        <v>27</v>
      </c>
      <c r="I33" s="1" t="s">
        <v>21</v>
      </c>
      <c r="J33" s="1"/>
      <c r="K33" s="1"/>
      <c r="L33" s="1"/>
      <c r="M33" s="1"/>
      <c r="N33" s="1">
        <v>2</v>
      </c>
      <c r="O33" s="66">
        <f t="shared" si="3"/>
        <v>1400</v>
      </c>
      <c r="P33" s="1">
        <v>2</v>
      </c>
      <c r="Q33" s="66">
        <f t="shared" si="6"/>
        <v>1400</v>
      </c>
      <c r="R33" s="1">
        <v>2</v>
      </c>
      <c r="S33" s="66">
        <f t="shared" si="5"/>
        <v>1400</v>
      </c>
      <c r="T33" s="1">
        <v>2</v>
      </c>
      <c r="U33" s="12">
        <f t="shared" si="7"/>
        <v>1400</v>
      </c>
    </row>
    <row r="34" spans="1:21" ht="15.5" x14ac:dyDescent="0.35">
      <c r="A34" s="1">
        <v>21</v>
      </c>
      <c r="B34" s="13" t="s">
        <v>282</v>
      </c>
      <c r="C34" s="1" t="s">
        <v>76</v>
      </c>
      <c r="D34" s="1">
        <v>10</v>
      </c>
      <c r="E34" s="64">
        <v>2600</v>
      </c>
      <c r="F34" s="3">
        <f t="shared" si="2"/>
        <v>26000</v>
      </c>
      <c r="G34" s="1"/>
      <c r="H34" s="1" t="s">
        <v>27</v>
      </c>
      <c r="I34" s="1" t="s">
        <v>21</v>
      </c>
      <c r="J34" s="1"/>
      <c r="K34" s="1"/>
      <c r="L34" s="1"/>
      <c r="M34" s="1"/>
      <c r="N34" s="1">
        <v>5</v>
      </c>
      <c r="O34" s="66">
        <f t="shared" si="3"/>
        <v>13000</v>
      </c>
      <c r="P34" s="1"/>
      <c r="Q34" s="66">
        <f t="shared" si="6"/>
        <v>0</v>
      </c>
      <c r="R34" s="1">
        <v>5</v>
      </c>
      <c r="S34" s="66">
        <f t="shared" si="5"/>
        <v>13000</v>
      </c>
      <c r="T34" s="1"/>
      <c r="U34" s="12">
        <f t="shared" si="7"/>
        <v>0</v>
      </c>
    </row>
    <row r="35" spans="1:21" ht="15.5" x14ac:dyDescent="0.35">
      <c r="A35" s="1">
        <v>22</v>
      </c>
      <c r="B35" s="13" t="s">
        <v>283</v>
      </c>
      <c r="C35" s="1" t="s">
        <v>54</v>
      </c>
      <c r="D35" s="1">
        <v>10</v>
      </c>
      <c r="E35" s="64">
        <v>2600</v>
      </c>
      <c r="F35" s="3">
        <f t="shared" si="2"/>
        <v>26000</v>
      </c>
      <c r="G35" s="1"/>
      <c r="H35" s="1" t="s">
        <v>27</v>
      </c>
      <c r="I35" s="1" t="s">
        <v>21</v>
      </c>
      <c r="J35" s="1"/>
      <c r="K35" s="1"/>
      <c r="L35" s="1"/>
      <c r="M35" s="1"/>
      <c r="N35" s="1">
        <v>5</v>
      </c>
      <c r="O35" s="66">
        <f t="shared" si="3"/>
        <v>13000</v>
      </c>
      <c r="P35" s="1"/>
      <c r="Q35" s="66">
        <f t="shared" si="6"/>
        <v>0</v>
      </c>
      <c r="R35" s="1">
        <v>5</v>
      </c>
      <c r="S35" s="66">
        <f t="shared" si="5"/>
        <v>13000</v>
      </c>
      <c r="T35" s="1"/>
      <c r="U35" s="12">
        <f t="shared" si="7"/>
        <v>0</v>
      </c>
    </row>
    <row r="36" spans="1:21" ht="15.5" x14ac:dyDescent="0.35">
      <c r="A36" s="1"/>
      <c r="B36" s="13"/>
      <c r="C36" s="1"/>
      <c r="D36" s="1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2"/>
    </row>
    <row r="37" spans="1:21" ht="15.5" x14ac:dyDescent="0.35">
      <c r="A37" s="1"/>
      <c r="B37" s="13"/>
      <c r="C37" s="1"/>
      <c r="D37" s="1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2"/>
    </row>
    <row r="38" spans="1:21" x14ac:dyDescent="0.35">
      <c r="A38" s="1"/>
      <c r="B38" s="1"/>
      <c r="C38" s="1"/>
      <c r="D38" s="1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2">
        <f t="shared" si="1"/>
        <v>0</v>
      </c>
    </row>
    <row r="39" spans="1:21" x14ac:dyDescent="0.35">
      <c r="A39" s="2" t="s">
        <v>411</v>
      </c>
      <c r="B39" s="2"/>
      <c r="C39" s="2"/>
      <c r="D39" s="1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2">
        <f t="shared" si="1"/>
        <v>0</v>
      </c>
    </row>
    <row r="40" spans="1:21" x14ac:dyDescent="0.35">
      <c r="A40" s="1">
        <v>1</v>
      </c>
      <c r="B40" s="21" t="s">
        <v>388</v>
      </c>
      <c r="C40" s="1" t="s">
        <v>62</v>
      </c>
      <c r="D40" s="1">
        <v>3</v>
      </c>
      <c r="E40" s="3">
        <v>50000</v>
      </c>
      <c r="F40" s="3">
        <f t="shared" ref="F40:F43" si="8">D40*E40</f>
        <v>150000</v>
      </c>
      <c r="G40" s="1" t="s">
        <v>22</v>
      </c>
      <c r="H40" s="1" t="s">
        <v>27</v>
      </c>
      <c r="I40" s="1" t="s">
        <v>21</v>
      </c>
      <c r="J40" s="1"/>
      <c r="K40" s="1"/>
      <c r="L40" s="1"/>
      <c r="M40" s="11" t="s">
        <v>24</v>
      </c>
      <c r="N40" s="1">
        <v>3</v>
      </c>
      <c r="O40" s="66">
        <f t="shared" ref="O40:O47" si="9">E40*N40</f>
        <v>150000</v>
      </c>
      <c r="P40" s="1"/>
      <c r="Q40" s="66">
        <f t="shared" ref="Q40:Q47" si="10">E40*P40</f>
        <v>0</v>
      </c>
      <c r="R40" s="1"/>
      <c r="S40" s="66">
        <f t="shared" ref="S40:S47" si="11">E40*R40</f>
        <v>0</v>
      </c>
      <c r="T40" s="65"/>
      <c r="U40" s="12">
        <f t="shared" ref="U40:U47" si="12">E40*T40</f>
        <v>0</v>
      </c>
    </row>
    <row r="41" spans="1:21" ht="15.5" x14ac:dyDescent="0.35">
      <c r="A41" s="1">
        <v>2</v>
      </c>
      <c r="B41" s="13" t="s">
        <v>32</v>
      </c>
      <c r="C41" s="13" t="s">
        <v>62</v>
      </c>
      <c r="D41" s="1">
        <v>8</v>
      </c>
      <c r="E41" s="3">
        <v>20000</v>
      </c>
      <c r="F41" s="3">
        <f t="shared" si="8"/>
        <v>160000</v>
      </c>
      <c r="G41" s="1" t="s">
        <v>22</v>
      </c>
      <c r="H41" s="1" t="s">
        <v>27</v>
      </c>
      <c r="I41" s="1" t="s">
        <v>21</v>
      </c>
      <c r="J41" s="1"/>
      <c r="K41" s="1"/>
      <c r="L41" s="1"/>
      <c r="M41" s="11" t="s">
        <v>24</v>
      </c>
      <c r="N41" s="1">
        <v>8</v>
      </c>
      <c r="O41" s="66">
        <f t="shared" si="9"/>
        <v>160000</v>
      </c>
      <c r="P41" s="1"/>
      <c r="Q41" s="66">
        <f t="shared" si="10"/>
        <v>0</v>
      </c>
      <c r="R41" s="1"/>
      <c r="S41" s="66">
        <f t="shared" si="11"/>
        <v>0</v>
      </c>
      <c r="T41" s="65"/>
      <c r="U41" s="12">
        <f t="shared" si="12"/>
        <v>0</v>
      </c>
    </row>
    <row r="42" spans="1:21" x14ac:dyDescent="0.35">
      <c r="A42" s="1">
        <v>3</v>
      </c>
      <c r="B42" s="1" t="s">
        <v>140</v>
      </c>
      <c r="C42" s="1" t="s">
        <v>62</v>
      </c>
      <c r="D42" s="1">
        <v>10</v>
      </c>
      <c r="E42" s="3">
        <v>480</v>
      </c>
      <c r="F42" s="3">
        <f t="shared" si="8"/>
        <v>4800</v>
      </c>
      <c r="G42" s="1" t="s">
        <v>22</v>
      </c>
      <c r="H42" s="1" t="s">
        <v>27</v>
      </c>
      <c r="I42" s="1" t="s">
        <v>21</v>
      </c>
      <c r="J42" s="1"/>
      <c r="K42" s="1"/>
      <c r="L42" s="1"/>
      <c r="M42" s="1"/>
      <c r="N42" s="1">
        <v>10</v>
      </c>
      <c r="O42" s="66">
        <f t="shared" si="9"/>
        <v>4800</v>
      </c>
      <c r="P42" s="1"/>
      <c r="Q42" s="66">
        <f t="shared" si="10"/>
        <v>0</v>
      </c>
      <c r="R42" s="1"/>
      <c r="S42" s="66">
        <f t="shared" si="11"/>
        <v>0</v>
      </c>
      <c r="T42" s="65"/>
      <c r="U42" s="12">
        <f t="shared" si="12"/>
        <v>0</v>
      </c>
    </row>
    <row r="43" spans="1:21" x14ac:dyDescent="0.35">
      <c r="A43" s="1">
        <v>4</v>
      </c>
      <c r="B43" s="1" t="s">
        <v>139</v>
      </c>
      <c r="C43" s="1" t="s">
        <v>38</v>
      </c>
      <c r="D43" s="1">
        <v>10</v>
      </c>
      <c r="E43" s="3">
        <v>1600</v>
      </c>
      <c r="F43" s="3">
        <f t="shared" si="8"/>
        <v>16000</v>
      </c>
      <c r="G43" s="1" t="s">
        <v>22</v>
      </c>
      <c r="H43" s="1" t="s">
        <v>27</v>
      </c>
      <c r="I43" s="1" t="s">
        <v>21</v>
      </c>
      <c r="J43" s="1"/>
      <c r="K43" s="1"/>
      <c r="L43" s="1"/>
      <c r="M43" s="1"/>
      <c r="N43" s="1">
        <v>10</v>
      </c>
      <c r="O43" s="66">
        <f t="shared" si="9"/>
        <v>16000</v>
      </c>
      <c r="P43" s="1"/>
      <c r="Q43" s="66">
        <f t="shared" si="10"/>
        <v>0</v>
      </c>
      <c r="R43" s="1"/>
      <c r="S43" s="66">
        <f t="shared" si="11"/>
        <v>0</v>
      </c>
      <c r="T43" s="65"/>
      <c r="U43" s="12">
        <f t="shared" si="12"/>
        <v>0</v>
      </c>
    </row>
    <row r="44" spans="1:21" x14ac:dyDescent="0.35">
      <c r="A44" s="1">
        <v>5</v>
      </c>
      <c r="B44" s="1" t="s">
        <v>205</v>
      </c>
      <c r="C44" s="1" t="s">
        <v>127</v>
      </c>
      <c r="D44" s="1">
        <v>5</v>
      </c>
      <c r="E44" s="3">
        <v>45000</v>
      </c>
      <c r="F44" s="3">
        <v>0</v>
      </c>
      <c r="G44" s="1" t="s">
        <v>22</v>
      </c>
      <c r="H44" s="1"/>
      <c r="I44" s="1" t="s">
        <v>21</v>
      </c>
      <c r="J44" s="1"/>
      <c r="K44" s="1"/>
      <c r="L44" s="1"/>
      <c r="M44" s="1"/>
      <c r="N44" s="1">
        <v>5</v>
      </c>
      <c r="O44" s="66">
        <f t="shared" si="9"/>
        <v>225000</v>
      </c>
      <c r="P44" s="1"/>
      <c r="Q44" s="66">
        <f t="shared" si="10"/>
        <v>0</v>
      </c>
      <c r="R44" s="1"/>
      <c r="S44" s="66">
        <f t="shared" si="11"/>
        <v>0</v>
      </c>
      <c r="T44" s="4"/>
      <c r="U44" s="12">
        <f t="shared" si="12"/>
        <v>0</v>
      </c>
    </row>
    <row r="45" spans="1:21" s="15" customFormat="1" x14ac:dyDescent="0.35">
      <c r="A45" s="14">
        <v>6</v>
      </c>
      <c r="B45" s="50" t="s">
        <v>389</v>
      </c>
      <c r="C45" s="14" t="s">
        <v>127</v>
      </c>
      <c r="D45" s="14">
        <v>1</v>
      </c>
      <c r="E45" s="19">
        <v>550000</v>
      </c>
      <c r="F45" s="19">
        <f t="shared" ref="F45:F48" si="13">D45*E45</f>
        <v>550000</v>
      </c>
      <c r="G45" s="1" t="s">
        <v>22</v>
      </c>
      <c r="H45" s="14"/>
      <c r="I45" s="1" t="s">
        <v>21</v>
      </c>
      <c r="J45" s="14"/>
      <c r="K45" s="14"/>
      <c r="L45" s="14"/>
      <c r="M45" s="14"/>
      <c r="N45" s="14">
        <v>1</v>
      </c>
      <c r="O45" s="66">
        <f t="shared" si="9"/>
        <v>550000</v>
      </c>
      <c r="P45" s="14"/>
      <c r="Q45" s="66">
        <f t="shared" si="10"/>
        <v>0</v>
      </c>
      <c r="R45" s="14"/>
      <c r="S45" s="66">
        <f t="shared" si="11"/>
        <v>0</v>
      </c>
      <c r="T45" s="14"/>
      <c r="U45" s="12">
        <f t="shared" si="12"/>
        <v>0</v>
      </c>
    </row>
    <row r="46" spans="1:21" ht="15.5" x14ac:dyDescent="0.35">
      <c r="A46" s="1">
        <v>7</v>
      </c>
      <c r="B46" s="13" t="s">
        <v>390</v>
      </c>
      <c r="C46" s="1" t="s">
        <v>49</v>
      </c>
      <c r="D46" s="1">
        <v>3</v>
      </c>
      <c r="E46" s="3">
        <v>30000</v>
      </c>
      <c r="F46" s="3">
        <f t="shared" si="13"/>
        <v>90000</v>
      </c>
      <c r="G46" s="1" t="s">
        <v>22</v>
      </c>
      <c r="H46" s="1" t="s">
        <v>27</v>
      </c>
      <c r="I46" s="1" t="s">
        <v>21</v>
      </c>
      <c r="J46" s="1"/>
      <c r="K46" s="1"/>
      <c r="L46" s="1"/>
      <c r="M46" s="1"/>
      <c r="N46" s="1">
        <v>3</v>
      </c>
      <c r="O46" s="66">
        <f t="shared" si="9"/>
        <v>90000</v>
      </c>
      <c r="P46" s="1"/>
      <c r="Q46" s="66">
        <f t="shared" si="10"/>
        <v>0</v>
      </c>
      <c r="R46" s="1"/>
      <c r="S46" s="66">
        <f t="shared" si="11"/>
        <v>0</v>
      </c>
      <c r="T46" s="1"/>
      <c r="U46" s="12">
        <f t="shared" si="12"/>
        <v>0</v>
      </c>
    </row>
    <row r="47" spans="1:21" ht="15.5" x14ac:dyDescent="0.35">
      <c r="A47" s="1">
        <v>8</v>
      </c>
      <c r="B47" s="13" t="s">
        <v>123</v>
      </c>
      <c r="C47" s="1" t="s">
        <v>127</v>
      </c>
      <c r="D47" s="1">
        <v>0</v>
      </c>
      <c r="E47" s="3">
        <v>9200</v>
      </c>
      <c r="F47" s="3">
        <f t="shared" si="13"/>
        <v>0</v>
      </c>
      <c r="G47" s="1" t="s">
        <v>22</v>
      </c>
      <c r="H47" s="1" t="s">
        <v>27</v>
      </c>
      <c r="I47" s="1" t="s">
        <v>21</v>
      </c>
      <c r="J47" s="1"/>
      <c r="K47" s="1"/>
      <c r="L47" s="1"/>
      <c r="M47" s="1"/>
      <c r="N47" s="1">
        <v>0</v>
      </c>
      <c r="O47" s="66">
        <f t="shared" si="9"/>
        <v>0</v>
      </c>
      <c r="P47" s="1"/>
      <c r="Q47" s="66">
        <f t="shared" si="10"/>
        <v>0</v>
      </c>
      <c r="R47" s="1"/>
      <c r="S47" s="66">
        <f t="shared" si="11"/>
        <v>0</v>
      </c>
      <c r="T47" s="1"/>
      <c r="U47" s="12">
        <f t="shared" si="12"/>
        <v>0</v>
      </c>
    </row>
    <row r="48" spans="1:21" ht="15.5" x14ac:dyDescent="0.35">
      <c r="A48" s="1">
        <v>9</v>
      </c>
      <c r="B48" s="95" t="s">
        <v>402</v>
      </c>
      <c r="C48" s="91" t="s">
        <v>127</v>
      </c>
      <c r="D48" s="91">
        <v>1</v>
      </c>
      <c r="E48" s="97">
        <v>50000</v>
      </c>
      <c r="F48" s="94">
        <f t="shared" si="13"/>
        <v>50000</v>
      </c>
      <c r="G48" s="91" t="s">
        <v>22</v>
      </c>
      <c r="H48" s="52" t="s">
        <v>27</v>
      </c>
      <c r="I48" s="52" t="s">
        <v>21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12">
        <f t="shared" ref="U48" si="14">D48*E48</f>
        <v>50000</v>
      </c>
    </row>
    <row r="49" spans="1:21" ht="15.5" x14ac:dyDescent="0.35">
      <c r="A49" s="1"/>
      <c r="B49" s="95"/>
      <c r="C49" s="91"/>
      <c r="D49" s="91"/>
      <c r="E49" s="97"/>
      <c r="F49" s="94"/>
      <c r="G49" s="91"/>
      <c r="H49" s="52"/>
      <c r="I49" s="52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12"/>
    </row>
    <row r="50" spans="1:21" ht="15.5" x14ac:dyDescent="0.35">
      <c r="A50" s="1"/>
      <c r="B50" s="25"/>
      <c r="C50" s="26"/>
      <c r="D50" s="26"/>
      <c r="E50" s="27"/>
      <c r="F50" s="88"/>
      <c r="G50" s="26"/>
      <c r="H50" s="14"/>
      <c r="I50" s="14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12"/>
    </row>
    <row r="51" spans="1:21" x14ac:dyDescent="0.35">
      <c r="A51" s="125" t="s">
        <v>416</v>
      </c>
      <c r="B51" s="126"/>
      <c r="C51" s="1"/>
      <c r="D51" s="1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2"/>
    </row>
    <row r="52" spans="1:21" x14ac:dyDescent="0.35">
      <c r="A52" s="1">
        <v>1</v>
      </c>
      <c r="B52" s="1" t="s">
        <v>417</v>
      </c>
      <c r="C52" s="1" t="s">
        <v>127</v>
      </c>
      <c r="D52" s="1">
        <v>100</v>
      </c>
      <c r="E52" s="3">
        <v>4500</v>
      </c>
      <c r="F52" s="3">
        <f t="shared" ref="F52:F56" si="15">D52*E52</f>
        <v>450000</v>
      </c>
      <c r="G52" s="1" t="s">
        <v>22</v>
      </c>
      <c r="H52" s="1"/>
      <c r="I52" s="1" t="s">
        <v>21</v>
      </c>
      <c r="J52" s="1"/>
      <c r="K52" s="1"/>
      <c r="L52" s="1"/>
      <c r="M52" s="1"/>
      <c r="N52" s="1">
        <v>100</v>
      </c>
      <c r="O52" s="66">
        <f>E52*N52</f>
        <v>450000</v>
      </c>
      <c r="P52" s="1"/>
      <c r="Q52" s="66">
        <f>E52*P52</f>
        <v>0</v>
      </c>
      <c r="R52" s="1"/>
      <c r="S52" s="1"/>
      <c r="T52" s="1"/>
      <c r="U52" s="12"/>
    </row>
    <row r="53" spans="1:21" x14ac:dyDescent="0.35">
      <c r="A53" s="1">
        <v>2</v>
      </c>
      <c r="B53" s="1" t="s">
        <v>418</v>
      </c>
      <c r="C53" s="1" t="s">
        <v>419</v>
      </c>
      <c r="D53" s="1">
        <v>200</v>
      </c>
      <c r="E53" s="3">
        <v>700</v>
      </c>
      <c r="F53" s="3">
        <f t="shared" si="15"/>
        <v>140000</v>
      </c>
      <c r="G53" s="1" t="s">
        <v>22</v>
      </c>
      <c r="H53" s="1"/>
      <c r="I53" s="1" t="s">
        <v>21</v>
      </c>
      <c r="J53" s="1"/>
      <c r="K53" s="1"/>
      <c r="L53" s="1"/>
      <c r="M53" s="1"/>
      <c r="N53" s="1">
        <v>200</v>
      </c>
      <c r="O53" s="66">
        <f t="shared" ref="O53:O55" si="16">E53*N53</f>
        <v>140000</v>
      </c>
      <c r="P53" s="1"/>
      <c r="Q53" s="1"/>
      <c r="R53" s="1"/>
      <c r="S53" s="1"/>
      <c r="T53" s="1"/>
      <c r="U53" s="12"/>
    </row>
    <row r="54" spans="1:21" x14ac:dyDescent="0.35">
      <c r="A54" s="1">
        <v>3</v>
      </c>
      <c r="B54" s="1" t="s">
        <v>420</v>
      </c>
      <c r="C54" s="1" t="s">
        <v>127</v>
      </c>
      <c r="D54" s="1">
        <v>100</v>
      </c>
      <c r="E54" s="3">
        <v>200</v>
      </c>
      <c r="F54" s="3">
        <f t="shared" si="15"/>
        <v>20000</v>
      </c>
      <c r="G54" s="1" t="s">
        <v>22</v>
      </c>
      <c r="H54" s="1"/>
      <c r="I54" s="1" t="s">
        <v>21</v>
      </c>
      <c r="J54" s="1"/>
      <c r="K54" s="1"/>
      <c r="L54" s="1"/>
      <c r="M54" s="1"/>
      <c r="N54" s="1">
        <v>100</v>
      </c>
      <c r="O54" s="66">
        <f t="shared" si="16"/>
        <v>20000</v>
      </c>
      <c r="P54" s="1"/>
      <c r="Q54" s="1"/>
      <c r="R54" s="1"/>
      <c r="S54" s="1"/>
      <c r="T54" s="1"/>
      <c r="U54" s="12"/>
    </row>
    <row r="55" spans="1:21" x14ac:dyDescent="0.35">
      <c r="A55" s="1">
        <v>4</v>
      </c>
      <c r="B55" s="1" t="s">
        <v>339</v>
      </c>
      <c r="C55" s="1" t="s">
        <v>340</v>
      </c>
      <c r="D55" s="1">
        <v>1600</v>
      </c>
      <c r="E55" s="3">
        <v>120</v>
      </c>
      <c r="F55" s="3">
        <f t="shared" si="15"/>
        <v>192000</v>
      </c>
      <c r="G55" s="1" t="s">
        <v>22</v>
      </c>
      <c r="H55" s="1"/>
      <c r="I55" s="1" t="s">
        <v>21</v>
      </c>
      <c r="J55" s="1"/>
      <c r="K55" s="1"/>
      <c r="L55" s="1"/>
      <c r="M55" s="1"/>
      <c r="N55" s="1">
        <v>400</v>
      </c>
      <c r="O55" s="66">
        <f t="shared" si="16"/>
        <v>48000</v>
      </c>
      <c r="P55" s="1">
        <v>400</v>
      </c>
      <c r="Q55" s="66">
        <f>E55*P55</f>
        <v>48000</v>
      </c>
      <c r="R55" s="1">
        <v>400</v>
      </c>
      <c r="S55" s="1"/>
      <c r="T55" s="1">
        <v>400</v>
      </c>
      <c r="U55" s="12"/>
    </row>
    <row r="56" spans="1:21" x14ac:dyDescent="0.35">
      <c r="A56" s="1">
        <v>5</v>
      </c>
      <c r="B56" s="1" t="s">
        <v>422</v>
      </c>
      <c r="C56" s="1" t="s">
        <v>423</v>
      </c>
      <c r="D56" s="1">
        <v>40</v>
      </c>
      <c r="E56" s="3">
        <v>750</v>
      </c>
      <c r="F56" s="3">
        <f t="shared" si="15"/>
        <v>30000</v>
      </c>
      <c r="G56" s="1"/>
      <c r="H56" s="1"/>
      <c r="I56" s="1"/>
      <c r="J56" s="1"/>
      <c r="K56" s="1"/>
      <c r="L56" s="1"/>
      <c r="M56" s="1"/>
      <c r="N56" s="1"/>
      <c r="O56" s="66"/>
      <c r="P56" s="1"/>
      <c r="Q56" s="66"/>
      <c r="R56" s="1"/>
      <c r="S56" s="1"/>
      <c r="T56" s="1"/>
      <c r="U56" s="12"/>
    </row>
    <row r="57" spans="1:21" x14ac:dyDescent="0.35">
      <c r="A57" s="1"/>
      <c r="B57" s="1"/>
      <c r="C57" s="1"/>
      <c r="D57" s="1"/>
      <c r="E57" s="3"/>
      <c r="F57" s="3"/>
      <c r="G57" s="1"/>
      <c r="H57" s="1"/>
      <c r="I57" s="1"/>
      <c r="J57" s="1"/>
      <c r="K57" s="1"/>
      <c r="L57" s="1"/>
      <c r="M57" s="1"/>
      <c r="N57" s="1"/>
      <c r="O57" s="66"/>
      <c r="P57" s="1"/>
      <c r="Q57" s="66"/>
      <c r="R57" s="1"/>
      <c r="S57" s="1"/>
      <c r="T57" s="1"/>
      <c r="U57" s="12"/>
    </row>
    <row r="58" spans="1:21" x14ac:dyDescent="0.35">
      <c r="A58" s="1"/>
      <c r="B58" s="1"/>
      <c r="C58" s="1"/>
      <c r="D58" s="1"/>
      <c r="E58" s="3"/>
      <c r="F58" s="3"/>
      <c r="G58" s="1"/>
      <c r="H58" s="1"/>
      <c r="I58" s="1"/>
      <c r="J58" s="1"/>
      <c r="K58" s="1"/>
      <c r="L58" s="1"/>
      <c r="M58" s="1"/>
      <c r="N58" s="1"/>
      <c r="O58" s="66"/>
      <c r="P58" s="1"/>
      <c r="Q58" s="66"/>
      <c r="R58" s="1"/>
      <c r="S58" s="1"/>
      <c r="T58" s="1"/>
      <c r="U58" s="12"/>
    </row>
    <row r="59" spans="1:21" x14ac:dyDescent="0.35">
      <c r="A59" s="1"/>
      <c r="B59" s="1"/>
      <c r="C59" s="1"/>
      <c r="D59" s="1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2"/>
    </row>
    <row r="60" spans="1:21" x14ac:dyDescent="0.35">
      <c r="A60" s="125" t="s">
        <v>421</v>
      </c>
      <c r="B60" s="126"/>
      <c r="C60" s="1"/>
      <c r="D60" s="1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2"/>
    </row>
    <row r="61" spans="1:21" x14ac:dyDescent="0.35">
      <c r="A61" s="67">
        <v>1</v>
      </c>
      <c r="B61" s="68" t="s">
        <v>341</v>
      </c>
      <c r="C61" s="1" t="s">
        <v>342</v>
      </c>
      <c r="D61" s="1">
        <v>36</v>
      </c>
      <c r="E61" s="3">
        <v>4000</v>
      </c>
      <c r="F61" s="3">
        <f>D61*E61</f>
        <v>144000</v>
      </c>
      <c r="G61" s="1" t="s">
        <v>22</v>
      </c>
      <c r="H61" s="1"/>
      <c r="I61" s="1" t="s">
        <v>21</v>
      </c>
      <c r="J61" s="1"/>
      <c r="K61" s="1"/>
      <c r="L61" s="1"/>
      <c r="M61" s="1"/>
      <c r="N61" s="1">
        <v>9</v>
      </c>
      <c r="O61" s="66">
        <f t="shared" ref="O61:O63" si="17">E61*N61</f>
        <v>36000</v>
      </c>
      <c r="P61" s="1"/>
      <c r="Q61" s="1"/>
      <c r="R61" s="1"/>
      <c r="S61" s="1"/>
      <c r="T61" s="1"/>
      <c r="U61" s="12"/>
    </row>
    <row r="62" spans="1:21" x14ac:dyDescent="0.35">
      <c r="A62" s="67">
        <v>2</v>
      </c>
      <c r="B62" s="68" t="s">
        <v>343</v>
      </c>
      <c r="C62" s="1" t="s">
        <v>342</v>
      </c>
      <c r="D62" s="1">
        <v>12</v>
      </c>
      <c r="E62" s="3">
        <v>8000</v>
      </c>
      <c r="F62" s="3">
        <f t="shared" ref="F62:F63" si="18">D62*E62</f>
        <v>96000</v>
      </c>
      <c r="G62" s="1" t="s">
        <v>22</v>
      </c>
      <c r="H62" s="1"/>
      <c r="I62" s="1" t="s">
        <v>21</v>
      </c>
      <c r="J62" s="1"/>
      <c r="K62" s="1"/>
      <c r="L62" s="1"/>
      <c r="M62" s="1"/>
      <c r="N62" s="1">
        <v>3</v>
      </c>
      <c r="O62" s="66">
        <f t="shared" si="17"/>
        <v>24000</v>
      </c>
      <c r="P62" s="1"/>
      <c r="Q62" s="1"/>
      <c r="R62" s="1"/>
      <c r="S62" s="1"/>
      <c r="T62" s="1"/>
      <c r="U62" s="12"/>
    </row>
    <row r="63" spans="1:21" x14ac:dyDescent="0.35">
      <c r="A63" s="69">
        <v>3</v>
      </c>
      <c r="B63" s="68" t="s">
        <v>344</v>
      </c>
      <c r="C63" s="1" t="s">
        <v>127</v>
      </c>
      <c r="D63" s="1">
        <v>3600</v>
      </c>
      <c r="E63" s="3">
        <v>50</v>
      </c>
      <c r="F63" s="3">
        <f t="shared" si="18"/>
        <v>180000</v>
      </c>
      <c r="G63" s="1" t="s">
        <v>22</v>
      </c>
      <c r="H63" s="1"/>
      <c r="I63" s="1" t="s">
        <v>21</v>
      </c>
      <c r="J63" s="1"/>
      <c r="K63" s="1"/>
      <c r="L63" s="1"/>
      <c r="M63" s="1"/>
      <c r="N63" s="1">
        <v>900</v>
      </c>
      <c r="O63" s="66">
        <f t="shared" si="17"/>
        <v>45000</v>
      </c>
      <c r="P63" s="1"/>
      <c r="Q63" s="1"/>
      <c r="R63" s="1"/>
      <c r="S63" s="1"/>
      <c r="T63" s="1"/>
      <c r="U63" s="12"/>
    </row>
    <row r="64" spans="1:21" ht="15.5" x14ac:dyDescent="0.35">
      <c r="A64" s="1"/>
      <c r="B64" s="25"/>
      <c r="C64" s="26"/>
      <c r="D64" s="26"/>
      <c r="E64" s="27"/>
      <c r="F64" s="88"/>
      <c r="G64" s="26"/>
      <c r="H64" s="14"/>
      <c r="I64" s="14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12"/>
    </row>
    <row r="65" spans="1:21" ht="15.5" x14ac:dyDescent="0.35">
      <c r="A65" s="1"/>
      <c r="B65" s="25"/>
      <c r="C65" s="26"/>
      <c r="D65" s="26"/>
      <c r="E65" s="27"/>
      <c r="F65" s="88"/>
      <c r="G65" s="26"/>
      <c r="H65" s="14"/>
      <c r="I65" s="14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12"/>
    </row>
    <row r="66" spans="1:21" ht="15.5" x14ac:dyDescent="0.35">
      <c r="A66" s="1"/>
      <c r="B66" s="25"/>
      <c r="C66" s="26"/>
      <c r="D66" s="26"/>
      <c r="E66" s="27"/>
      <c r="F66" s="88"/>
      <c r="G66" s="26"/>
      <c r="H66" s="14"/>
      <c r="I66" s="14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12"/>
    </row>
    <row r="67" spans="1:21" ht="15.5" x14ac:dyDescent="0.35">
      <c r="A67" s="1"/>
      <c r="B67" s="25"/>
      <c r="C67" s="26"/>
      <c r="D67" s="26"/>
      <c r="E67" s="27"/>
      <c r="F67" s="88"/>
      <c r="G67" s="26"/>
      <c r="H67" s="14"/>
      <c r="I67" s="14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12"/>
    </row>
    <row r="68" spans="1:21" ht="15.5" x14ac:dyDescent="0.35">
      <c r="A68" s="1"/>
      <c r="B68" s="25"/>
      <c r="C68" s="26"/>
      <c r="D68" s="26"/>
      <c r="E68" s="27"/>
      <c r="F68" s="88"/>
      <c r="G68" s="26"/>
      <c r="H68" s="14"/>
      <c r="I68" s="14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12"/>
    </row>
    <row r="69" spans="1:21" ht="15.5" x14ac:dyDescent="0.35">
      <c r="A69" s="1"/>
      <c r="B69" s="25"/>
      <c r="C69" s="26"/>
      <c r="D69" s="26"/>
      <c r="E69" s="27"/>
      <c r="F69" s="88"/>
      <c r="G69" s="26"/>
      <c r="H69" s="14"/>
      <c r="I69" s="14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12"/>
    </row>
    <row r="70" spans="1:21" x14ac:dyDescent="0.35">
      <c r="A70" s="1"/>
      <c r="B70" s="1"/>
      <c r="C70" s="1"/>
      <c r="D70" s="1"/>
      <c r="E70" s="3"/>
      <c r="F70" s="3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2">
        <f t="shared" si="1"/>
        <v>0</v>
      </c>
    </row>
    <row r="71" spans="1:21" x14ac:dyDescent="0.35">
      <c r="A71" s="1"/>
      <c r="B71" s="1"/>
      <c r="C71" s="1"/>
      <c r="D71" s="1"/>
      <c r="E71" s="3"/>
      <c r="F71" s="3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2">
        <f t="shared" si="1"/>
        <v>0</v>
      </c>
    </row>
    <row r="72" spans="1:21" x14ac:dyDescent="0.35">
      <c r="A72" s="1"/>
      <c r="B72" s="1"/>
      <c r="C72" s="1"/>
      <c r="D72" s="1"/>
      <c r="E72" s="3"/>
      <c r="F72" s="3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2">
        <f t="shared" si="1"/>
        <v>0</v>
      </c>
    </row>
    <row r="73" spans="1:21" x14ac:dyDescent="0.35">
      <c r="A73" s="1"/>
      <c r="B73" s="1"/>
      <c r="C73" s="1"/>
      <c r="D73" s="1"/>
      <c r="E73" s="3"/>
      <c r="F73" s="3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2">
        <f t="shared" si="1"/>
        <v>0</v>
      </c>
    </row>
    <row r="74" spans="1:21" x14ac:dyDescent="0.35">
      <c r="A74" s="1"/>
      <c r="B74" s="1"/>
      <c r="C74" s="1"/>
      <c r="D74" s="1"/>
      <c r="E74" s="3"/>
      <c r="F74" s="3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2">
        <f t="shared" si="1"/>
        <v>0</v>
      </c>
    </row>
    <row r="75" spans="1:21" x14ac:dyDescent="0.35">
      <c r="A75" s="1"/>
      <c r="B75" s="1"/>
      <c r="C75" s="1"/>
      <c r="D75" s="1"/>
      <c r="E75" s="3"/>
      <c r="F75" s="3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2">
        <f t="shared" si="1"/>
        <v>0</v>
      </c>
    </row>
    <row r="76" spans="1:21" x14ac:dyDescent="0.35">
      <c r="A76" s="2" t="s">
        <v>26</v>
      </c>
      <c r="B76" s="2"/>
      <c r="C76" s="2"/>
      <c r="D76" s="1"/>
      <c r="E76" s="3"/>
      <c r="F76" s="3">
        <f t="shared" si="0"/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2">
        <f t="shared" si="1"/>
        <v>0</v>
      </c>
    </row>
    <row r="77" spans="1:21" x14ac:dyDescent="0.35">
      <c r="A77" s="1"/>
      <c r="B77" s="1"/>
      <c r="C77" s="1"/>
      <c r="D77" s="1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12">
        <f t="shared" si="1"/>
        <v>0</v>
      </c>
    </row>
    <row r="78" spans="1:21" x14ac:dyDescent="0.35">
      <c r="A78" s="1"/>
      <c r="B78" s="1"/>
      <c r="C78" s="1"/>
      <c r="D78" s="1"/>
      <c r="E78" s="3"/>
      <c r="F78" s="3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12">
        <f t="shared" si="1"/>
        <v>0</v>
      </c>
    </row>
    <row r="79" spans="1:21" x14ac:dyDescent="0.35">
      <c r="A79" s="1"/>
      <c r="B79" s="1"/>
      <c r="C79" s="1"/>
      <c r="D79" s="1"/>
      <c r="E79" s="3"/>
      <c r="F79" s="3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12">
        <f t="shared" si="1"/>
        <v>0</v>
      </c>
    </row>
    <row r="80" spans="1:21" x14ac:dyDescent="0.35">
      <c r="A80" s="1"/>
      <c r="B80" s="1"/>
      <c r="C80" s="1"/>
      <c r="D80" s="1"/>
      <c r="E80" s="3"/>
      <c r="F80" s="3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12">
        <f t="shared" si="1"/>
        <v>0</v>
      </c>
    </row>
    <row r="81" spans="1:21" x14ac:dyDescent="0.35">
      <c r="A81" s="1"/>
      <c r="B81" s="1"/>
      <c r="C81" s="1"/>
      <c r="D81" s="1"/>
      <c r="E81" s="3"/>
      <c r="F81" s="3">
        <f t="shared" si="0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12">
        <f t="shared" si="1"/>
        <v>0</v>
      </c>
    </row>
    <row r="82" spans="1:21" x14ac:dyDescent="0.35">
      <c r="A82" s="1"/>
      <c r="B82" s="1"/>
      <c r="C82" s="1"/>
      <c r="D82" s="1"/>
      <c r="E82" s="3"/>
      <c r="F82" s="3">
        <f t="shared" si="0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2">
        <f t="shared" si="1"/>
        <v>0</v>
      </c>
    </row>
    <row r="83" spans="1:21" x14ac:dyDescent="0.35">
      <c r="A83" s="1"/>
      <c r="B83" s="1"/>
      <c r="C83" s="1"/>
      <c r="D83" s="1"/>
      <c r="E83" s="3"/>
      <c r="F83" s="3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2">
        <f t="shared" si="1"/>
        <v>0</v>
      </c>
    </row>
    <row r="84" spans="1:21" x14ac:dyDescent="0.35">
      <c r="A84" s="1"/>
      <c r="B84" s="1"/>
      <c r="C84" s="1"/>
      <c r="D84" s="1"/>
      <c r="E84" s="3"/>
      <c r="F84" s="3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2">
        <f t="shared" si="1"/>
        <v>0</v>
      </c>
    </row>
    <row r="85" spans="1:21" x14ac:dyDescent="0.35">
      <c r="A85" s="1"/>
      <c r="B85" s="1"/>
      <c r="C85" s="1"/>
      <c r="D85" s="1"/>
      <c r="E85" s="3"/>
      <c r="F85" s="3">
        <f t="shared" si="0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2">
        <f t="shared" si="1"/>
        <v>0</v>
      </c>
    </row>
    <row r="86" spans="1:21" x14ac:dyDescent="0.35">
      <c r="A86" s="2" t="s">
        <v>28</v>
      </c>
      <c r="B86" s="2"/>
      <c r="C86" s="2"/>
      <c r="D86" s="1"/>
      <c r="E86" s="3"/>
      <c r="F86" s="3">
        <f t="shared" si="0"/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2">
        <f t="shared" si="1"/>
        <v>0</v>
      </c>
    </row>
    <row r="87" spans="1:21" ht="31" x14ac:dyDescent="0.35">
      <c r="A87" s="1">
        <v>1</v>
      </c>
      <c r="B87" s="56" t="s">
        <v>325</v>
      </c>
      <c r="C87" s="56" t="s">
        <v>73</v>
      </c>
      <c r="D87" s="55"/>
      <c r="E87" s="57">
        <v>200</v>
      </c>
      <c r="F87" s="57">
        <f t="shared" si="0"/>
        <v>0</v>
      </c>
      <c r="G87" s="1" t="s">
        <v>22</v>
      </c>
      <c r="H87" s="1" t="s">
        <v>27</v>
      </c>
      <c r="I87" s="1" t="s">
        <v>21</v>
      </c>
      <c r="J87" s="1"/>
      <c r="K87" s="1"/>
      <c r="L87" s="1"/>
      <c r="M87" s="11" t="s">
        <v>24</v>
      </c>
      <c r="N87" s="1"/>
      <c r="O87" s="1"/>
      <c r="P87" s="1"/>
      <c r="Q87" s="1"/>
      <c r="R87" s="1"/>
      <c r="S87" s="1"/>
      <c r="T87" s="1">
        <v>3000</v>
      </c>
      <c r="U87" s="12">
        <f t="shared" si="1"/>
        <v>0</v>
      </c>
    </row>
    <row r="88" spans="1:21" x14ac:dyDescent="0.35">
      <c r="A88" s="1">
        <v>2</v>
      </c>
      <c r="B88" s="55" t="s">
        <v>29</v>
      </c>
      <c r="C88" s="55" t="s">
        <v>49</v>
      </c>
      <c r="D88" s="55"/>
      <c r="E88" s="57"/>
      <c r="F88" s="57">
        <f t="shared" si="0"/>
        <v>0</v>
      </c>
      <c r="G88" s="1" t="s">
        <v>22</v>
      </c>
      <c r="H88" s="1" t="s">
        <v>27</v>
      </c>
      <c r="I88" s="1" t="s">
        <v>21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2">
        <f t="shared" si="1"/>
        <v>0</v>
      </c>
    </row>
    <row r="89" spans="1:21" x14ac:dyDescent="0.35">
      <c r="A89" s="29">
        <v>3</v>
      </c>
      <c r="B89" s="29" t="s">
        <v>210</v>
      </c>
      <c r="C89" s="29" t="s">
        <v>73</v>
      </c>
      <c r="D89" s="29">
        <v>53720</v>
      </c>
      <c r="E89" s="38">
        <v>200</v>
      </c>
      <c r="F89" s="38">
        <f t="shared" si="0"/>
        <v>10744000</v>
      </c>
      <c r="G89" s="1" t="s">
        <v>22</v>
      </c>
      <c r="H89" s="1" t="s">
        <v>27</v>
      </c>
      <c r="I89" s="1" t="s">
        <v>21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53720</v>
      </c>
      <c r="U89" s="12">
        <f t="shared" si="1"/>
        <v>10744000</v>
      </c>
    </row>
    <row r="90" spans="1:21" x14ac:dyDescent="0.35">
      <c r="A90" s="29">
        <v>4</v>
      </c>
      <c r="B90" s="29" t="s">
        <v>211</v>
      </c>
      <c r="C90" s="29" t="s">
        <v>212</v>
      </c>
      <c r="D90" s="29">
        <v>1</v>
      </c>
      <c r="E90" s="38">
        <v>3500000</v>
      </c>
      <c r="F90" s="38">
        <f t="shared" si="0"/>
        <v>3500000</v>
      </c>
      <c r="G90" s="1" t="s">
        <v>22</v>
      </c>
      <c r="H90" s="1" t="s">
        <v>27</v>
      </c>
      <c r="I90" s="1" t="s">
        <v>21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>
        <v>1</v>
      </c>
      <c r="U90" s="12">
        <f t="shared" si="1"/>
        <v>3500000</v>
      </c>
    </row>
    <row r="91" spans="1:21" x14ac:dyDescent="0.35">
      <c r="A91" s="1"/>
      <c r="B91" s="1"/>
      <c r="C91" s="1"/>
      <c r="D91" s="1"/>
      <c r="E91" s="3"/>
      <c r="F91" s="3">
        <f t="shared" si="0"/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2">
        <f t="shared" si="1"/>
        <v>0</v>
      </c>
    </row>
    <row r="92" spans="1:21" x14ac:dyDescent="0.35">
      <c r="A92" s="1"/>
      <c r="B92" s="1"/>
      <c r="C92" s="1"/>
      <c r="D92" s="1"/>
      <c r="E92" s="3"/>
      <c r="F92" s="3">
        <f t="shared" si="0"/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2">
        <f t="shared" si="1"/>
        <v>0</v>
      </c>
    </row>
    <row r="93" spans="1:21" x14ac:dyDescent="0.35">
      <c r="A93" s="1"/>
      <c r="B93" s="1"/>
      <c r="C93" s="1"/>
      <c r="D93" s="1"/>
      <c r="E93" s="3"/>
      <c r="F93" s="3">
        <f t="shared" si="0"/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2">
        <f t="shared" si="1"/>
        <v>0</v>
      </c>
    </row>
    <row r="94" spans="1:21" x14ac:dyDescent="0.35">
      <c r="A94" s="1"/>
      <c r="B94" s="1"/>
      <c r="C94" s="1"/>
      <c r="D94" s="1"/>
      <c r="E94" s="3"/>
      <c r="F94" s="3">
        <f t="shared" si="0"/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2">
        <f t="shared" si="1"/>
        <v>0</v>
      </c>
    </row>
    <row r="95" spans="1:21" x14ac:dyDescent="0.35">
      <c r="A95" s="1"/>
      <c r="B95" s="1"/>
      <c r="C95" s="1"/>
      <c r="D95" s="1"/>
      <c r="E95" s="3"/>
      <c r="F95" s="3">
        <f t="shared" si="0"/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2">
        <f t="shared" si="1"/>
        <v>0</v>
      </c>
    </row>
    <row r="96" spans="1:21" x14ac:dyDescent="0.35">
      <c r="A96" s="2" t="s">
        <v>30</v>
      </c>
      <c r="B96" s="2"/>
      <c r="C96" s="2"/>
      <c r="D96" s="1"/>
      <c r="E96" s="3"/>
      <c r="F96" s="3">
        <f t="shared" si="0"/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2">
        <f t="shared" si="1"/>
        <v>0</v>
      </c>
    </row>
    <row r="97" spans="1:21" x14ac:dyDescent="0.35">
      <c r="A97" s="1"/>
      <c r="B97" s="1"/>
      <c r="C97" s="1"/>
      <c r="D97" s="1"/>
      <c r="E97" s="3"/>
      <c r="F97" s="3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2">
        <f t="shared" si="1"/>
        <v>0</v>
      </c>
    </row>
    <row r="98" spans="1:21" x14ac:dyDescent="0.35">
      <c r="A98" s="2" t="s">
        <v>31</v>
      </c>
      <c r="B98" s="2"/>
      <c r="C98" s="2"/>
      <c r="D98" s="1"/>
      <c r="E98" s="3"/>
      <c r="F98" s="3">
        <f t="shared" si="0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2">
        <f t="shared" si="1"/>
        <v>0</v>
      </c>
    </row>
    <row r="99" spans="1:21" ht="15" customHeight="1" x14ac:dyDescent="0.35">
      <c r="A99" s="58">
        <v>3</v>
      </c>
      <c r="B99" s="59" t="s">
        <v>133</v>
      </c>
      <c r="C99" s="58" t="s">
        <v>62</v>
      </c>
      <c r="D99" s="58">
        <v>10</v>
      </c>
      <c r="E99" s="60">
        <v>1400</v>
      </c>
      <c r="F99" s="60">
        <f t="shared" si="0"/>
        <v>14000</v>
      </c>
      <c r="G99" s="58" t="s">
        <v>22</v>
      </c>
      <c r="H99" s="58" t="s">
        <v>27</v>
      </c>
      <c r="I99" s="58" t="s">
        <v>21</v>
      </c>
      <c r="J99" s="58"/>
      <c r="K99" s="58"/>
      <c r="L99" s="58"/>
      <c r="M99" s="1"/>
      <c r="N99" s="1"/>
      <c r="O99" s="1"/>
      <c r="P99" s="1"/>
      <c r="Q99" s="1"/>
      <c r="R99" s="1"/>
      <c r="S99" s="1"/>
      <c r="T99" s="1">
        <v>10</v>
      </c>
      <c r="U99" s="12">
        <f t="shared" si="1"/>
        <v>14000</v>
      </c>
    </row>
    <row r="100" spans="1:21" ht="15.5" x14ac:dyDescent="0.35">
      <c r="A100" s="58">
        <v>4</v>
      </c>
      <c r="B100" s="59" t="s">
        <v>134</v>
      </c>
      <c r="C100" s="58" t="s">
        <v>62</v>
      </c>
      <c r="D100" s="58">
        <v>10</v>
      </c>
      <c r="E100" s="60">
        <v>1500</v>
      </c>
      <c r="F100" s="60">
        <f t="shared" si="0"/>
        <v>15000</v>
      </c>
      <c r="G100" s="58" t="s">
        <v>22</v>
      </c>
      <c r="H100" s="58" t="s">
        <v>27</v>
      </c>
      <c r="I100" s="58" t="s">
        <v>21</v>
      </c>
      <c r="J100" s="58"/>
      <c r="K100" s="58"/>
      <c r="L100" s="58"/>
      <c r="M100" s="1"/>
      <c r="N100" s="1"/>
      <c r="O100" s="1"/>
      <c r="P100" s="1"/>
      <c r="Q100" s="1"/>
      <c r="R100" s="1"/>
      <c r="S100" s="1"/>
      <c r="T100" s="1">
        <v>10</v>
      </c>
      <c r="U100" s="12">
        <f t="shared" si="1"/>
        <v>15000</v>
      </c>
    </row>
    <row r="101" spans="1:21" ht="15.5" x14ac:dyDescent="0.35">
      <c r="A101" s="58">
        <v>5</v>
      </c>
      <c r="B101" s="59" t="s">
        <v>135</v>
      </c>
      <c r="C101" s="58" t="s">
        <v>62</v>
      </c>
      <c r="D101" s="58">
        <v>15</v>
      </c>
      <c r="E101" s="60">
        <v>1600</v>
      </c>
      <c r="F101" s="60">
        <f t="shared" si="0"/>
        <v>24000</v>
      </c>
      <c r="G101" s="58" t="s">
        <v>22</v>
      </c>
      <c r="H101" s="58" t="s">
        <v>27</v>
      </c>
      <c r="I101" s="58" t="s">
        <v>21</v>
      </c>
      <c r="J101" s="58"/>
      <c r="K101" s="58"/>
      <c r="L101" s="58"/>
      <c r="M101" s="1"/>
      <c r="N101" s="1"/>
      <c r="O101" s="1"/>
      <c r="P101" s="1"/>
      <c r="Q101" s="1"/>
      <c r="R101" s="1"/>
      <c r="S101" s="1"/>
      <c r="T101" s="1">
        <v>15</v>
      </c>
      <c r="U101" s="12">
        <f t="shared" si="1"/>
        <v>24000</v>
      </c>
    </row>
    <row r="102" spans="1:21" ht="15.5" x14ac:dyDescent="0.35">
      <c r="A102" s="58">
        <v>6</v>
      </c>
      <c r="B102" s="59" t="s">
        <v>136</v>
      </c>
      <c r="C102" s="58" t="s">
        <v>62</v>
      </c>
      <c r="D102" s="58">
        <v>15</v>
      </c>
      <c r="E102" s="60">
        <v>1850</v>
      </c>
      <c r="F102" s="60">
        <f t="shared" si="0"/>
        <v>27750</v>
      </c>
      <c r="G102" s="58" t="s">
        <v>22</v>
      </c>
      <c r="H102" s="58" t="s">
        <v>27</v>
      </c>
      <c r="I102" s="58" t="s">
        <v>21</v>
      </c>
      <c r="J102" s="58"/>
      <c r="K102" s="58"/>
      <c r="L102" s="58"/>
      <c r="M102" s="1"/>
      <c r="N102" s="1"/>
      <c r="O102" s="1"/>
      <c r="P102" s="1"/>
      <c r="Q102" s="1"/>
      <c r="R102" s="1"/>
      <c r="S102" s="1"/>
      <c r="T102" s="1">
        <v>15</v>
      </c>
      <c r="U102" s="12">
        <f t="shared" si="1"/>
        <v>27750</v>
      </c>
    </row>
    <row r="103" spans="1:21" ht="15.5" x14ac:dyDescent="0.35">
      <c r="A103" s="58">
        <v>7</v>
      </c>
      <c r="B103" s="59" t="s">
        <v>137</v>
      </c>
      <c r="C103" s="58" t="s">
        <v>62</v>
      </c>
      <c r="D103" s="58">
        <v>15</v>
      </c>
      <c r="E103" s="60">
        <v>2100</v>
      </c>
      <c r="F103" s="60">
        <f t="shared" si="0"/>
        <v>31500</v>
      </c>
      <c r="G103" s="58" t="s">
        <v>22</v>
      </c>
      <c r="H103" s="58" t="s">
        <v>27</v>
      </c>
      <c r="I103" s="58" t="s">
        <v>21</v>
      </c>
      <c r="J103" s="58"/>
      <c r="K103" s="58"/>
      <c r="L103" s="58"/>
      <c r="M103" s="1"/>
      <c r="N103" s="1"/>
      <c r="O103" s="1"/>
      <c r="P103" s="1"/>
      <c r="Q103" s="1"/>
      <c r="R103" s="1"/>
      <c r="S103" s="1"/>
      <c r="T103" s="1">
        <v>15</v>
      </c>
      <c r="U103" s="12">
        <f t="shared" si="1"/>
        <v>31500</v>
      </c>
    </row>
    <row r="104" spans="1:21" ht="15.5" x14ac:dyDescent="0.35">
      <c r="A104" s="58">
        <v>8</v>
      </c>
      <c r="B104" s="59" t="s">
        <v>138</v>
      </c>
      <c r="C104" s="58" t="s">
        <v>62</v>
      </c>
      <c r="D104" s="58">
        <v>20</v>
      </c>
      <c r="E104" s="60">
        <v>2400</v>
      </c>
      <c r="F104" s="60">
        <f t="shared" si="0"/>
        <v>48000</v>
      </c>
      <c r="G104" s="58" t="s">
        <v>22</v>
      </c>
      <c r="H104" s="58" t="s">
        <v>27</v>
      </c>
      <c r="I104" s="58" t="s">
        <v>21</v>
      </c>
      <c r="J104" s="58"/>
      <c r="K104" s="58"/>
      <c r="L104" s="58"/>
      <c r="M104" s="1"/>
      <c r="N104" s="1"/>
      <c r="O104" s="1"/>
      <c r="P104" s="1"/>
      <c r="Q104" s="1"/>
      <c r="R104" s="1"/>
      <c r="S104" s="1"/>
      <c r="T104" s="1">
        <v>20</v>
      </c>
      <c r="U104" s="12">
        <f t="shared" si="1"/>
        <v>48000</v>
      </c>
    </row>
    <row r="105" spans="1:21" ht="15.5" x14ac:dyDescent="0.35">
      <c r="A105" s="58">
        <v>9</v>
      </c>
      <c r="B105" s="59" t="s">
        <v>128</v>
      </c>
      <c r="C105" s="58" t="s">
        <v>62</v>
      </c>
      <c r="D105" s="58">
        <v>10</v>
      </c>
      <c r="E105" s="60">
        <v>1380</v>
      </c>
      <c r="F105" s="60">
        <f t="shared" si="0"/>
        <v>13800</v>
      </c>
      <c r="G105" s="58" t="s">
        <v>22</v>
      </c>
      <c r="H105" s="58" t="s">
        <v>27</v>
      </c>
      <c r="I105" s="58" t="s">
        <v>21</v>
      </c>
      <c r="J105" s="58"/>
      <c r="K105" s="58"/>
      <c r="L105" s="58"/>
      <c r="M105" s="1"/>
      <c r="N105" s="1"/>
      <c r="O105" s="1"/>
      <c r="P105" s="1"/>
      <c r="Q105" s="1"/>
      <c r="R105" s="1"/>
      <c r="S105" s="1"/>
      <c r="T105" s="1">
        <v>10</v>
      </c>
      <c r="U105" s="12">
        <f t="shared" si="1"/>
        <v>13800</v>
      </c>
    </row>
    <row r="106" spans="1:21" ht="15.5" x14ac:dyDescent="0.35">
      <c r="A106" s="58">
        <v>10</v>
      </c>
      <c r="B106" s="59" t="s">
        <v>129</v>
      </c>
      <c r="C106" s="58" t="s">
        <v>62</v>
      </c>
      <c r="D106" s="58">
        <v>15</v>
      </c>
      <c r="E106" s="60">
        <v>1480</v>
      </c>
      <c r="F106" s="60">
        <f t="shared" si="0"/>
        <v>22200</v>
      </c>
      <c r="G106" s="58" t="s">
        <v>22</v>
      </c>
      <c r="H106" s="58" t="s">
        <v>27</v>
      </c>
      <c r="I106" s="58" t="s">
        <v>21</v>
      </c>
      <c r="J106" s="58"/>
      <c r="K106" s="58"/>
      <c r="L106" s="58"/>
      <c r="M106" s="1"/>
      <c r="N106" s="1"/>
      <c r="O106" s="1"/>
      <c r="P106" s="1"/>
      <c r="Q106" s="1"/>
      <c r="R106" s="1"/>
      <c r="S106" s="1"/>
      <c r="T106" s="1">
        <v>15</v>
      </c>
      <c r="U106" s="12">
        <f t="shared" si="1"/>
        <v>22200</v>
      </c>
    </row>
    <row r="107" spans="1:21" ht="15.5" x14ac:dyDescent="0.35">
      <c r="A107" s="58">
        <v>11</v>
      </c>
      <c r="B107" s="59" t="s">
        <v>130</v>
      </c>
      <c r="C107" s="58" t="s">
        <v>62</v>
      </c>
      <c r="D107" s="58">
        <v>15</v>
      </c>
      <c r="E107" s="60">
        <v>1590</v>
      </c>
      <c r="F107" s="60">
        <f t="shared" si="0"/>
        <v>23850</v>
      </c>
      <c r="G107" s="58" t="s">
        <v>22</v>
      </c>
      <c r="H107" s="58" t="s">
        <v>27</v>
      </c>
      <c r="I107" s="58" t="s">
        <v>21</v>
      </c>
      <c r="J107" s="58"/>
      <c r="K107" s="58"/>
      <c r="L107" s="58"/>
      <c r="M107" s="1"/>
      <c r="N107" s="1"/>
      <c r="O107" s="1"/>
      <c r="P107" s="1"/>
      <c r="Q107" s="1"/>
      <c r="R107" s="1"/>
      <c r="S107" s="1"/>
      <c r="T107" s="1">
        <v>15</v>
      </c>
      <c r="U107" s="12">
        <f t="shared" si="1"/>
        <v>23850</v>
      </c>
    </row>
    <row r="108" spans="1:21" ht="15.5" x14ac:dyDescent="0.35">
      <c r="A108" s="58">
        <v>12</v>
      </c>
      <c r="B108" s="59" t="s">
        <v>131</v>
      </c>
      <c r="C108" s="58" t="s">
        <v>62</v>
      </c>
      <c r="D108" s="58">
        <v>10</v>
      </c>
      <c r="E108" s="60">
        <v>1700</v>
      </c>
      <c r="F108" s="60">
        <f t="shared" si="0"/>
        <v>17000</v>
      </c>
      <c r="G108" s="58" t="s">
        <v>22</v>
      </c>
      <c r="H108" s="58" t="s">
        <v>27</v>
      </c>
      <c r="I108" s="58" t="s">
        <v>21</v>
      </c>
      <c r="J108" s="58"/>
      <c r="K108" s="58"/>
      <c r="L108" s="58"/>
      <c r="M108" s="1"/>
      <c r="N108" s="1"/>
      <c r="O108" s="1"/>
      <c r="P108" s="1"/>
      <c r="Q108" s="1"/>
      <c r="R108" s="1"/>
      <c r="S108" s="1"/>
      <c r="T108" s="1">
        <v>10</v>
      </c>
      <c r="U108" s="12">
        <f t="shared" si="1"/>
        <v>17000</v>
      </c>
    </row>
    <row r="109" spans="1:21" ht="15.5" x14ac:dyDescent="0.35">
      <c r="A109" s="58">
        <v>13</v>
      </c>
      <c r="B109" s="59" t="s">
        <v>132</v>
      </c>
      <c r="C109" s="58" t="s">
        <v>62</v>
      </c>
      <c r="D109" s="58">
        <v>10</v>
      </c>
      <c r="E109" s="60">
        <v>2400</v>
      </c>
      <c r="F109" s="60">
        <f t="shared" si="0"/>
        <v>24000</v>
      </c>
      <c r="G109" s="58" t="s">
        <v>22</v>
      </c>
      <c r="H109" s="58" t="s">
        <v>27</v>
      </c>
      <c r="I109" s="58" t="s">
        <v>21</v>
      </c>
      <c r="J109" s="58"/>
      <c r="K109" s="58"/>
      <c r="L109" s="58"/>
      <c r="M109" s="1"/>
      <c r="N109" s="1"/>
      <c r="O109" s="1"/>
      <c r="P109" s="1"/>
      <c r="Q109" s="1"/>
      <c r="R109" s="1"/>
      <c r="S109" s="1"/>
      <c r="T109" s="1">
        <v>10</v>
      </c>
      <c r="U109" s="12">
        <f t="shared" si="1"/>
        <v>24000</v>
      </c>
    </row>
    <row r="110" spans="1:21" x14ac:dyDescent="0.35">
      <c r="A110" s="55"/>
      <c r="B110" s="55" t="s">
        <v>424</v>
      </c>
      <c r="C110" s="55" t="s">
        <v>425</v>
      </c>
      <c r="D110" s="55">
        <v>2000</v>
      </c>
      <c r="E110" s="57">
        <v>250</v>
      </c>
      <c r="F110" s="57">
        <f t="shared" si="0"/>
        <v>500000</v>
      </c>
      <c r="G110" s="55"/>
      <c r="H110" s="55"/>
      <c r="I110" s="5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12">
        <f t="shared" si="1"/>
        <v>500000</v>
      </c>
    </row>
    <row r="111" spans="1:21" x14ac:dyDescent="0.35">
      <c r="A111" s="1"/>
      <c r="B111" s="1"/>
      <c r="C111" s="1"/>
      <c r="D111" s="1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12"/>
    </row>
    <row r="112" spans="1:21" x14ac:dyDescent="0.35">
      <c r="A112" s="1"/>
      <c r="B112" s="1"/>
      <c r="C112" s="1"/>
      <c r="D112" s="1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12"/>
    </row>
    <row r="113" spans="1:21" x14ac:dyDescent="0.35">
      <c r="A113" s="1"/>
      <c r="B113" s="1"/>
      <c r="C113" s="1"/>
      <c r="D113" s="1"/>
      <c r="E113" s="3"/>
      <c r="F113" s="3">
        <f t="shared" si="0"/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12">
        <f t="shared" si="1"/>
        <v>0</v>
      </c>
    </row>
    <row r="114" spans="1:21" x14ac:dyDescent="0.35">
      <c r="A114" s="1"/>
      <c r="B114" s="1"/>
      <c r="C114" s="1"/>
      <c r="D114" s="1"/>
      <c r="E114" s="3"/>
      <c r="F114" s="3">
        <f t="shared" si="0"/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12">
        <f t="shared" si="1"/>
        <v>0</v>
      </c>
    </row>
    <row r="115" spans="1:21" x14ac:dyDescent="0.35">
      <c r="A115" s="1"/>
      <c r="B115" s="1"/>
      <c r="C115" s="1"/>
      <c r="D115" s="1"/>
      <c r="E115" s="3"/>
      <c r="F115" s="3">
        <f t="shared" si="0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12">
        <f t="shared" si="1"/>
        <v>0</v>
      </c>
    </row>
    <row r="116" spans="1:21" x14ac:dyDescent="0.35">
      <c r="A116" s="127" t="s">
        <v>188</v>
      </c>
      <c r="B116" s="128"/>
      <c r="C116" s="10"/>
      <c r="D116" s="1"/>
      <c r="E116" s="3"/>
      <c r="F116" s="3">
        <f t="shared" si="0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12">
        <f t="shared" si="1"/>
        <v>0</v>
      </c>
    </row>
    <row r="117" spans="1:21" ht="15.5" x14ac:dyDescent="0.35">
      <c r="A117" s="1">
        <v>1</v>
      </c>
      <c r="B117" s="13" t="s">
        <v>184</v>
      </c>
      <c r="C117" s="1" t="s">
        <v>47</v>
      </c>
      <c r="D117" s="1">
        <v>700</v>
      </c>
      <c r="E117" s="3">
        <v>50</v>
      </c>
      <c r="F117" s="3">
        <f t="shared" ref="F117:F221" si="19">D117*E117</f>
        <v>35000</v>
      </c>
      <c r="G117" s="1" t="s">
        <v>22</v>
      </c>
      <c r="H117" s="1" t="s">
        <v>27</v>
      </c>
      <c r="I117" s="1" t="s">
        <v>21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1000</v>
      </c>
      <c r="U117" s="12">
        <f t="shared" ref="U117:U127" si="20">D117*E117</f>
        <v>35000</v>
      </c>
    </row>
    <row r="118" spans="1:21" x14ac:dyDescent="0.35">
      <c r="A118" s="1">
        <v>2</v>
      </c>
      <c r="B118" s="1" t="s">
        <v>185</v>
      </c>
      <c r="C118" s="1" t="s">
        <v>47</v>
      </c>
      <c r="D118" s="1">
        <v>700</v>
      </c>
      <c r="E118" s="3">
        <v>55</v>
      </c>
      <c r="F118" s="3">
        <f t="shared" si="19"/>
        <v>38500</v>
      </c>
      <c r="G118" s="1" t="s">
        <v>22</v>
      </c>
      <c r="H118" s="1" t="s">
        <v>27</v>
      </c>
      <c r="I118" s="1" t="s">
        <v>21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1000</v>
      </c>
      <c r="U118" s="12">
        <f t="shared" si="20"/>
        <v>38500</v>
      </c>
    </row>
    <row r="119" spans="1:21" x14ac:dyDescent="0.35">
      <c r="A119" s="1">
        <v>3</v>
      </c>
      <c r="B119" s="1" t="s">
        <v>186</v>
      </c>
      <c r="C119" s="1" t="s">
        <v>47</v>
      </c>
      <c r="D119" s="1">
        <v>700</v>
      </c>
      <c r="E119" s="3">
        <v>60</v>
      </c>
      <c r="F119" s="3">
        <f t="shared" si="19"/>
        <v>42000</v>
      </c>
      <c r="G119" s="1" t="s">
        <v>22</v>
      </c>
      <c r="H119" s="1" t="s">
        <v>27</v>
      </c>
      <c r="I119" s="1" t="s">
        <v>21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1000</v>
      </c>
      <c r="U119" s="12">
        <f t="shared" si="20"/>
        <v>42000</v>
      </c>
    </row>
    <row r="120" spans="1:21" x14ac:dyDescent="0.35">
      <c r="A120" s="1">
        <v>4</v>
      </c>
      <c r="B120" s="1" t="s">
        <v>187</v>
      </c>
      <c r="C120" s="1" t="s">
        <v>47</v>
      </c>
      <c r="D120" s="1">
        <v>400</v>
      </c>
      <c r="E120" s="3">
        <v>70</v>
      </c>
      <c r="F120" s="3">
        <f t="shared" si="19"/>
        <v>28000</v>
      </c>
      <c r="G120" s="1" t="s">
        <v>22</v>
      </c>
      <c r="H120" s="1" t="s">
        <v>27</v>
      </c>
      <c r="I120" s="1" t="s">
        <v>21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500</v>
      </c>
      <c r="U120" s="12">
        <f t="shared" si="20"/>
        <v>28000</v>
      </c>
    </row>
    <row r="121" spans="1:21" ht="15.5" x14ac:dyDescent="0.35">
      <c r="A121" s="1">
        <v>5</v>
      </c>
      <c r="B121" s="13" t="s">
        <v>52</v>
      </c>
      <c r="C121" s="1" t="s">
        <v>54</v>
      </c>
      <c r="D121" s="1">
        <v>4</v>
      </c>
      <c r="E121" s="3">
        <v>6500</v>
      </c>
      <c r="F121" s="3">
        <f t="shared" si="19"/>
        <v>26000</v>
      </c>
      <c r="G121" s="1" t="s">
        <v>22</v>
      </c>
      <c r="H121" s="1" t="s">
        <v>27</v>
      </c>
      <c r="I121" s="1" t="s">
        <v>21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6</v>
      </c>
      <c r="U121" s="12">
        <f t="shared" si="20"/>
        <v>26000</v>
      </c>
    </row>
    <row r="122" spans="1:21" ht="15.5" x14ac:dyDescent="0.35">
      <c r="A122" s="1">
        <v>6</v>
      </c>
      <c r="B122" s="13" t="s">
        <v>183</v>
      </c>
      <c r="C122" s="1" t="s">
        <v>55</v>
      </c>
      <c r="D122" s="1">
        <v>2</v>
      </c>
      <c r="E122" s="3">
        <v>35000</v>
      </c>
      <c r="F122" s="3">
        <f t="shared" si="19"/>
        <v>70000</v>
      </c>
      <c r="G122" s="1" t="s">
        <v>22</v>
      </c>
      <c r="H122" s="1" t="s">
        <v>27</v>
      </c>
      <c r="I122" s="1" t="s">
        <v>21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3</v>
      </c>
      <c r="U122" s="12">
        <f t="shared" si="20"/>
        <v>70000</v>
      </c>
    </row>
    <row r="123" spans="1:21" ht="15.5" x14ac:dyDescent="0.35">
      <c r="A123" s="1">
        <v>7</v>
      </c>
      <c r="B123" s="13" t="s">
        <v>56</v>
      </c>
      <c r="C123" s="1" t="s">
        <v>54</v>
      </c>
      <c r="D123" s="1">
        <v>15</v>
      </c>
      <c r="E123" s="3">
        <v>2400</v>
      </c>
      <c r="F123" s="3">
        <f t="shared" si="19"/>
        <v>36000</v>
      </c>
      <c r="G123" s="1" t="s">
        <v>22</v>
      </c>
      <c r="H123" s="1" t="s">
        <v>27</v>
      </c>
      <c r="I123" s="1" t="s">
        <v>21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20</v>
      </c>
      <c r="U123" s="12">
        <f t="shared" si="20"/>
        <v>36000</v>
      </c>
    </row>
    <row r="124" spans="1:21" ht="15.5" x14ac:dyDescent="0.35">
      <c r="A124" s="1">
        <v>8</v>
      </c>
      <c r="B124" s="13" t="s">
        <v>70</v>
      </c>
      <c r="C124" s="1" t="s">
        <v>54</v>
      </c>
      <c r="D124" s="1">
        <v>15</v>
      </c>
      <c r="E124" s="3">
        <v>2800</v>
      </c>
      <c r="F124" s="3">
        <f t="shared" si="19"/>
        <v>42000</v>
      </c>
      <c r="G124" s="1" t="s">
        <v>22</v>
      </c>
      <c r="H124" s="1" t="s">
        <v>27</v>
      </c>
      <c r="I124" s="1" t="s">
        <v>21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20</v>
      </c>
      <c r="U124" s="12">
        <f t="shared" si="20"/>
        <v>42000</v>
      </c>
    </row>
    <row r="125" spans="1:21" ht="15.5" x14ac:dyDescent="0.35">
      <c r="A125" s="1">
        <v>9</v>
      </c>
      <c r="B125" s="13" t="s">
        <v>180</v>
      </c>
      <c r="C125" s="1" t="s">
        <v>55</v>
      </c>
      <c r="D125" s="1">
        <v>2</v>
      </c>
      <c r="E125" s="3">
        <v>15800</v>
      </c>
      <c r="F125" s="3">
        <f t="shared" si="19"/>
        <v>31600</v>
      </c>
      <c r="G125" s="1" t="s">
        <v>22</v>
      </c>
      <c r="H125" s="1" t="s">
        <v>27</v>
      </c>
      <c r="I125" s="1" t="s">
        <v>21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3</v>
      </c>
      <c r="U125" s="12">
        <f t="shared" si="20"/>
        <v>31600</v>
      </c>
    </row>
    <row r="126" spans="1:21" ht="15.5" x14ac:dyDescent="0.35">
      <c r="A126" s="1">
        <v>10</v>
      </c>
      <c r="B126" s="13" t="s">
        <v>181</v>
      </c>
      <c r="C126" s="1" t="s">
        <v>55</v>
      </c>
      <c r="D126" s="1">
        <v>2</v>
      </c>
      <c r="E126" s="3">
        <v>14800</v>
      </c>
      <c r="F126" s="3">
        <f t="shared" si="19"/>
        <v>29600</v>
      </c>
      <c r="G126" s="1" t="s">
        <v>22</v>
      </c>
      <c r="H126" s="1" t="s">
        <v>27</v>
      </c>
      <c r="I126" s="1" t="s">
        <v>21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3</v>
      </c>
      <c r="U126" s="12">
        <f t="shared" si="20"/>
        <v>29600</v>
      </c>
    </row>
    <row r="127" spans="1:21" x14ac:dyDescent="0.35">
      <c r="A127" s="1">
        <v>11</v>
      </c>
      <c r="B127" s="14" t="s">
        <v>182</v>
      </c>
      <c r="C127" s="1" t="s">
        <v>55</v>
      </c>
      <c r="D127" s="1">
        <v>2</v>
      </c>
      <c r="E127" s="3">
        <v>15800</v>
      </c>
      <c r="F127" s="3">
        <f t="shared" si="19"/>
        <v>31600</v>
      </c>
      <c r="G127" s="1" t="s">
        <v>22</v>
      </c>
      <c r="H127" s="1" t="s">
        <v>27</v>
      </c>
      <c r="I127" s="1" t="s">
        <v>21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3</v>
      </c>
      <c r="U127" s="12">
        <f t="shared" si="20"/>
        <v>31600</v>
      </c>
    </row>
    <row r="128" spans="1:21" ht="60.75" customHeight="1" x14ac:dyDescent="0.35">
      <c r="A128" s="1">
        <v>12</v>
      </c>
      <c r="B128" s="13" t="s">
        <v>61</v>
      </c>
      <c r="C128" s="17" t="s">
        <v>49</v>
      </c>
      <c r="D128" s="20">
        <v>2</v>
      </c>
      <c r="E128" s="3">
        <v>78000</v>
      </c>
      <c r="F128" s="3">
        <f>D128*E128</f>
        <v>156000</v>
      </c>
      <c r="G128" s="1" t="s">
        <v>22</v>
      </c>
      <c r="H128" s="1" t="s">
        <v>27</v>
      </c>
      <c r="I128" s="1" t="s">
        <v>21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0">
        <v>4</v>
      </c>
      <c r="U128" s="12">
        <f>D128*E128</f>
        <v>156000</v>
      </c>
    </row>
    <row r="129" spans="1:21" ht="31" x14ac:dyDescent="0.35">
      <c r="A129" s="1">
        <v>13</v>
      </c>
      <c r="B129" s="13" t="s">
        <v>178</v>
      </c>
      <c r="C129" s="21" t="s">
        <v>179</v>
      </c>
      <c r="D129" s="21">
        <v>3</v>
      </c>
      <c r="E129" s="3">
        <v>38000</v>
      </c>
      <c r="F129" s="3">
        <f>D129*E129</f>
        <v>114000</v>
      </c>
      <c r="G129" s="1" t="s">
        <v>22</v>
      </c>
      <c r="H129" s="1" t="s">
        <v>27</v>
      </c>
      <c r="I129" s="1" t="s">
        <v>21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1"/>
      <c r="U129" s="12">
        <f t="shared" ref="U129:U130" si="21">D129*E129</f>
        <v>114000</v>
      </c>
    </row>
    <row r="130" spans="1:21" ht="15.5" x14ac:dyDescent="0.35">
      <c r="A130" s="1">
        <v>15</v>
      </c>
      <c r="B130" s="13" t="s">
        <v>101</v>
      </c>
      <c r="C130" s="21" t="s">
        <v>65</v>
      </c>
      <c r="D130" s="21">
        <v>2</v>
      </c>
      <c r="E130" s="3">
        <v>24000</v>
      </c>
      <c r="F130" s="3">
        <f>D130*E130</f>
        <v>48000</v>
      </c>
      <c r="G130" s="1" t="s">
        <v>22</v>
      </c>
      <c r="H130" s="1" t="s">
        <v>27</v>
      </c>
      <c r="I130" s="1" t="s">
        <v>21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1"/>
      <c r="U130" s="12">
        <f t="shared" si="21"/>
        <v>48000</v>
      </c>
    </row>
    <row r="131" spans="1:21" ht="15.5" x14ac:dyDescent="0.35">
      <c r="A131" s="1">
        <v>16</v>
      </c>
      <c r="B131" s="18" t="s">
        <v>82</v>
      </c>
      <c r="C131" s="1" t="s">
        <v>83</v>
      </c>
      <c r="D131" s="1">
        <v>3</v>
      </c>
      <c r="E131" s="3">
        <v>6200</v>
      </c>
      <c r="F131" s="3">
        <f>D131*E131</f>
        <v>18600</v>
      </c>
      <c r="G131" s="1" t="s">
        <v>22</v>
      </c>
      <c r="H131" s="1" t="s">
        <v>27</v>
      </c>
      <c r="I131" s="1" t="s">
        <v>21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5</v>
      </c>
      <c r="U131" s="12">
        <f>D131*E131</f>
        <v>18600</v>
      </c>
    </row>
    <row r="132" spans="1:21" x14ac:dyDescent="0.35">
      <c r="A132" s="1"/>
      <c r="B132" s="1" t="s">
        <v>412</v>
      </c>
      <c r="C132" s="1" t="s">
        <v>413</v>
      </c>
      <c r="D132" s="1">
        <v>12</v>
      </c>
      <c r="E132" s="3">
        <v>8500</v>
      </c>
      <c r="F132" s="3">
        <f t="shared" ref="F132:F134" si="22">D132*E132</f>
        <v>102000</v>
      </c>
      <c r="G132" s="1"/>
      <c r="H132" s="1"/>
      <c r="I132" s="1"/>
      <c r="J132" s="73"/>
      <c r="K132" s="73"/>
      <c r="L132" s="73"/>
      <c r="M132" s="81"/>
      <c r="N132" s="1"/>
      <c r="O132" s="1"/>
      <c r="P132" s="1"/>
      <c r="Q132" s="1"/>
      <c r="R132" s="1"/>
      <c r="S132" s="1"/>
      <c r="T132" s="1"/>
      <c r="U132" s="12">
        <f t="shared" ref="U132:U134" si="23">D132*E132</f>
        <v>102000</v>
      </c>
    </row>
    <row r="133" spans="1:21" x14ac:dyDescent="0.35">
      <c r="A133" s="1"/>
      <c r="B133" s="1" t="s">
        <v>414</v>
      </c>
      <c r="C133" s="1" t="s">
        <v>413</v>
      </c>
      <c r="D133" s="1">
        <v>8</v>
      </c>
      <c r="E133" s="3">
        <v>1640</v>
      </c>
      <c r="F133" s="3">
        <f t="shared" si="22"/>
        <v>13120</v>
      </c>
      <c r="G133" s="1"/>
      <c r="H133" s="1"/>
      <c r="I133" s="1"/>
      <c r="J133" s="73"/>
      <c r="K133" s="73"/>
      <c r="L133" s="73"/>
      <c r="M133" s="81"/>
      <c r="N133" s="1"/>
      <c r="O133" s="1"/>
      <c r="P133" s="1"/>
      <c r="Q133" s="1"/>
      <c r="R133" s="1"/>
      <c r="S133" s="1"/>
      <c r="T133" s="1"/>
      <c r="U133" s="12">
        <f t="shared" si="23"/>
        <v>13120</v>
      </c>
    </row>
    <row r="134" spans="1:21" x14ac:dyDescent="0.35">
      <c r="A134" s="1"/>
      <c r="B134" s="1" t="s">
        <v>415</v>
      </c>
      <c r="C134" s="1" t="s">
        <v>179</v>
      </c>
      <c r="D134" s="1">
        <v>4</v>
      </c>
      <c r="E134" s="3">
        <v>5760</v>
      </c>
      <c r="F134" s="3">
        <f t="shared" si="22"/>
        <v>23040</v>
      </c>
      <c r="G134" s="1"/>
      <c r="H134" s="1"/>
      <c r="I134" s="1"/>
      <c r="J134" s="73"/>
      <c r="K134" s="73"/>
      <c r="L134" s="73"/>
      <c r="M134" s="81"/>
      <c r="N134" s="1"/>
      <c r="O134" s="1"/>
      <c r="P134" s="1"/>
      <c r="Q134" s="1"/>
      <c r="R134" s="1"/>
      <c r="S134" s="1"/>
      <c r="T134" s="1"/>
      <c r="U134" s="12">
        <f t="shared" si="23"/>
        <v>23040</v>
      </c>
    </row>
    <row r="135" spans="1:21" ht="15.5" x14ac:dyDescent="0.35">
      <c r="A135" s="1"/>
      <c r="B135" s="13"/>
      <c r="C135" s="21"/>
      <c r="D135" s="21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12"/>
    </row>
    <row r="136" spans="1:21" ht="15.5" x14ac:dyDescent="0.35">
      <c r="A136" s="1"/>
      <c r="B136" s="13"/>
      <c r="C136" s="21"/>
      <c r="D136" s="21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12"/>
    </row>
    <row r="137" spans="1:21" ht="15.5" x14ac:dyDescent="0.35">
      <c r="A137" s="1"/>
      <c r="B137" s="13"/>
      <c r="C137" s="21"/>
      <c r="D137" s="21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12"/>
    </row>
    <row r="138" spans="1:21" ht="15.5" x14ac:dyDescent="0.35">
      <c r="A138" s="1"/>
      <c r="B138" s="13"/>
      <c r="C138" s="1"/>
      <c r="D138" s="1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12"/>
    </row>
    <row r="139" spans="1:21" ht="15.5" x14ac:dyDescent="0.35">
      <c r="A139" s="1"/>
      <c r="B139" s="13"/>
      <c r="C139" s="1"/>
      <c r="D139" s="1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12"/>
    </row>
    <row r="140" spans="1:21" x14ac:dyDescent="0.35">
      <c r="A140" s="1"/>
      <c r="B140" s="1"/>
      <c r="C140" s="1"/>
      <c r="D140" s="1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12"/>
    </row>
    <row r="141" spans="1:21" x14ac:dyDescent="0.35">
      <c r="A141" s="1" t="s">
        <v>189</v>
      </c>
      <c r="B141" s="1"/>
      <c r="C141" s="1"/>
      <c r="D141" s="1"/>
      <c r="E141" s="3"/>
      <c r="F141" s="3">
        <f>C140*E141</f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12">
        <f>C140*E141</f>
        <v>0</v>
      </c>
    </row>
    <row r="142" spans="1:21" ht="15.5" x14ac:dyDescent="0.35">
      <c r="A142" s="1">
        <v>1</v>
      </c>
      <c r="B142" s="13" t="s">
        <v>153</v>
      </c>
      <c r="C142" s="1" t="s">
        <v>60</v>
      </c>
      <c r="D142" s="1">
        <v>4</v>
      </c>
      <c r="E142" s="3">
        <v>18900</v>
      </c>
      <c r="F142" s="3">
        <f>D142*E142</f>
        <v>75600</v>
      </c>
      <c r="G142" s="1" t="s">
        <v>22</v>
      </c>
      <c r="H142" s="1" t="s">
        <v>27</v>
      </c>
      <c r="I142" s="1" t="s">
        <v>21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2"/>
    </row>
    <row r="143" spans="1:21" x14ac:dyDescent="0.35">
      <c r="A143" s="1">
        <v>2</v>
      </c>
      <c r="B143" s="1" t="s">
        <v>285</v>
      </c>
      <c r="C143" s="1"/>
      <c r="D143" s="1">
        <v>2</v>
      </c>
      <c r="E143" s="3">
        <v>6500</v>
      </c>
      <c r="F143" s="3">
        <f t="shared" ref="F143:F163" si="24">D143*E143</f>
        <v>13000</v>
      </c>
      <c r="G143" s="1" t="s">
        <v>22</v>
      </c>
      <c r="H143" s="1" t="s">
        <v>27</v>
      </c>
      <c r="I143" s="1" t="s">
        <v>21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2"/>
    </row>
    <row r="144" spans="1:21" x14ac:dyDescent="0.35">
      <c r="A144" s="1">
        <v>5</v>
      </c>
      <c r="B144" s="1" t="s">
        <v>44</v>
      </c>
      <c r="C144" s="1"/>
      <c r="D144" s="1">
        <v>2</v>
      </c>
      <c r="E144" s="3">
        <v>54600</v>
      </c>
      <c r="F144" s="3">
        <f t="shared" si="24"/>
        <v>109200</v>
      </c>
      <c r="G144" s="1" t="s">
        <v>22</v>
      </c>
      <c r="H144" s="1" t="s">
        <v>27</v>
      </c>
      <c r="I144" s="1" t="s">
        <v>21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2"/>
    </row>
    <row r="145" spans="1:21" x14ac:dyDescent="0.35">
      <c r="A145" s="1">
        <v>6</v>
      </c>
      <c r="B145" s="1" t="s">
        <v>45</v>
      </c>
      <c r="C145" s="1"/>
      <c r="D145" s="1">
        <v>2</v>
      </c>
      <c r="E145" s="3">
        <v>6500</v>
      </c>
      <c r="F145" s="3">
        <f t="shared" si="24"/>
        <v>13000</v>
      </c>
      <c r="G145" s="1" t="s">
        <v>22</v>
      </c>
      <c r="H145" s="1" t="s">
        <v>27</v>
      </c>
      <c r="I145" s="1" t="s">
        <v>21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2"/>
    </row>
    <row r="146" spans="1:21" x14ac:dyDescent="0.35">
      <c r="A146" s="1">
        <v>7</v>
      </c>
      <c r="B146" s="1" t="s">
        <v>222</v>
      </c>
      <c r="C146" s="1"/>
      <c r="D146" s="1">
        <v>2</v>
      </c>
      <c r="E146" s="3">
        <v>38800</v>
      </c>
      <c r="F146" s="3">
        <f t="shared" si="24"/>
        <v>77600</v>
      </c>
      <c r="G146" s="1" t="s">
        <v>22</v>
      </c>
      <c r="H146" s="1" t="s">
        <v>27</v>
      </c>
      <c r="I146" s="1" t="s">
        <v>21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2"/>
    </row>
    <row r="147" spans="1:21" x14ac:dyDescent="0.35">
      <c r="A147" s="1">
        <v>8</v>
      </c>
      <c r="B147" s="1" t="s">
        <v>223</v>
      </c>
      <c r="C147" s="1"/>
      <c r="D147" s="1">
        <v>2</v>
      </c>
      <c r="E147" s="3">
        <v>28600</v>
      </c>
      <c r="F147" s="3">
        <f t="shared" si="24"/>
        <v>57200</v>
      </c>
      <c r="G147" s="1" t="s">
        <v>22</v>
      </c>
      <c r="H147" s="1" t="s">
        <v>27</v>
      </c>
      <c r="I147" s="1" t="s">
        <v>21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2"/>
    </row>
    <row r="148" spans="1:21" ht="19.5" customHeight="1" x14ac:dyDescent="0.35">
      <c r="A148" s="1">
        <v>9</v>
      </c>
      <c r="B148" s="1" t="s">
        <v>46</v>
      </c>
      <c r="C148" s="1"/>
      <c r="D148" s="1">
        <v>2</v>
      </c>
      <c r="E148" s="3">
        <v>5800</v>
      </c>
      <c r="F148" s="3">
        <f t="shared" si="24"/>
        <v>11600</v>
      </c>
      <c r="G148" s="1" t="s">
        <v>22</v>
      </c>
      <c r="H148" s="1" t="s">
        <v>27</v>
      </c>
      <c r="I148" s="1" t="s">
        <v>21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2"/>
    </row>
    <row r="149" spans="1:21" ht="15.5" x14ac:dyDescent="0.35">
      <c r="A149" s="1">
        <v>10</v>
      </c>
      <c r="B149" s="18" t="s">
        <v>224</v>
      </c>
      <c r="C149" s="1" t="s">
        <v>53</v>
      </c>
      <c r="D149" s="1">
        <v>5</v>
      </c>
      <c r="E149" s="3">
        <v>65500</v>
      </c>
      <c r="F149" s="3">
        <f t="shared" si="24"/>
        <v>327500</v>
      </c>
      <c r="G149" s="1" t="s">
        <v>22</v>
      </c>
      <c r="H149" s="1" t="s">
        <v>27</v>
      </c>
      <c r="I149" s="1" t="s">
        <v>21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2"/>
    </row>
    <row r="150" spans="1:21" ht="15.5" x14ac:dyDescent="0.35">
      <c r="A150" s="1">
        <v>11</v>
      </c>
      <c r="B150" s="18" t="s">
        <v>50</v>
      </c>
      <c r="C150" s="1" t="s">
        <v>53</v>
      </c>
      <c r="D150" s="1">
        <v>5</v>
      </c>
      <c r="E150" s="3">
        <v>6500</v>
      </c>
      <c r="F150" s="3">
        <f t="shared" si="24"/>
        <v>32500</v>
      </c>
      <c r="G150" s="1" t="s">
        <v>22</v>
      </c>
      <c r="H150" s="1" t="s">
        <v>27</v>
      </c>
      <c r="I150" s="1" t="s">
        <v>21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2"/>
    </row>
    <row r="151" spans="1:21" ht="15.5" x14ac:dyDescent="0.35">
      <c r="A151" s="1">
        <v>12</v>
      </c>
      <c r="B151" s="18" t="s">
        <v>51</v>
      </c>
      <c r="C151" s="1" t="s">
        <v>53</v>
      </c>
      <c r="D151" s="1">
        <v>5</v>
      </c>
      <c r="E151" s="3">
        <v>4800</v>
      </c>
      <c r="F151" s="3">
        <f t="shared" si="24"/>
        <v>24000</v>
      </c>
      <c r="G151" s="1" t="s">
        <v>22</v>
      </c>
      <c r="H151" s="1" t="s">
        <v>27</v>
      </c>
      <c r="I151" s="1" t="s">
        <v>21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2"/>
    </row>
    <row r="152" spans="1:21" ht="15.5" x14ac:dyDescent="0.35">
      <c r="A152" s="1">
        <v>13</v>
      </c>
      <c r="B152" s="13" t="s">
        <v>57</v>
      </c>
      <c r="C152" s="1" t="s">
        <v>60</v>
      </c>
      <c r="D152" s="1">
        <v>2</v>
      </c>
      <c r="E152" s="3">
        <v>24800</v>
      </c>
      <c r="F152" s="3">
        <f t="shared" si="24"/>
        <v>49600</v>
      </c>
      <c r="G152" s="1" t="s">
        <v>22</v>
      </c>
      <c r="H152" s="1" t="s">
        <v>27</v>
      </c>
      <c r="I152" s="1" t="s">
        <v>21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2"/>
    </row>
    <row r="153" spans="1:21" ht="15.5" x14ac:dyDescent="0.35">
      <c r="A153" s="1">
        <v>14</v>
      </c>
      <c r="B153" s="13" t="s">
        <v>58</v>
      </c>
      <c r="C153" s="1" t="s">
        <v>60</v>
      </c>
      <c r="D153" s="1">
        <v>2</v>
      </c>
      <c r="E153" s="43">
        <v>26800</v>
      </c>
      <c r="F153" s="3">
        <f t="shared" si="24"/>
        <v>53600</v>
      </c>
      <c r="G153" s="1" t="s">
        <v>22</v>
      </c>
      <c r="H153" s="1" t="s">
        <v>27</v>
      </c>
      <c r="I153" s="1" t="s">
        <v>21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2"/>
    </row>
    <row r="154" spans="1:21" ht="15.5" x14ac:dyDescent="0.35">
      <c r="A154" s="1">
        <v>15</v>
      </c>
      <c r="B154" s="13" t="s">
        <v>59</v>
      </c>
      <c r="C154" s="1" t="s">
        <v>60</v>
      </c>
      <c r="D154" s="1">
        <v>2</v>
      </c>
      <c r="E154" s="3">
        <v>26800</v>
      </c>
      <c r="F154" s="3">
        <f t="shared" si="24"/>
        <v>53600</v>
      </c>
      <c r="G154" s="1" t="s">
        <v>22</v>
      </c>
      <c r="H154" s="1" t="s">
        <v>27</v>
      </c>
      <c r="I154" s="1" t="s">
        <v>21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2"/>
    </row>
    <row r="155" spans="1:21" ht="15.5" x14ac:dyDescent="0.35">
      <c r="A155" s="1">
        <v>16</v>
      </c>
      <c r="B155" s="18" t="s">
        <v>225</v>
      </c>
      <c r="C155" s="1" t="s">
        <v>53</v>
      </c>
      <c r="D155" s="1">
        <v>5</v>
      </c>
      <c r="E155" s="3">
        <v>3500</v>
      </c>
      <c r="F155" s="3">
        <f t="shared" si="24"/>
        <v>17500</v>
      </c>
      <c r="G155" s="1" t="s">
        <v>22</v>
      </c>
      <c r="H155" s="1" t="s">
        <v>27</v>
      </c>
      <c r="I155" s="1" t="s">
        <v>21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2"/>
    </row>
    <row r="156" spans="1:21" ht="15.5" x14ac:dyDescent="0.35">
      <c r="A156" s="1">
        <v>17</v>
      </c>
      <c r="B156" s="18" t="s">
        <v>226</v>
      </c>
      <c r="C156" s="1" t="s">
        <v>53</v>
      </c>
      <c r="D156" s="1">
        <v>5</v>
      </c>
      <c r="E156" s="3">
        <v>4500</v>
      </c>
      <c r="F156" s="3">
        <f t="shared" si="24"/>
        <v>22500</v>
      </c>
      <c r="G156" s="1" t="s">
        <v>22</v>
      </c>
      <c r="H156" s="1" t="s">
        <v>27</v>
      </c>
      <c r="I156" s="1" t="s">
        <v>21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2"/>
    </row>
    <row r="157" spans="1:21" ht="15.5" x14ac:dyDescent="0.35">
      <c r="A157" s="1">
        <v>18</v>
      </c>
      <c r="B157" s="18" t="s">
        <v>227</v>
      </c>
      <c r="C157" s="1" t="s">
        <v>53</v>
      </c>
      <c r="D157" s="1">
        <v>5</v>
      </c>
      <c r="E157" s="3">
        <v>4500</v>
      </c>
      <c r="F157" s="3">
        <f t="shared" si="24"/>
        <v>22500</v>
      </c>
      <c r="G157" s="1" t="s">
        <v>22</v>
      </c>
      <c r="H157" s="1" t="s">
        <v>27</v>
      </c>
      <c r="I157" s="1" t="s">
        <v>21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2"/>
    </row>
    <row r="158" spans="1:21" ht="15.5" x14ac:dyDescent="0.35">
      <c r="A158" s="1">
        <v>19</v>
      </c>
      <c r="B158" s="18" t="s">
        <v>228</v>
      </c>
      <c r="C158" s="1" t="s">
        <v>53</v>
      </c>
      <c r="D158" s="1">
        <v>10</v>
      </c>
      <c r="E158" s="3">
        <v>18200</v>
      </c>
      <c r="F158" s="3">
        <f t="shared" si="24"/>
        <v>182000</v>
      </c>
      <c r="G158" s="1" t="s">
        <v>22</v>
      </c>
      <c r="H158" s="1" t="s">
        <v>27</v>
      </c>
      <c r="I158" s="1" t="s">
        <v>21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2"/>
    </row>
    <row r="159" spans="1:21" ht="15.5" x14ac:dyDescent="0.35">
      <c r="A159" s="1">
        <v>20</v>
      </c>
      <c r="B159" s="18" t="s">
        <v>66</v>
      </c>
      <c r="C159" s="1" t="s">
        <v>287</v>
      </c>
      <c r="D159" s="1">
        <v>2</v>
      </c>
      <c r="E159" s="3">
        <v>150</v>
      </c>
      <c r="F159" s="3">
        <f t="shared" si="24"/>
        <v>300</v>
      </c>
      <c r="G159" s="1" t="s">
        <v>22</v>
      </c>
      <c r="H159" s="1" t="s">
        <v>27</v>
      </c>
      <c r="I159" s="1" t="s">
        <v>21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2"/>
    </row>
    <row r="160" spans="1:21" ht="46.5" x14ac:dyDescent="0.35">
      <c r="A160" s="1">
        <v>21</v>
      </c>
      <c r="B160" s="18" t="s">
        <v>313</v>
      </c>
      <c r="C160" s="1" t="s">
        <v>302</v>
      </c>
      <c r="D160" s="1">
        <v>2</v>
      </c>
      <c r="E160" s="3">
        <v>48000</v>
      </c>
      <c r="F160" s="3">
        <f t="shared" si="24"/>
        <v>96000</v>
      </c>
      <c r="G160" s="1" t="s">
        <v>22</v>
      </c>
      <c r="H160" s="1" t="s">
        <v>27</v>
      </c>
      <c r="I160" s="1" t="s">
        <v>21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2"/>
    </row>
    <row r="161" spans="1:21" ht="15.5" x14ac:dyDescent="0.35">
      <c r="A161" s="1">
        <v>22</v>
      </c>
      <c r="B161" s="18" t="s">
        <v>67</v>
      </c>
      <c r="C161" s="1" t="s">
        <v>53</v>
      </c>
      <c r="D161" s="1">
        <v>2</v>
      </c>
      <c r="E161" s="3">
        <v>50580</v>
      </c>
      <c r="F161" s="3">
        <f t="shared" si="24"/>
        <v>101160</v>
      </c>
      <c r="G161" s="1" t="s">
        <v>22</v>
      </c>
      <c r="H161" s="1" t="s">
        <v>27</v>
      </c>
      <c r="I161" s="1" t="s">
        <v>21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2"/>
    </row>
    <row r="162" spans="1:21" ht="15.5" x14ac:dyDescent="0.35">
      <c r="A162" s="1">
        <v>23</v>
      </c>
      <c r="B162" s="18" t="s">
        <v>68</v>
      </c>
      <c r="C162" s="1" t="s">
        <v>60</v>
      </c>
      <c r="D162" s="1">
        <v>2</v>
      </c>
      <c r="E162" s="3">
        <v>22200</v>
      </c>
      <c r="F162" s="3">
        <f t="shared" si="24"/>
        <v>44400</v>
      </c>
      <c r="G162" s="1" t="s">
        <v>22</v>
      </c>
      <c r="H162" s="1" t="s">
        <v>27</v>
      </c>
      <c r="I162" s="1" t="s">
        <v>21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2"/>
    </row>
    <row r="163" spans="1:21" ht="15.5" x14ac:dyDescent="0.35">
      <c r="A163" s="1">
        <v>24</v>
      </c>
      <c r="B163" s="18" t="s">
        <v>69</v>
      </c>
      <c r="C163" s="1"/>
      <c r="D163" s="1">
        <v>2</v>
      </c>
      <c r="E163" s="3">
        <v>9000</v>
      </c>
      <c r="F163" s="3">
        <f t="shared" si="24"/>
        <v>18000</v>
      </c>
      <c r="G163" s="1" t="s">
        <v>22</v>
      </c>
      <c r="H163" s="1" t="s">
        <v>27</v>
      </c>
      <c r="I163" s="1" t="s">
        <v>21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2"/>
    </row>
    <row r="164" spans="1:21" ht="15.5" x14ac:dyDescent="0.35">
      <c r="A164" s="1">
        <v>26</v>
      </c>
      <c r="B164" s="13" t="s">
        <v>84</v>
      </c>
      <c r="C164" s="1" t="s">
        <v>53</v>
      </c>
      <c r="D164" s="1">
        <v>3</v>
      </c>
      <c r="E164" s="3">
        <v>71500</v>
      </c>
      <c r="F164" s="3">
        <f t="shared" si="19"/>
        <v>214500</v>
      </c>
      <c r="G164" s="1" t="s">
        <v>22</v>
      </c>
      <c r="H164" s="1" t="s">
        <v>27</v>
      </c>
      <c r="I164" s="1" t="s">
        <v>21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2"/>
    </row>
    <row r="165" spans="1:21" ht="15.5" x14ac:dyDescent="0.35">
      <c r="A165" s="1">
        <v>27</v>
      </c>
      <c r="B165" s="18" t="s">
        <v>85</v>
      </c>
      <c r="C165" s="1" t="s">
        <v>73</v>
      </c>
      <c r="D165" s="1">
        <v>3</v>
      </c>
      <c r="E165" s="3">
        <v>26000</v>
      </c>
      <c r="F165" s="3">
        <f t="shared" si="19"/>
        <v>78000</v>
      </c>
      <c r="G165" s="1" t="s">
        <v>22</v>
      </c>
      <c r="H165" s="1" t="s">
        <v>27</v>
      </c>
      <c r="I165" s="1" t="s">
        <v>21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2"/>
    </row>
    <row r="166" spans="1:21" ht="15.5" x14ac:dyDescent="0.35">
      <c r="A166" s="1">
        <v>28</v>
      </c>
      <c r="B166" s="18" t="s">
        <v>86</v>
      </c>
      <c r="C166" s="1" t="s">
        <v>53</v>
      </c>
      <c r="D166" s="1">
        <v>3</v>
      </c>
      <c r="E166" s="3">
        <v>62200</v>
      </c>
      <c r="F166" s="3">
        <f t="shared" si="19"/>
        <v>186600</v>
      </c>
      <c r="G166" s="1" t="s">
        <v>22</v>
      </c>
      <c r="H166" s="1" t="s">
        <v>27</v>
      </c>
      <c r="I166" s="1" t="s">
        <v>21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2"/>
    </row>
    <row r="167" spans="1:21" ht="15.5" x14ac:dyDescent="0.35">
      <c r="A167" s="1">
        <v>29</v>
      </c>
      <c r="B167" s="18" t="s">
        <v>81</v>
      </c>
      <c r="C167" s="1" t="s">
        <v>53</v>
      </c>
      <c r="D167" s="1">
        <v>4</v>
      </c>
      <c r="E167" s="3">
        <v>16500</v>
      </c>
      <c r="F167" s="3">
        <f t="shared" si="19"/>
        <v>66000</v>
      </c>
      <c r="G167" s="1" t="s">
        <v>22</v>
      </c>
      <c r="H167" s="1" t="s">
        <v>27</v>
      </c>
      <c r="I167" s="1" t="s">
        <v>21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2"/>
    </row>
    <row r="168" spans="1:21" ht="15.5" x14ac:dyDescent="0.35">
      <c r="A168" s="1">
        <v>31</v>
      </c>
      <c r="B168" s="18" t="s">
        <v>80</v>
      </c>
      <c r="C168" s="1" t="s">
        <v>53</v>
      </c>
      <c r="D168" s="1">
        <v>12</v>
      </c>
      <c r="E168" s="3">
        <v>65000</v>
      </c>
      <c r="F168" s="3">
        <f t="shared" si="19"/>
        <v>780000</v>
      </c>
      <c r="G168" s="1" t="s">
        <v>22</v>
      </c>
      <c r="H168" s="1" t="s">
        <v>27</v>
      </c>
      <c r="I168" s="1" t="s">
        <v>21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2"/>
    </row>
    <row r="169" spans="1:21" ht="15.5" x14ac:dyDescent="0.35">
      <c r="A169" s="1">
        <v>32</v>
      </c>
      <c r="B169" s="18" t="s">
        <v>87</v>
      </c>
      <c r="C169" s="1" t="s">
        <v>88</v>
      </c>
      <c r="D169" s="1">
        <v>3</v>
      </c>
      <c r="E169" s="3">
        <v>43800</v>
      </c>
      <c r="F169" s="3">
        <f t="shared" si="19"/>
        <v>131400</v>
      </c>
      <c r="G169" s="1" t="s">
        <v>22</v>
      </c>
      <c r="H169" s="1" t="s">
        <v>27</v>
      </c>
      <c r="I169" s="1" t="s">
        <v>21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2"/>
    </row>
    <row r="170" spans="1:21" ht="15.5" x14ac:dyDescent="0.35">
      <c r="A170" s="1">
        <v>33</v>
      </c>
      <c r="B170" s="54" t="s">
        <v>312</v>
      </c>
      <c r="D170" s="1">
        <v>3</v>
      </c>
      <c r="E170" s="3">
        <v>2000000</v>
      </c>
      <c r="F170" s="3">
        <f t="shared" si="19"/>
        <v>6000000</v>
      </c>
      <c r="G170" s="1" t="s">
        <v>22</v>
      </c>
      <c r="H170" s="1" t="s">
        <v>27</v>
      </c>
      <c r="I170" s="1" t="s">
        <v>21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U170" s="12"/>
    </row>
    <row r="171" spans="1:21" ht="15.5" x14ac:dyDescent="0.35">
      <c r="A171" s="1">
        <v>34</v>
      </c>
      <c r="B171" s="18" t="s">
        <v>315</v>
      </c>
      <c r="C171" s="1" t="s">
        <v>314</v>
      </c>
      <c r="D171" s="1">
        <v>5</v>
      </c>
      <c r="E171" s="3">
        <v>2500</v>
      </c>
      <c r="F171" s="3">
        <f t="shared" si="19"/>
        <v>12500</v>
      </c>
      <c r="G171" s="1" t="s">
        <v>22</v>
      </c>
      <c r="H171" s="1" t="s">
        <v>27</v>
      </c>
      <c r="I171" s="1" t="s">
        <v>21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2"/>
    </row>
    <row r="172" spans="1:21" ht="15.5" x14ac:dyDescent="0.35">
      <c r="A172" s="1">
        <v>35</v>
      </c>
      <c r="B172" s="18" t="s">
        <v>317</v>
      </c>
      <c r="C172" s="1" t="s">
        <v>314</v>
      </c>
      <c r="D172" s="1">
        <v>5</v>
      </c>
      <c r="E172" s="3">
        <v>1500</v>
      </c>
      <c r="F172" s="3">
        <f t="shared" si="19"/>
        <v>7500</v>
      </c>
      <c r="G172" s="1" t="s">
        <v>22</v>
      </c>
      <c r="H172" s="1" t="s">
        <v>27</v>
      </c>
      <c r="I172" s="1" t="s">
        <v>21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2"/>
    </row>
    <row r="173" spans="1:21" ht="15.5" x14ac:dyDescent="0.35">
      <c r="A173" s="1">
        <v>36</v>
      </c>
      <c r="B173" s="18" t="s">
        <v>316</v>
      </c>
      <c r="C173" s="1" t="s">
        <v>314</v>
      </c>
      <c r="D173" s="1">
        <v>5</v>
      </c>
      <c r="E173" s="3">
        <v>1100</v>
      </c>
      <c r="F173" s="3">
        <f t="shared" si="19"/>
        <v>5500</v>
      </c>
      <c r="G173" s="1" t="s">
        <v>22</v>
      </c>
      <c r="H173" s="1" t="s">
        <v>27</v>
      </c>
      <c r="I173" s="1" t="s">
        <v>21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2"/>
    </row>
    <row r="174" spans="1:21" ht="31" x14ac:dyDescent="0.35">
      <c r="A174" s="1">
        <v>37</v>
      </c>
      <c r="B174" s="18" t="s">
        <v>77</v>
      </c>
      <c r="C174" s="1"/>
      <c r="D174" s="1">
        <v>2</v>
      </c>
      <c r="E174" s="3">
        <v>33250</v>
      </c>
      <c r="F174" s="3">
        <f t="shared" si="19"/>
        <v>66500</v>
      </c>
      <c r="G174" s="1" t="s">
        <v>22</v>
      </c>
      <c r="H174" s="1" t="s">
        <v>27</v>
      </c>
      <c r="I174" s="1" t="s">
        <v>21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2"/>
    </row>
    <row r="175" spans="1:21" ht="15.5" x14ac:dyDescent="0.35">
      <c r="A175" s="1">
        <v>38</v>
      </c>
      <c r="B175" s="18" t="s">
        <v>78</v>
      </c>
      <c r="C175" s="1" t="s">
        <v>314</v>
      </c>
      <c r="D175" s="1">
        <v>1</v>
      </c>
      <c r="E175" s="3">
        <v>107100</v>
      </c>
      <c r="F175" s="3">
        <f t="shared" si="19"/>
        <v>107100</v>
      </c>
      <c r="G175" s="1" t="s">
        <v>22</v>
      </c>
      <c r="H175" s="1" t="s">
        <v>27</v>
      </c>
      <c r="I175" s="1" t="s">
        <v>21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2"/>
    </row>
    <row r="176" spans="1:21" ht="15.5" x14ac:dyDescent="0.35">
      <c r="A176" s="1">
        <v>39</v>
      </c>
      <c r="B176" s="18" t="s">
        <v>323</v>
      </c>
      <c r="C176" s="1"/>
      <c r="D176" s="1">
        <v>2</v>
      </c>
      <c r="E176" s="3">
        <v>44050</v>
      </c>
      <c r="F176" s="3">
        <f t="shared" si="19"/>
        <v>88100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2"/>
    </row>
    <row r="177" spans="1:21" ht="15.5" x14ac:dyDescent="0.35">
      <c r="A177" s="1">
        <v>40</v>
      </c>
      <c r="B177" s="18" t="s">
        <v>90</v>
      </c>
      <c r="C177" s="1" t="s">
        <v>89</v>
      </c>
      <c r="D177" s="1">
        <v>3</v>
      </c>
      <c r="E177" s="3">
        <v>18000</v>
      </c>
      <c r="F177" s="3">
        <f t="shared" si="19"/>
        <v>54000</v>
      </c>
      <c r="G177" s="1" t="s">
        <v>22</v>
      </c>
      <c r="H177" s="1" t="s">
        <v>27</v>
      </c>
      <c r="I177" s="1" t="s">
        <v>21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2"/>
    </row>
    <row r="178" spans="1:21" ht="31" x14ac:dyDescent="0.35">
      <c r="A178" s="1">
        <v>41</v>
      </c>
      <c r="B178" s="18" t="s">
        <v>91</v>
      </c>
      <c r="C178" s="1" t="s">
        <v>89</v>
      </c>
      <c r="D178" s="1">
        <v>3</v>
      </c>
      <c r="E178" s="3">
        <v>78600</v>
      </c>
      <c r="F178" s="3">
        <f t="shared" si="19"/>
        <v>235800</v>
      </c>
      <c r="G178" s="1" t="s">
        <v>22</v>
      </c>
      <c r="H178" s="1" t="s">
        <v>27</v>
      </c>
      <c r="I178" s="1" t="s">
        <v>21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2"/>
    </row>
    <row r="179" spans="1:21" ht="15.5" x14ac:dyDescent="0.35">
      <c r="A179" s="1">
        <v>42</v>
      </c>
      <c r="B179" s="18" t="s">
        <v>308</v>
      </c>
      <c r="C179" s="1" t="s">
        <v>307</v>
      </c>
      <c r="D179" s="1">
        <v>2</v>
      </c>
      <c r="E179" s="3">
        <v>12000</v>
      </c>
      <c r="F179" s="3">
        <f t="shared" si="19"/>
        <v>24000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2"/>
    </row>
    <row r="180" spans="1:21" ht="15.5" x14ac:dyDescent="0.35">
      <c r="A180" s="1">
        <v>43</v>
      </c>
      <c r="B180" s="18" t="s">
        <v>92</v>
      </c>
      <c r="C180" s="1" t="s">
        <v>93</v>
      </c>
      <c r="D180" s="1">
        <v>300</v>
      </c>
      <c r="E180" s="3">
        <v>1700</v>
      </c>
      <c r="F180" s="3">
        <f t="shared" si="19"/>
        <v>510000</v>
      </c>
      <c r="G180" s="1" t="s">
        <v>22</v>
      </c>
      <c r="H180" s="1" t="s">
        <v>27</v>
      </c>
      <c r="I180" s="1" t="s">
        <v>21</v>
      </c>
      <c r="J180" s="1"/>
      <c r="K180" s="1"/>
      <c r="L180" s="1"/>
      <c r="M180" s="1"/>
      <c r="N180" s="1">
        <v>75</v>
      </c>
      <c r="O180" s="1"/>
      <c r="P180" s="1">
        <v>75</v>
      </c>
      <c r="Q180" s="1"/>
      <c r="R180" s="1">
        <v>75</v>
      </c>
      <c r="S180" s="1"/>
      <c r="T180" s="1">
        <v>75</v>
      </c>
      <c r="U180" s="12"/>
    </row>
    <row r="181" spans="1:21" ht="15.5" x14ac:dyDescent="0.35">
      <c r="A181" s="1">
        <v>44</v>
      </c>
      <c r="B181" s="18" t="s">
        <v>94</v>
      </c>
      <c r="C181" s="1" t="s">
        <v>89</v>
      </c>
      <c r="D181" s="1">
        <v>2</v>
      </c>
      <c r="E181" s="3">
        <v>55000</v>
      </c>
      <c r="F181" s="3">
        <f t="shared" si="19"/>
        <v>110000</v>
      </c>
      <c r="G181" s="1" t="s">
        <v>22</v>
      </c>
      <c r="H181" s="1" t="s">
        <v>27</v>
      </c>
      <c r="I181" s="1" t="s">
        <v>21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2"/>
    </row>
    <row r="182" spans="1:21" ht="15.5" x14ac:dyDescent="0.35">
      <c r="A182" s="1">
        <v>45</v>
      </c>
      <c r="B182" s="18" t="s">
        <v>311</v>
      </c>
      <c r="C182" s="1" t="s">
        <v>310</v>
      </c>
      <c r="D182" s="1">
        <v>1</v>
      </c>
      <c r="E182" s="3">
        <v>50000</v>
      </c>
      <c r="F182" s="3">
        <f t="shared" si="19"/>
        <v>50000</v>
      </c>
      <c r="G182" s="1" t="s">
        <v>22</v>
      </c>
      <c r="H182" s="1" t="s">
        <v>27</v>
      </c>
      <c r="I182" s="1" t="s">
        <v>21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2"/>
    </row>
    <row r="183" spans="1:21" ht="15.5" x14ac:dyDescent="0.35">
      <c r="A183" s="1">
        <v>46</v>
      </c>
      <c r="B183" s="18" t="s">
        <v>297</v>
      </c>
      <c r="C183" s="1" t="s">
        <v>89</v>
      </c>
      <c r="D183" s="1">
        <v>3</v>
      </c>
      <c r="E183" s="3">
        <v>35000</v>
      </c>
      <c r="F183" s="3">
        <f t="shared" si="19"/>
        <v>105000</v>
      </c>
      <c r="G183" s="1" t="s">
        <v>22</v>
      </c>
      <c r="H183" s="1" t="s">
        <v>27</v>
      </c>
      <c r="I183" s="1" t="s">
        <v>21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2"/>
    </row>
    <row r="184" spans="1:21" ht="15.5" x14ac:dyDescent="0.35">
      <c r="A184" s="1">
        <v>47</v>
      </c>
      <c r="B184" s="18" t="s">
        <v>298</v>
      </c>
      <c r="C184" s="1" t="s">
        <v>89</v>
      </c>
      <c r="D184" s="1">
        <v>2</v>
      </c>
      <c r="E184" s="3">
        <v>90000</v>
      </c>
      <c r="F184" s="3">
        <f t="shared" si="19"/>
        <v>180000</v>
      </c>
      <c r="G184" s="1" t="s">
        <v>22</v>
      </c>
      <c r="H184" s="1" t="s">
        <v>27</v>
      </c>
      <c r="I184" s="1" t="s">
        <v>21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2"/>
    </row>
    <row r="185" spans="1:21" ht="15.5" x14ac:dyDescent="0.35">
      <c r="A185" s="1">
        <v>48</v>
      </c>
      <c r="B185" s="13" t="s">
        <v>286</v>
      </c>
      <c r="C185" s="1" t="s">
        <v>299</v>
      </c>
      <c r="D185" s="1">
        <v>3</v>
      </c>
      <c r="E185" s="3">
        <v>600</v>
      </c>
      <c r="F185" s="3">
        <f t="shared" si="19"/>
        <v>1800</v>
      </c>
      <c r="G185" s="1" t="s">
        <v>22</v>
      </c>
      <c r="H185" s="1" t="s">
        <v>27</v>
      </c>
      <c r="I185" s="1" t="s">
        <v>21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2"/>
    </row>
    <row r="186" spans="1:21" ht="31" x14ac:dyDescent="0.35">
      <c r="A186" s="1">
        <v>49</v>
      </c>
      <c r="B186" s="13" t="s">
        <v>318</v>
      </c>
      <c r="C186" s="1"/>
      <c r="D186" s="1">
        <v>2</v>
      </c>
      <c r="E186" s="3">
        <v>47600</v>
      </c>
      <c r="F186" s="3">
        <f t="shared" si="19"/>
        <v>95200</v>
      </c>
      <c r="G186" s="1" t="s">
        <v>22</v>
      </c>
      <c r="H186" s="1" t="s">
        <v>27</v>
      </c>
      <c r="I186" s="1" t="s">
        <v>21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2"/>
    </row>
    <row r="187" spans="1:21" ht="31" x14ac:dyDescent="0.35">
      <c r="A187" s="1">
        <v>50</v>
      </c>
      <c r="B187" s="13" t="s">
        <v>319</v>
      </c>
      <c r="C187" s="1" t="s">
        <v>53</v>
      </c>
      <c r="D187" s="1">
        <v>1</v>
      </c>
      <c r="E187" s="3">
        <v>59500</v>
      </c>
      <c r="F187" s="3">
        <f t="shared" si="19"/>
        <v>59500</v>
      </c>
      <c r="G187" s="1" t="s">
        <v>22</v>
      </c>
      <c r="H187" s="1" t="s">
        <v>27</v>
      </c>
      <c r="I187" s="1" t="s">
        <v>21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2"/>
    </row>
    <row r="188" spans="1:21" ht="15.5" x14ac:dyDescent="0.35">
      <c r="A188" s="1">
        <v>51</v>
      </c>
      <c r="B188" s="13" t="s">
        <v>320</v>
      </c>
      <c r="C188" s="1" t="s">
        <v>53</v>
      </c>
      <c r="D188" s="1">
        <v>3</v>
      </c>
      <c r="E188" s="3">
        <v>8000</v>
      </c>
      <c r="F188" s="3">
        <f t="shared" si="19"/>
        <v>24000</v>
      </c>
      <c r="G188" s="1" t="s">
        <v>22</v>
      </c>
      <c r="H188" s="1" t="s">
        <v>27</v>
      </c>
      <c r="I188" s="1" t="s">
        <v>21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2"/>
    </row>
    <row r="189" spans="1:21" ht="15.5" x14ac:dyDescent="0.35">
      <c r="A189" s="1">
        <v>52</v>
      </c>
      <c r="B189" s="13" t="s">
        <v>99</v>
      </c>
      <c r="C189" s="1" t="s">
        <v>89</v>
      </c>
      <c r="D189" s="1">
        <v>3</v>
      </c>
      <c r="E189" s="3">
        <v>77150</v>
      </c>
      <c r="F189" s="3">
        <f t="shared" si="19"/>
        <v>231450</v>
      </c>
      <c r="G189" s="1" t="s">
        <v>22</v>
      </c>
      <c r="H189" s="1" t="s">
        <v>27</v>
      </c>
      <c r="I189" s="1" t="s">
        <v>21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2"/>
    </row>
    <row r="190" spans="1:21" ht="15.5" x14ac:dyDescent="0.35">
      <c r="A190" s="1">
        <v>53</v>
      </c>
      <c r="B190" s="13" t="s">
        <v>100</v>
      </c>
      <c r="C190" s="1" t="s">
        <v>287</v>
      </c>
      <c r="D190" s="1">
        <v>3</v>
      </c>
      <c r="E190" s="3">
        <v>36720</v>
      </c>
      <c r="F190" s="3">
        <f t="shared" si="19"/>
        <v>110160</v>
      </c>
      <c r="G190" s="1" t="s">
        <v>22</v>
      </c>
      <c r="H190" s="1" t="s">
        <v>27</v>
      </c>
      <c r="I190" s="1" t="s">
        <v>21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2"/>
    </row>
    <row r="191" spans="1:21" ht="15.5" x14ac:dyDescent="0.35">
      <c r="A191" s="1">
        <v>54</v>
      </c>
      <c r="B191" s="18" t="s">
        <v>102</v>
      </c>
      <c r="C191" s="1" t="s">
        <v>79</v>
      </c>
      <c r="D191" s="1">
        <v>2</v>
      </c>
      <c r="E191" s="3">
        <v>23800</v>
      </c>
      <c r="F191" s="3">
        <f t="shared" si="19"/>
        <v>47600</v>
      </c>
      <c r="G191" s="1" t="s">
        <v>22</v>
      </c>
      <c r="H191" s="1" t="s">
        <v>27</v>
      </c>
      <c r="I191" s="1" t="s">
        <v>21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1</v>
      </c>
      <c r="U191" s="12"/>
    </row>
    <row r="192" spans="1:21" ht="15.5" x14ac:dyDescent="0.35">
      <c r="A192" s="1">
        <v>55</v>
      </c>
      <c r="B192" s="18" t="s">
        <v>321</v>
      </c>
      <c r="C192" s="1" t="s">
        <v>314</v>
      </c>
      <c r="D192" s="1">
        <v>3</v>
      </c>
      <c r="E192" s="3">
        <v>2500</v>
      </c>
      <c r="F192" s="3">
        <f t="shared" si="19"/>
        <v>7500</v>
      </c>
      <c r="G192" s="1" t="s">
        <v>22</v>
      </c>
      <c r="H192" s="1" t="s">
        <v>27</v>
      </c>
      <c r="I192" s="1" t="s">
        <v>21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1</v>
      </c>
      <c r="U192" s="12"/>
    </row>
    <row r="193" spans="1:21" ht="31" x14ac:dyDescent="0.35">
      <c r="A193" s="1">
        <v>56</v>
      </c>
      <c r="B193" s="18" t="s">
        <v>301</v>
      </c>
      <c r="C193" s="1" t="s">
        <v>287</v>
      </c>
      <c r="D193" s="1">
        <v>2</v>
      </c>
      <c r="E193" s="3">
        <v>48000</v>
      </c>
      <c r="F193" s="3">
        <f t="shared" ref="F193" si="25">D193*E193</f>
        <v>96000</v>
      </c>
      <c r="G193" s="1" t="s">
        <v>22</v>
      </c>
      <c r="H193" s="1" t="s">
        <v>27</v>
      </c>
      <c r="I193" s="1" t="s">
        <v>21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2"/>
    </row>
    <row r="194" spans="1:21" ht="31" x14ac:dyDescent="0.35">
      <c r="A194" s="1">
        <v>57</v>
      </c>
      <c r="B194" s="18" t="s">
        <v>300</v>
      </c>
      <c r="C194" s="1" t="s">
        <v>287</v>
      </c>
      <c r="D194" s="1">
        <v>2</v>
      </c>
      <c r="E194" s="3">
        <v>25000</v>
      </c>
      <c r="F194" s="3">
        <f t="shared" ref="F194" si="26">D194*E194</f>
        <v>50000</v>
      </c>
      <c r="G194" s="1" t="s">
        <v>22</v>
      </c>
      <c r="H194" s="1" t="s">
        <v>27</v>
      </c>
      <c r="I194" s="1" t="s">
        <v>21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2"/>
    </row>
    <row r="195" spans="1:21" ht="15.5" x14ac:dyDescent="0.35">
      <c r="A195" s="1">
        <v>58</v>
      </c>
      <c r="B195" s="61" t="s">
        <v>288</v>
      </c>
      <c r="C195" s="1" t="s">
        <v>53</v>
      </c>
      <c r="D195" s="1">
        <v>3</v>
      </c>
      <c r="E195" s="3">
        <v>8400</v>
      </c>
      <c r="F195" s="3">
        <f t="shared" ref="F195" si="27">D195*E195</f>
        <v>25200</v>
      </c>
      <c r="G195" s="1" t="s">
        <v>22</v>
      </c>
      <c r="H195" s="1" t="s">
        <v>27</v>
      </c>
      <c r="I195" s="1" t="s">
        <v>21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2"/>
    </row>
    <row r="196" spans="1:21" ht="15.5" x14ac:dyDescent="0.35">
      <c r="A196" s="1">
        <v>59</v>
      </c>
      <c r="B196" s="18" t="s">
        <v>289</v>
      </c>
      <c r="C196" s="1" t="s">
        <v>302</v>
      </c>
      <c r="D196" s="1">
        <v>2</v>
      </c>
      <c r="E196" s="3">
        <v>24000</v>
      </c>
      <c r="F196" s="3">
        <f t="shared" ref="F196" si="28">D196*E196</f>
        <v>48000</v>
      </c>
      <c r="G196" s="1" t="s">
        <v>22</v>
      </c>
      <c r="H196" s="1" t="s">
        <v>27</v>
      </c>
      <c r="I196" s="1" t="s">
        <v>21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2"/>
    </row>
    <row r="197" spans="1:21" ht="15.5" x14ac:dyDescent="0.35">
      <c r="A197" s="1">
        <v>60</v>
      </c>
      <c r="B197" s="18" t="s">
        <v>291</v>
      </c>
      <c r="C197" s="1" t="s">
        <v>302</v>
      </c>
      <c r="D197" s="1">
        <v>2</v>
      </c>
      <c r="E197" s="3">
        <v>37000</v>
      </c>
      <c r="F197" s="3">
        <f t="shared" ref="F197" si="29">D197*E197</f>
        <v>74000</v>
      </c>
      <c r="G197" s="1" t="s">
        <v>22</v>
      </c>
      <c r="H197" s="1" t="s">
        <v>27</v>
      </c>
      <c r="I197" s="1" t="s">
        <v>21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2"/>
    </row>
    <row r="198" spans="1:21" ht="15.5" x14ac:dyDescent="0.35">
      <c r="A198" s="1">
        <v>61</v>
      </c>
      <c r="B198" s="18" t="s">
        <v>292</v>
      </c>
      <c r="C198" s="1" t="s">
        <v>302</v>
      </c>
      <c r="D198" s="1">
        <v>2</v>
      </c>
      <c r="E198" s="3">
        <v>15000</v>
      </c>
      <c r="F198" s="3">
        <f t="shared" ref="F198" si="30">D198*E198</f>
        <v>30000</v>
      </c>
      <c r="G198" s="1" t="s">
        <v>22</v>
      </c>
      <c r="H198" s="1" t="s">
        <v>27</v>
      </c>
      <c r="I198" s="1" t="s">
        <v>21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2"/>
    </row>
    <row r="199" spans="1:21" ht="15.5" x14ac:dyDescent="0.35">
      <c r="A199" s="1">
        <v>62</v>
      </c>
      <c r="B199" s="18" t="s">
        <v>290</v>
      </c>
      <c r="C199" s="1" t="s">
        <v>53</v>
      </c>
      <c r="D199" s="1">
        <v>2</v>
      </c>
      <c r="E199" s="3">
        <v>22950</v>
      </c>
      <c r="F199" s="3">
        <f t="shared" ref="F199" si="31">D199*E199</f>
        <v>45900</v>
      </c>
      <c r="G199" s="1" t="s">
        <v>22</v>
      </c>
      <c r="H199" s="1" t="s">
        <v>27</v>
      </c>
      <c r="I199" s="1" t="s">
        <v>21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2"/>
    </row>
    <row r="200" spans="1:21" ht="15.5" x14ac:dyDescent="0.35">
      <c r="A200" s="1">
        <v>63</v>
      </c>
      <c r="B200" s="18" t="s">
        <v>294</v>
      </c>
      <c r="C200" s="1" t="s">
        <v>53</v>
      </c>
      <c r="D200" s="1">
        <v>2</v>
      </c>
      <c r="E200" s="3">
        <v>4590</v>
      </c>
      <c r="F200" s="3">
        <f t="shared" ref="F200" si="32">D200*E200</f>
        <v>9180</v>
      </c>
      <c r="G200" s="1" t="s">
        <v>22</v>
      </c>
      <c r="H200" s="1" t="s">
        <v>27</v>
      </c>
      <c r="I200" s="1" t="s">
        <v>21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2"/>
    </row>
    <row r="201" spans="1:21" ht="15.5" x14ac:dyDescent="0.35">
      <c r="A201" s="1">
        <v>64</v>
      </c>
      <c r="B201" s="18" t="s">
        <v>322</v>
      </c>
      <c r="C201" s="1" t="s">
        <v>53</v>
      </c>
      <c r="D201" s="1">
        <v>3</v>
      </c>
      <c r="E201" s="3">
        <v>2500</v>
      </c>
      <c r="F201" s="3">
        <f t="shared" ref="F201" si="33">D201*E201</f>
        <v>7500</v>
      </c>
      <c r="G201" s="1" t="s">
        <v>22</v>
      </c>
      <c r="H201" s="1" t="s">
        <v>27</v>
      </c>
      <c r="I201" s="1" t="s">
        <v>21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2"/>
    </row>
    <row r="202" spans="1:21" ht="15.5" x14ac:dyDescent="0.35">
      <c r="A202" s="1">
        <v>65</v>
      </c>
      <c r="B202" s="18" t="s">
        <v>293</v>
      </c>
      <c r="C202" s="1" t="s">
        <v>53</v>
      </c>
      <c r="D202" s="1">
        <v>2</v>
      </c>
      <c r="E202" s="3">
        <v>17850</v>
      </c>
      <c r="F202" s="3">
        <f t="shared" ref="F202" si="34">D202*E202</f>
        <v>35700</v>
      </c>
      <c r="G202" s="1" t="s">
        <v>22</v>
      </c>
      <c r="H202" s="1" t="s">
        <v>27</v>
      </c>
      <c r="I202" s="1" t="s">
        <v>21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2"/>
    </row>
    <row r="203" spans="1:21" ht="15.5" x14ac:dyDescent="0.35">
      <c r="A203" s="1">
        <v>66</v>
      </c>
      <c r="B203" s="18" t="s">
        <v>296</v>
      </c>
      <c r="C203" s="1" t="s">
        <v>53</v>
      </c>
      <c r="D203" s="1">
        <v>2</v>
      </c>
      <c r="E203" s="3">
        <v>22950</v>
      </c>
      <c r="F203" s="3">
        <f t="shared" ref="F203" si="35">D203*E203</f>
        <v>45900</v>
      </c>
      <c r="G203" s="1" t="s">
        <v>22</v>
      </c>
      <c r="H203" s="1" t="s">
        <v>27</v>
      </c>
      <c r="I203" s="1" t="s">
        <v>21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2"/>
    </row>
    <row r="204" spans="1:21" ht="15.5" x14ac:dyDescent="0.35">
      <c r="A204" s="1">
        <v>67</v>
      </c>
      <c r="B204" s="18" t="s">
        <v>295</v>
      </c>
      <c r="C204" s="1" t="s">
        <v>53</v>
      </c>
      <c r="D204" s="1">
        <v>2</v>
      </c>
      <c r="E204" s="3">
        <v>15000</v>
      </c>
      <c r="F204" s="3">
        <f t="shared" ref="F204:F216" si="36">D204*E204</f>
        <v>30000</v>
      </c>
      <c r="G204" s="1" t="s">
        <v>22</v>
      </c>
      <c r="H204" s="1" t="s">
        <v>27</v>
      </c>
      <c r="I204" s="1" t="s">
        <v>21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2"/>
    </row>
    <row r="205" spans="1:21" ht="15.5" x14ac:dyDescent="0.35">
      <c r="A205" s="1">
        <v>68</v>
      </c>
      <c r="B205" s="18" t="s">
        <v>326</v>
      </c>
      <c r="C205" s="1" t="s">
        <v>314</v>
      </c>
      <c r="D205" s="1">
        <v>2</v>
      </c>
      <c r="E205" s="3">
        <v>22000</v>
      </c>
      <c r="F205" s="3">
        <f t="shared" si="36"/>
        <v>44000</v>
      </c>
      <c r="G205" s="1" t="s">
        <v>22</v>
      </c>
      <c r="H205" s="1" t="s">
        <v>27</v>
      </c>
      <c r="I205" s="1" t="s">
        <v>21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2"/>
    </row>
    <row r="206" spans="1:21" ht="15.5" x14ac:dyDescent="0.35">
      <c r="A206" s="1">
        <v>69</v>
      </c>
      <c r="B206" s="18" t="s">
        <v>327</v>
      </c>
      <c r="C206" s="1" t="s">
        <v>314</v>
      </c>
      <c r="D206" s="1">
        <v>2</v>
      </c>
      <c r="E206" s="3">
        <v>6409</v>
      </c>
      <c r="F206" s="3">
        <f t="shared" si="36"/>
        <v>12818</v>
      </c>
      <c r="G206" s="1" t="s">
        <v>22</v>
      </c>
      <c r="H206" s="1" t="s">
        <v>27</v>
      </c>
      <c r="I206" s="1" t="s">
        <v>21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2"/>
    </row>
    <row r="207" spans="1:21" ht="15.5" x14ac:dyDescent="0.35">
      <c r="A207" s="1">
        <v>70</v>
      </c>
      <c r="B207" s="18" t="s">
        <v>305</v>
      </c>
      <c r="C207" s="1" t="s">
        <v>287</v>
      </c>
      <c r="D207" s="1">
        <v>2</v>
      </c>
      <c r="E207" s="3">
        <v>31280</v>
      </c>
      <c r="F207" s="3">
        <f t="shared" si="36"/>
        <v>62560</v>
      </c>
      <c r="G207" s="1" t="s">
        <v>22</v>
      </c>
      <c r="H207" s="1" t="s">
        <v>27</v>
      </c>
      <c r="I207" s="1" t="s">
        <v>21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2"/>
    </row>
    <row r="208" spans="1:21" ht="31" x14ac:dyDescent="0.35">
      <c r="A208" s="1">
        <v>71</v>
      </c>
      <c r="B208" s="18" t="s">
        <v>328</v>
      </c>
      <c r="C208" s="1" t="s">
        <v>314</v>
      </c>
      <c r="D208" s="1">
        <v>2</v>
      </c>
      <c r="E208" s="3">
        <v>22763</v>
      </c>
      <c r="F208" s="3">
        <f t="shared" si="36"/>
        <v>45526</v>
      </c>
      <c r="G208" s="1" t="s">
        <v>22</v>
      </c>
      <c r="H208" s="1" t="s">
        <v>27</v>
      </c>
      <c r="I208" s="1" t="s">
        <v>21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2"/>
    </row>
    <row r="209" spans="1:21" ht="31" x14ac:dyDescent="0.35">
      <c r="A209" s="1">
        <v>72</v>
      </c>
      <c r="B209" s="18" t="s">
        <v>329</v>
      </c>
      <c r="C209" s="1" t="s">
        <v>307</v>
      </c>
      <c r="D209" s="1">
        <v>2</v>
      </c>
      <c r="E209" s="3">
        <v>44586</v>
      </c>
      <c r="F209" s="3">
        <f t="shared" si="36"/>
        <v>89172</v>
      </c>
      <c r="G209" s="1" t="s">
        <v>22</v>
      </c>
      <c r="H209" s="1" t="s">
        <v>27</v>
      </c>
      <c r="I209" s="1" t="s">
        <v>21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2"/>
    </row>
    <row r="210" spans="1:21" ht="15.5" x14ac:dyDescent="0.35">
      <c r="A210" s="1">
        <v>73</v>
      </c>
      <c r="B210" s="18" t="s">
        <v>330</v>
      </c>
      <c r="C210" s="1" t="s">
        <v>314</v>
      </c>
      <c r="D210" s="1">
        <v>1</v>
      </c>
      <c r="E210" s="3">
        <v>137683</v>
      </c>
      <c r="F210" s="3">
        <f t="shared" si="36"/>
        <v>137683</v>
      </c>
      <c r="G210" s="1" t="s">
        <v>22</v>
      </c>
      <c r="H210" s="1" t="s">
        <v>27</v>
      </c>
      <c r="I210" s="1" t="s">
        <v>21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2"/>
    </row>
    <row r="211" spans="1:21" ht="15.5" x14ac:dyDescent="0.35">
      <c r="A211" s="1">
        <v>74</v>
      </c>
      <c r="B211" s="18" t="s">
        <v>331</v>
      </c>
      <c r="C211" s="1" t="s">
        <v>314</v>
      </c>
      <c r="D211" s="1">
        <v>1</v>
      </c>
      <c r="E211" s="3">
        <v>33315</v>
      </c>
      <c r="F211" s="3">
        <f t="shared" si="36"/>
        <v>33315</v>
      </c>
      <c r="G211" s="1" t="s">
        <v>22</v>
      </c>
      <c r="H211" s="1" t="s">
        <v>27</v>
      </c>
      <c r="I211" s="1" t="s">
        <v>21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2"/>
    </row>
    <row r="212" spans="1:21" ht="15.5" x14ac:dyDescent="0.35">
      <c r="A212" s="1">
        <v>75</v>
      </c>
      <c r="B212" s="18" t="s">
        <v>332</v>
      </c>
      <c r="C212" s="1" t="s">
        <v>314</v>
      </c>
      <c r="D212" s="1">
        <v>1</v>
      </c>
      <c r="E212" s="3">
        <v>172601</v>
      </c>
      <c r="F212" s="3">
        <f t="shared" si="36"/>
        <v>172601</v>
      </c>
      <c r="G212" s="1" t="s">
        <v>22</v>
      </c>
      <c r="H212" s="1" t="s">
        <v>27</v>
      </c>
      <c r="I212" s="1" t="s">
        <v>21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2"/>
    </row>
    <row r="213" spans="1:21" ht="15.5" x14ac:dyDescent="0.35">
      <c r="A213" s="1">
        <v>76</v>
      </c>
      <c r="B213" s="18" t="s">
        <v>335</v>
      </c>
      <c r="C213" s="1" t="s">
        <v>302</v>
      </c>
      <c r="D213" s="1">
        <v>2</v>
      </c>
      <c r="E213" s="3">
        <v>34500</v>
      </c>
      <c r="F213" s="3">
        <f t="shared" si="36"/>
        <v>69000</v>
      </c>
      <c r="G213" s="1" t="s">
        <v>22</v>
      </c>
      <c r="H213" s="1" t="s">
        <v>27</v>
      </c>
      <c r="I213" s="1" t="s">
        <v>21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2"/>
    </row>
    <row r="214" spans="1:21" ht="31" x14ac:dyDescent="0.35">
      <c r="A214" s="1">
        <v>77</v>
      </c>
      <c r="B214" s="18" t="s">
        <v>333</v>
      </c>
      <c r="C214" s="1" t="s">
        <v>302</v>
      </c>
      <c r="D214" s="1">
        <v>1</v>
      </c>
      <c r="E214" s="3">
        <v>119952</v>
      </c>
      <c r="F214" s="3">
        <f t="shared" si="36"/>
        <v>119952</v>
      </c>
      <c r="G214" s="1" t="s">
        <v>22</v>
      </c>
      <c r="H214" s="1" t="s">
        <v>27</v>
      </c>
      <c r="I214" s="1" t="s">
        <v>21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2"/>
    </row>
    <row r="215" spans="1:21" ht="15.5" x14ac:dyDescent="0.35">
      <c r="A215" s="1">
        <v>78</v>
      </c>
      <c r="B215" s="18" t="s">
        <v>334</v>
      </c>
      <c r="C215" s="1" t="s">
        <v>53</v>
      </c>
      <c r="D215" s="1">
        <v>2</v>
      </c>
      <c r="E215" s="3">
        <v>2500</v>
      </c>
      <c r="F215" s="3">
        <f t="shared" si="36"/>
        <v>5000</v>
      </c>
      <c r="G215" s="1" t="s">
        <v>22</v>
      </c>
      <c r="H215" s="1" t="s">
        <v>27</v>
      </c>
      <c r="I215" s="1" t="s">
        <v>21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2"/>
    </row>
    <row r="216" spans="1:21" ht="15.5" x14ac:dyDescent="0.35">
      <c r="A216" s="1">
        <v>79</v>
      </c>
      <c r="B216" s="63" t="s">
        <v>336</v>
      </c>
      <c r="C216" s="1" t="s">
        <v>337</v>
      </c>
      <c r="D216" s="1">
        <v>400</v>
      </c>
      <c r="E216" s="3">
        <v>1700</v>
      </c>
      <c r="F216" s="3">
        <f t="shared" si="36"/>
        <v>680000</v>
      </c>
      <c r="G216" s="1" t="s">
        <v>22</v>
      </c>
      <c r="H216" s="1" t="s">
        <v>27</v>
      </c>
      <c r="I216" s="1" t="s">
        <v>21</v>
      </c>
      <c r="J216" s="1"/>
      <c r="K216" s="1"/>
      <c r="L216" s="1"/>
      <c r="M216" s="1"/>
      <c r="N216" s="1">
        <v>100</v>
      </c>
      <c r="O216" s="1"/>
      <c r="P216" s="1">
        <v>100</v>
      </c>
      <c r="Q216" s="1"/>
      <c r="R216" s="1">
        <v>100</v>
      </c>
      <c r="S216" s="1"/>
      <c r="T216" s="1">
        <v>100</v>
      </c>
      <c r="U216" s="12"/>
    </row>
    <row r="217" spans="1:21" ht="15.5" x14ac:dyDescent="0.35">
      <c r="A217" s="1"/>
      <c r="B217" s="63"/>
      <c r="C217" s="1"/>
      <c r="D217" s="1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2"/>
    </row>
    <row r="218" spans="1:21" ht="15.5" x14ac:dyDescent="0.35">
      <c r="A218" s="1"/>
      <c r="B218" s="63"/>
      <c r="C218" s="1"/>
      <c r="D218" s="1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2"/>
    </row>
    <row r="219" spans="1:21" ht="15.5" x14ac:dyDescent="0.35">
      <c r="A219" s="1"/>
      <c r="B219" s="18"/>
      <c r="C219" s="1"/>
      <c r="D219" s="1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2"/>
    </row>
    <row r="220" spans="1:21" ht="15.5" x14ac:dyDescent="0.35">
      <c r="A220" s="1"/>
      <c r="B220" s="18"/>
      <c r="C220" s="1"/>
      <c r="D220" s="1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2"/>
    </row>
    <row r="221" spans="1:21" ht="15.5" x14ac:dyDescent="0.35">
      <c r="A221" s="2" t="s">
        <v>108</v>
      </c>
      <c r="B221" s="18"/>
      <c r="C221" s="2"/>
      <c r="D221" s="1"/>
      <c r="E221" s="3"/>
      <c r="F221" s="3">
        <f t="shared" si="19"/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2">
        <f t="shared" ref="U221:U257" si="37">D221*E221</f>
        <v>0</v>
      </c>
    </row>
    <row r="222" spans="1:21" ht="15.5" x14ac:dyDescent="0.35">
      <c r="A222" s="91">
        <v>1</v>
      </c>
      <c r="B222" s="92" t="s">
        <v>33</v>
      </c>
      <c r="C222" s="92" t="s">
        <v>62</v>
      </c>
      <c r="D222" s="92">
        <v>1</v>
      </c>
      <c r="E222" s="93">
        <v>170000</v>
      </c>
      <c r="F222" s="94">
        <f>D222*E222</f>
        <v>170000</v>
      </c>
      <c r="G222" s="91" t="s">
        <v>22</v>
      </c>
      <c r="H222" s="52" t="s">
        <v>27</v>
      </c>
      <c r="I222" s="52" t="s">
        <v>21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2"/>
    </row>
    <row r="223" spans="1:21" ht="15.5" x14ac:dyDescent="0.35">
      <c r="A223" s="91">
        <v>2</v>
      </c>
      <c r="B223" s="92" t="s">
        <v>34</v>
      </c>
      <c r="C223" s="92" t="s">
        <v>62</v>
      </c>
      <c r="D223" s="92">
        <v>3</v>
      </c>
      <c r="E223" s="93">
        <v>1800000</v>
      </c>
      <c r="F223" s="94">
        <f>D223*E223</f>
        <v>5400000</v>
      </c>
      <c r="G223" s="91" t="s">
        <v>22</v>
      </c>
      <c r="H223" s="52" t="s">
        <v>27</v>
      </c>
      <c r="I223" s="52" t="s">
        <v>21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2"/>
    </row>
    <row r="224" spans="1:21" ht="15.5" x14ac:dyDescent="0.35">
      <c r="A224" s="91">
        <v>3</v>
      </c>
      <c r="B224" s="92" t="s">
        <v>392</v>
      </c>
      <c r="C224" s="92" t="s">
        <v>62</v>
      </c>
      <c r="D224" s="92">
        <v>2</v>
      </c>
      <c r="E224" s="93">
        <v>250000</v>
      </c>
      <c r="F224" s="94">
        <f>D224*E224</f>
        <v>500000</v>
      </c>
      <c r="G224" s="91" t="s">
        <v>22</v>
      </c>
      <c r="H224" s="52" t="s">
        <v>27</v>
      </c>
      <c r="I224" s="52" t="s">
        <v>21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2"/>
    </row>
    <row r="225" spans="1:21" ht="93" x14ac:dyDescent="0.35">
      <c r="A225" s="91">
        <v>4</v>
      </c>
      <c r="B225" s="92" t="s">
        <v>48</v>
      </c>
      <c r="C225" s="91" t="s">
        <v>62</v>
      </c>
      <c r="D225" s="91">
        <v>1</v>
      </c>
      <c r="E225" s="94">
        <v>650000</v>
      </c>
      <c r="F225" s="94">
        <f t="shared" ref="F225:F231" si="38">D225*E225</f>
        <v>650000</v>
      </c>
      <c r="G225" s="91" t="s">
        <v>22</v>
      </c>
      <c r="H225" s="52" t="s">
        <v>27</v>
      </c>
      <c r="I225" s="52" t="s">
        <v>21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2"/>
    </row>
    <row r="226" spans="1:21" ht="46.5" x14ac:dyDescent="0.35">
      <c r="A226" s="91">
        <v>5</v>
      </c>
      <c r="B226" s="95" t="s">
        <v>63</v>
      </c>
      <c r="C226" s="91" t="s">
        <v>62</v>
      </c>
      <c r="D226" s="91">
        <v>1</v>
      </c>
      <c r="E226" s="94">
        <v>4417595</v>
      </c>
      <c r="F226" s="94">
        <f t="shared" si="38"/>
        <v>4417595</v>
      </c>
      <c r="G226" s="91" t="s">
        <v>22</v>
      </c>
      <c r="H226" s="52" t="s">
        <v>27</v>
      </c>
      <c r="I226" s="52" t="s">
        <v>21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2"/>
    </row>
    <row r="227" spans="1:21" ht="15.5" x14ac:dyDescent="0.35">
      <c r="A227" s="91">
        <v>6</v>
      </c>
      <c r="B227" s="91" t="s">
        <v>64</v>
      </c>
      <c r="C227" s="91" t="s">
        <v>62</v>
      </c>
      <c r="D227" s="91">
        <v>1</v>
      </c>
      <c r="E227" s="94">
        <v>8920670</v>
      </c>
      <c r="F227" s="94">
        <f t="shared" si="38"/>
        <v>8920670</v>
      </c>
      <c r="G227" s="91" t="s">
        <v>22</v>
      </c>
      <c r="H227" s="52" t="s">
        <v>27</v>
      </c>
      <c r="I227" s="52" t="s">
        <v>21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2"/>
    </row>
    <row r="228" spans="1:21" ht="15.5" x14ac:dyDescent="0.35">
      <c r="A228" s="91">
        <v>7</v>
      </c>
      <c r="B228" s="91" t="s">
        <v>176</v>
      </c>
      <c r="C228" s="91" t="s">
        <v>62</v>
      </c>
      <c r="D228" s="91">
        <v>2</v>
      </c>
      <c r="E228" s="94">
        <v>3900000</v>
      </c>
      <c r="F228" s="94">
        <f t="shared" si="38"/>
        <v>7800000</v>
      </c>
      <c r="G228" s="91" t="s">
        <v>22</v>
      </c>
      <c r="H228" s="52" t="s">
        <v>27</v>
      </c>
      <c r="I228" s="52" t="s">
        <v>21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12">
        <f t="shared" si="37"/>
        <v>7800000</v>
      </c>
    </row>
    <row r="229" spans="1:21" ht="62" x14ac:dyDescent="0.35">
      <c r="A229" s="91">
        <v>8</v>
      </c>
      <c r="B229" s="92" t="s">
        <v>71</v>
      </c>
      <c r="C229" s="91" t="s">
        <v>62</v>
      </c>
      <c r="D229" s="91">
        <v>2</v>
      </c>
      <c r="E229" s="96">
        <v>419830</v>
      </c>
      <c r="F229" s="94">
        <f t="shared" si="38"/>
        <v>839660</v>
      </c>
      <c r="G229" s="91" t="s">
        <v>22</v>
      </c>
      <c r="H229" s="52" t="s">
        <v>27</v>
      </c>
      <c r="I229" s="52" t="s">
        <v>21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2"/>
      <c r="U229" s="12">
        <f t="shared" si="37"/>
        <v>839660</v>
      </c>
    </row>
    <row r="230" spans="1:21" ht="15.5" x14ac:dyDescent="0.35">
      <c r="A230" s="91">
        <v>9</v>
      </c>
      <c r="B230" s="92" t="s">
        <v>97</v>
      </c>
      <c r="C230" s="91" t="s">
        <v>49</v>
      </c>
      <c r="D230" s="91">
        <v>1</v>
      </c>
      <c r="E230" s="93">
        <v>4900000</v>
      </c>
      <c r="F230" s="94">
        <f t="shared" si="38"/>
        <v>4900000</v>
      </c>
      <c r="G230" s="91" t="s">
        <v>22</v>
      </c>
      <c r="H230" s="52" t="s">
        <v>27</v>
      </c>
      <c r="I230" s="52" t="s">
        <v>21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3">
        <v>1</v>
      </c>
      <c r="U230" s="12">
        <f t="shared" si="37"/>
        <v>4900000</v>
      </c>
    </row>
    <row r="231" spans="1:21" ht="15.5" x14ac:dyDescent="0.35">
      <c r="A231" s="91">
        <v>10</v>
      </c>
      <c r="B231" s="92" t="s">
        <v>98</v>
      </c>
      <c r="C231" s="91" t="s">
        <v>62</v>
      </c>
      <c r="D231" s="91">
        <v>1</v>
      </c>
      <c r="E231" s="93">
        <v>965126</v>
      </c>
      <c r="F231" s="94">
        <f t="shared" si="38"/>
        <v>965126</v>
      </c>
      <c r="G231" s="91" t="s">
        <v>22</v>
      </c>
      <c r="H231" s="52" t="s">
        <v>27</v>
      </c>
      <c r="I231" s="52" t="s">
        <v>21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3">
        <v>2</v>
      </c>
      <c r="U231" s="12">
        <f t="shared" si="37"/>
        <v>965126</v>
      </c>
    </row>
    <row r="232" spans="1:21" ht="62" x14ac:dyDescent="0.35">
      <c r="A232" s="91">
        <v>11</v>
      </c>
      <c r="B232" s="95" t="s">
        <v>306</v>
      </c>
      <c r="C232" s="91" t="s">
        <v>62</v>
      </c>
      <c r="D232" s="91">
        <v>5</v>
      </c>
      <c r="E232" s="94">
        <v>300000</v>
      </c>
      <c r="F232" s="94">
        <f>D232*E232</f>
        <v>1500000</v>
      </c>
      <c r="G232" s="91" t="s">
        <v>22</v>
      </c>
      <c r="H232" s="52" t="s">
        <v>27</v>
      </c>
      <c r="I232" s="52" t="s">
        <v>21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3">
        <v>1</v>
      </c>
      <c r="U232" s="12">
        <f t="shared" si="37"/>
        <v>1500000</v>
      </c>
    </row>
    <row r="233" spans="1:21" ht="46.5" x14ac:dyDescent="0.35">
      <c r="A233" s="91">
        <v>12</v>
      </c>
      <c r="B233" s="95" t="s">
        <v>304</v>
      </c>
      <c r="C233" s="91" t="s">
        <v>62</v>
      </c>
      <c r="D233" s="91">
        <v>1</v>
      </c>
      <c r="E233" s="94">
        <v>13260000</v>
      </c>
      <c r="F233" s="94">
        <f>D233*E233</f>
        <v>13260000</v>
      </c>
      <c r="G233" s="91" t="s">
        <v>22</v>
      </c>
      <c r="H233" s="52" t="s">
        <v>27</v>
      </c>
      <c r="I233" s="52" t="s">
        <v>21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4">
        <v>1</v>
      </c>
      <c r="U233" s="12">
        <f t="shared" si="37"/>
        <v>13260000</v>
      </c>
    </row>
    <row r="234" spans="1:21" ht="15.5" x14ac:dyDescent="0.35">
      <c r="A234" s="91">
        <v>13</v>
      </c>
      <c r="B234" s="95" t="s">
        <v>393</v>
      </c>
      <c r="C234" s="91" t="s">
        <v>62</v>
      </c>
      <c r="D234" s="91">
        <v>2</v>
      </c>
      <c r="E234" s="97">
        <v>152000</v>
      </c>
      <c r="F234" s="94">
        <f t="shared" ref="F234:F261" si="39">D234*E234</f>
        <v>304000</v>
      </c>
      <c r="G234" s="91" t="s">
        <v>22</v>
      </c>
      <c r="H234" s="52" t="s">
        <v>27</v>
      </c>
      <c r="I234" s="52" t="s">
        <v>21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1</v>
      </c>
      <c r="U234" s="12">
        <f t="shared" si="37"/>
        <v>304000</v>
      </c>
    </row>
    <row r="235" spans="1:21" ht="15.5" x14ac:dyDescent="0.35">
      <c r="A235" s="91">
        <v>14</v>
      </c>
      <c r="B235" s="95" t="s">
        <v>141</v>
      </c>
      <c r="C235" s="91" t="s">
        <v>62</v>
      </c>
      <c r="D235" s="91">
        <v>1</v>
      </c>
      <c r="E235" s="97">
        <v>50157</v>
      </c>
      <c r="F235" s="94">
        <f t="shared" si="39"/>
        <v>50157</v>
      </c>
      <c r="G235" s="91" t="s">
        <v>22</v>
      </c>
      <c r="H235" s="52" t="s">
        <v>27</v>
      </c>
      <c r="I235" s="52" t="s">
        <v>21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1</v>
      </c>
      <c r="U235" s="12">
        <f t="shared" si="37"/>
        <v>50157</v>
      </c>
    </row>
    <row r="236" spans="1:21" ht="15.5" x14ac:dyDescent="0.35">
      <c r="A236" s="91">
        <v>15</v>
      </c>
      <c r="B236" s="95" t="s">
        <v>309</v>
      </c>
      <c r="C236" s="91" t="s">
        <v>62</v>
      </c>
      <c r="D236" s="91">
        <v>1</v>
      </c>
      <c r="E236" s="97">
        <v>2400000</v>
      </c>
      <c r="F236" s="94">
        <f t="shared" si="39"/>
        <v>2400000</v>
      </c>
      <c r="G236" s="91" t="s">
        <v>22</v>
      </c>
      <c r="H236" s="52" t="s">
        <v>27</v>
      </c>
      <c r="I236" s="52" t="s">
        <v>21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2</v>
      </c>
      <c r="U236" s="12">
        <f t="shared" si="37"/>
        <v>2400000</v>
      </c>
    </row>
    <row r="237" spans="1:21" ht="31" x14ac:dyDescent="0.35">
      <c r="A237" s="91">
        <v>16</v>
      </c>
      <c r="B237" s="95" t="s">
        <v>394</v>
      </c>
      <c r="C237" s="91" t="s">
        <v>62</v>
      </c>
      <c r="D237" s="91">
        <v>2</v>
      </c>
      <c r="E237" s="97">
        <v>280000</v>
      </c>
      <c r="F237" s="94">
        <f t="shared" si="39"/>
        <v>560000</v>
      </c>
      <c r="G237" s="91" t="s">
        <v>22</v>
      </c>
      <c r="H237" s="52" t="s">
        <v>27</v>
      </c>
      <c r="I237" s="52" t="s">
        <v>21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1</v>
      </c>
      <c r="U237" s="12">
        <f t="shared" si="37"/>
        <v>560000</v>
      </c>
    </row>
    <row r="238" spans="1:21" ht="15.5" x14ac:dyDescent="0.35">
      <c r="A238" s="91">
        <v>17</v>
      </c>
      <c r="B238" s="95" t="s">
        <v>143</v>
      </c>
      <c r="C238" s="91" t="s">
        <v>62</v>
      </c>
      <c r="D238" s="91">
        <v>2</v>
      </c>
      <c r="E238" s="97">
        <v>45000</v>
      </c>
      <c r="F238" s="94">
        <f t="shared" si="39"/>
        <v>90000</v>
      </c>
      <c r="G238" s="91" t="s">
        <v>22</v>
      </c>
      <c r="H238" s="52" t="s">
        <v>27</v>
      </c>
      <c r="I238" s="52" t="s">
        <v>21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1</v>
      </c>
      <c r="U238" s="12">
        <f t="shared" si="37"/>
        <v>90000</v>
      </c>
    </row>
    <row r="239" spans="1:21" ht="15.5" x14ac:dyDescent="0.35">
      <c r="A239" s="91">
        <v>18</v>
      </c>
      <c r="B239" s="95" t="s">
        <v>144</v>
      </c>
      <c r="C239" s="91" t="s">
        <v>62</v>
      </c>
      <c r="D239" s="91">
        <v>5</v>
      </c>
      <c r="E239" s="97">
        <v>50000</v>
      </c>
      <c r="F239" s="94">
        <f t="shared" si="39"/>
        <v>250000</v>
      </c>
      <c r="G239" s="91" t="s">
        <v>22</v>
      </c>
      <c r="H239" s="52" t="s">
        <v>27</v>
      </c>
      <c r="I239" s="52" t="s">
        <v>21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5</v>
      </c>
      <c r="U239" s="12">
        <f t="shared" si="37"/>
        <v>250000</v>
      </c>
    </row>
    <row r="240" spans="1:21" ht="15.5" x14ac:dyDescent="0.35">
      <c r="A240" s="91">
        <v>19</v>
      </c>
      <c r="B240" s="95" t="s">
        <v>145</v>
      </c>
      <c r="C240" s="91" t="s">
        <v>62</v>
      </c>
      <c r="D240" s="91">
        <v>7</v>
      </c>
      <c r="E240" s="97">
        <v>14000</v>
      </c>
      <c r="F240" s="94">
        <f t="shared" si="39"/>
        <v>98000</v>
      </c>
      <c r="G240" s="91" t="s">
        <v>22</v>
      </c>
      <c r="H240" s="52" t="s">
        <v>27</v>
      </c>
      <c r="I240" s="52" t="s">
        <v>21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2"/>
    </row>
    <row r="241" spans="1:21" ht="15.5" x14ac:dyDescent="0.35">
      <c r="A241" s="91">
        <v>20</v>
      </c>
      <c r="B241" s="95" t="s">
        <v>146</v>
      </c>
      <c r="C241" s="91" t="s">
        <v>62</v>
      </c>
      <c r="D241" s="91">
        <v>3</v>
      </c>
      <c r="E241" s="97">
        <v>323700</v>
      </c>
      <c r="F241" s="94">
        <f t="shared" si="39"/>
        <v>971100</v>
      </c>
      <c r="G241" s="91" t="s">
        <v>22</v>
      </c>
      <c r="H241" s="52" t="s">
        <v>27</v>
      </c>
      <c r="I241" s="52" t="s">
        <v>21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3">
        <v>1</v>
      </c>
      <c r="U241" s="12">
        <f t="shared" si="37"/>
        <v>971100</v>
      </c>
    </row>
    <row r="242" spans="1:21" ht="15.5" x14ac:dyDescent="0.35">
      <c r="A242" s="91">
        <v>21</v>
      </c>
      <c r="B242" s="95" t="s">
        <v>395</v>
      </c>
      <c r="C242" s="91" t="s">
        <v>62</v>
      </c>
      <c r="D242" s="91">
        <v>1</v>
      </c>
      <c r="E242" s="97">
        <v>3500000</v>
      </c>
      <c r="F242" s="94">
        <f t="shared" si="39"/>
        <v>3500000</v>
      </c>
      <c r="G242" s="91" t="s">
        <v>22</v>
      </c>
      <c r="H242" s="52" t="s">
        <v>27</v>
      </c>
      <c r="I242" s="52" t="s">
        <v>21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6">
        <v>1</v>
      </c>
      <c r="U242" s="12">
        <f t="shared" si="37"/>
        <v>3500000</v>
      </c>
    </row>
    <row r="243" spans="1:21" ht="15.5" x14ac:dyDescent="0.35">
      <c r="A243" s="91">
        <v>22</v>
      </c>
      <c r="B243" s="95" t="s">
        <v>147</v>
      </c>
      <c r="C243" s="91" t="s">
        <v>62</v>
      </c>
      <c r="D243" s="91">
        <v>1</v>
      </c>
      <c r="E243" s="97">
        <v>3000000</v>
      </c>
      <c r="F243" s="94">
        <f t="shared" si="39"/>
        <v>3000000</v>
      </c>
      <c r="G243" s="91" t="s">
        <v>22</v>
      </c>
      <c r="H243" s="52" t="s">
        <v>27</v>
      </c>
      <c r="I243" s="52" t="s">
        <v>21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6">
        <v>1</v>
      </c>
      <c r="U243" s="12">
        <f t="shared" si="37"/>
        <v>3000000</v>
      </c>
    </row>
    <row r="244" spans="1:21" ht="15.5" x14ac:dyDescent="0.35">
      <c r="A244" s="91">
        <v>23</v>
      </c>
      <c r="B244" s="92" t="s">
        <v>303</v>
      </c>
      <c r="C244" s="91" t="s">
        <v>127</v>
      </c>
      <c r="D244" s="92">
        <v>1</v>
      </c>
      <c r="E244" s="94">
        <v>380000</v>
      </c>
      <c r="F244" s="94">
        <f t="shared" si="39"/>
        <v>380000</v>
      </c>
      <c r="G244" s="91" t="s">
        <v>22</v>
      </c>
      <c r="H244" s="52" t="s">
        <v>27</v>
      </c>
      <c r="I244" s="52" t="s">
        <v>21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6"/>
      <c r="U244" s="12"/>
    </row>
    <row r="245" spans="1:21" ht="15.5" x14ac:dyDescent="0.35">
      <c r="A245" s="91">
        <v>24</v>
      </c>
      <c r="B245" s="92" t="s">
        <v>396</v>
      </c>
      <c r="C245" s="91" t="s">
        <v>127</v>
      </c>
      <c r="D245" s="92">
        <v>1</v>
      </c>
      <c r="E245" s="94">
        <v>27625</v>
      </c>
      <c r="F245" s="94">
        <f t="shared" si="39"/>
        <v>27625</v>
      </c>
      <c r="G245" s="91" t="s">
        <v>22</v>
      </c>
      <c r="H245" s="52" t="s">
        <v>27</v>
      </c>
      <c r="I245" s="52" t="s">
        <v>21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6">
        <v>1</v>
      </c>
      <c r="U245" s="12">
        <f t="shared" si="37"/>
        <v>27625</v>
      </c>
    </row>
    <row r="246" spans="1:21" ht="15.5" x14ac:dyDescent="0.35">
      <c r="A246" s="91">
        <v>25</v>
      </c>
      <c r="B246" s="92" t="s">
        <v>174</v>
      </c>
      <c r="C246" s="91" t="s">
        <v>127</v>
      </c>
      <c r="D246" s="92">
        <v>1</v>
      </c>
      <c r="E246" s="94">
        <v>2964443</v>
      </c>
      <c r="F246" s="94">
        <f t="shared" si="39"/>
        <v>2964443</v>
      </c>
      <c r="G246" s="91" t="s">
        <v>22</v>
      </c>
      <c r="H246" s="52" t="s">
        <v>27</v>
      </c>
      <c r="I246" s="52" t="s">
        <v>21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6">
        <v>15</v>
      </c>
      <c r="U246" s="12">
        <f t="shared" si="37"/>
        <v>2964443</v>
      </c>
    </row>
    <row r="247" spans="1:21" ht="31" x14ac:dyDescent="0.35">
      <c r="A247" s="91">
        <v>26</v>
      </c>
      <c r="B247" s="92" t="s">
        <v>397</v>
      </c>
      <c r="C247" s="91" t="s">
        <v>127</v>
      </c>
      <c r="D247" s="92">
        <v>1</v>
      </c>
      <c r="E247" s="94">
        <v>817768</v>
      </c>
      <c r="F247" s="94">
        <f t="shared" si="39"/>
        <v>817768</v>
      </c>
      <c r="G247" s="91" t="s">
        <v>22</v>
      </c>
      <c r="H247" s="52" t="s">
        <v>27</v>
      </c>
      <c r="I247" s="52" t="s">
        <v>21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6">
        <v>1</v>
      </c>
      <c r="U247" s="12">
        <f t="shared" si="37"/>
        <v>817768</v>
      </c>
    </row>
    <row r="248" spans="1:21" ht="31" x14ac:dyDescent="0.35">
      <c r="A248" s="91">
        <v>27</v>
      </c>
      <c r="B248" s="92" t="s">
        <v>398</v>
      </c>
      <c r="C248" s="91" t="s">
        <v>127</v>
      </c>
      <c r="D248" s="92">
        <v>1</v>
      </c>
      <c r="E248" s="94">
        <v>421476</v>
      </c>
      <c r="F248" s="94">
        <f t="shared" si="39"/>
        <v>421476</v>
      </c>
      <c r="G248" s="91" t="s">
        <v>22</v>
      </c>
      <c r="H248" s="52" t="s">
        <v>27</v>
      </c>
      <c r="I248" s="52" t="s">
        <v>21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6">
        <v>5</v>
      </c>
      <c r="U248" s="12">
        <f t="shared" si="37"/>
        <v>421476</v>
      </c>
    </row>
    <row r="249" spans="1:21" ht="15.5" x14ac:dyDescent="0.35">
      <c r="A249" s="91">
        <v>28</v>
      </c>
      <c r="B249" s="92" t="s">
        <v>175</v>
      </c>
      <c r="C249" s="91" t="s">
        <v>62</v>
      </c>
      <c r="D249" s="92">
        <v>1</v>
      </c>
      <c r="E249" s="94">
        <v>84000000</v>
      </c>
      <c r="F249" s="94">
        <f t="shared" si="39"/>
        <v>84000000</v>
      </c>
      <c r="G249" s="91" t="s">
        <v>22</v>
      </c>
      <c r="H249" s="52" t="s">
        <v>27</v>
      </c>
      <c r="I249" s="52" t="s">
        <v>21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6">
        <v>1</v>
      </c>
      <c r="U249" s="12">
        <f t="shared" si="37"/>
        <v>84000000</v>
      </c>
    </row>
    <row r="250" spans="1:21" ht="15.5" x14ac:dyDescent="0.35">
      <c r="A250" s="91">
        <v>29</v>
      </c>
      <c r="B250" s="92" t="s">
        <v>33</v>
      </c>
      <c r="C250" s="91" t="s">
        <v>127</v>
      </c>
      <c r="D250" s="92">
        <v>1</v>
      </c>
      <c r="E250" s="94">
        <v>170000</v>
      </c>
      <c r="F250" s="94">
        <f t="shared" si="39"/>
        <v>170000</v>
      </c>
      <c r="G250" s="91" t="s">
        <v>22</v>
      </c>
      <c r="H250" s="52" t="s">
        <v>27</v>
      </c>
      <c r="I250" s="52" t="s">
        <v>21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6">
        <v>7</v>
      </c>
      <c r="U250" s="12">
        <f t="shared" si="37"/>
        <v>170000</v>
      </c>
    </row>
    <row r="251" spans="1:21" ht="15.5" x14ac:dyDescent="0.35">
      <c r="A251" s="91">
        <v>30</v>
      </c>
      <c r="B251" s="92" t="s">
        <v>399</v>
      </c>
      <c r="C251" s="91" t="s">
        <v>127</v>
      </c>
      <c r="D251" s="92">
        <v>1</v>
      </c>
      <c r="E251" s="94">
        <v>1620000</v>
      </c>
      <c r="F251" s="94">
        <f t="shared" si="39"/>
        <v>1620000</v>
      </c>
      <c r="G251" s="91" t="s">
        <v>22</v>
      </c>
      <c r="H251" s="52" t="s">
        <v>27</v>
      </c>
      <c r="I251" s="52" t="s">
        <v>21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6">
        <v>3</v>
      </c>
      <c r="U251" s="12">
        <f t="shared" si="37"/>
        <v>1620000</v>
      </c>
    </row>
    <row r="252" spans="1:21" ht="15.5" x14ac:dyDescent="0.35">
      <c r="A252" s="91">
        <v>31</v>
      </c>
      <c r="B252" s="91" t="s">
        <v>193</v>
      </c>
      <c r="C252" s="91" t="s">
        <v>127</v>
      </c>
      <c r="D252" s="91">
        <v>1</v>
      </c>
      <c r="E252" s="91">
        <v>80000</v>
      </c>
      <c r="F252" s="94">
        <f t="shared" si="39"/>
        <v>80000</v>
      </c>
      <c r="G252" s="91" t="s">
        <v>22</v>
      </c>
      <c r="H252" s="52" t="s">
        <v>27</v>
      </c>
      <c r="I252" s="52" t="s">
        <v>21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6"/>
      <c r="U252" s="12"/>
    </row>
    <row r="253" spans="1:21" ht="15.5" x14ac:dyDescent="0.35">
      <c r="A253" s="91">
        <v>32</v>
      </c>
      <c r="B253" s="91" t="s">
        <v>400</v>
      </c>
      <c r="C253" s="91" t="s">
        <v>127</v>
      </c>
      <c r="D253" s="91">
        <v>1</v>
      </c>
      <c r="E253" s="97">
        <v>380000</v>
      </c>
      <c r="F253" s="94">
        <f t="shared" si="39"/>
        <v>380000</v>
      </c>
      <c r="G253" s="91" t="s">
        <v>22</v>
      </c>
      <c r="H253" s="52" t="s">
        <v>27</v>
      </c>
      <c r="I253" s="52" t="s">
        <v>21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6"/>
      <c r="U253" s="12">
        <f t="shared" si="37"/>
        <v>380000</v>
      </c>
    </row>
    <row r="254" spans="1:21" ht="15.5" x14ac:dyDescent="0.35">
      <c r="A254" s="98">
        <v>33</v>
      </c>
      <c r="B254" s="95" t="s">
        <v>206</v>
      </c>
      <c r="C254" s="91" t="s">
        <v>127</v>
      </c>
      <c r="D254" s="91">
        <v>2</v>
      </c>
      <c r="E254" s="91">
        <v>1800000</v>
      </c>
      <c r="F254" s="94">
        <f t="shared" si="39"/>
        <v>3600000</v>
      </c>
      <c r="G254" s="91" t="s">
        <v>22</v>
      </c>
      <c r="H254" s="52" t="s">
        <v>27</v>
      </c>
      <c r="I254" s="52" t="s">
        <v>21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4"/>
      <c r="U254" s="12">
        <f t="shared" si="37"/>
        <v>3600000</v>
      </c>
    </row>
    <row r="255" spans="1:21" ht="15.5" x14ac:dyDescent="0.35">
      <c r="A255" s="98">
        <v>34</v>
      </c>
      <c r="B255" s="95" t="s">
        <v>401</v>
      </c>
      <c r="C255" s="91" t="s">
        <v>127</v>
      </c>
      <c r="D255" s="91">
        <v>2</v>
      </c>
      <c r="E255" s="97">
        <v>350000</v>
      </c>
      <c r="F255" s="94">
        <f t="shared" si="39"/>
        <v>700000</v>
      </c>
      <c r="G255" s="91" t="s">
        <v>22</v>
      </c>
      <c r="H255" s="52" t="s">
        <v>27</v>
      </c>
      <c r="I255" s="52" t="s">
        <v>21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4"/>
      <c r="U255" s="12"/>
    </row>
    <row r="256" spans="1:21" ht="15.5" x14ac:dyDescent="0.35">
      <c r="A256" s="98">
        <v>35</v>
      </c>
      <c r="B256" s="95" t="s">
        <v>403</v>
      </c>
      <c r="C256" s="91" t="s">
        <v>127</v>
      </c>
      <c r="D256" s="91">
        <v>2</v>
      </c>
      <c r="E256" s="97">
        <v>50000</v>
      </c>
      <c r="F256" s="94">
        <f t="shared" si="39"/>
        <v>100000</v>
      </c>
      <c r="G256" s="91" t="s">
        <v>22</v>
      </c>
      <c r="H256" s="52" t="s">
        <v>27</v>
      </c>
      <c r="I256" s="52" t="s">
        <v>21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4"/>
      <c r="U256" s="12">
        <f t="shared" si="37"/>
        <v>100000</v>
      </c>
    </row>
    <row r="257" spans="1:21" ht="15.5" x14ac:dyDescent="0.35">
      <c r="A257" s="98">
        <v>36</v>
      </c>
      <c r="B257" s="95" t="s">
        <v>404</v>
      </c>
      <c r="C257" s="91" t="s">
        <v>38</v>
      </c>
      <c r="D257" s="91">
        <v>2</v>
      </c>
      <c r="E257" s="97">
        <v>100000</v>
      </c>
      <c r="F257" s="94">
        <f t="shared" si="39"/>
        <v>200000</v>
      </c>
      <c r="G257" s="91" t="s">
        <v>22</v>
      </c>
      <c r="H257" s="52" t="s">
        <v>27</v>
      </c>
      <c r="I257" s="52" t="s">
        <v>21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4"/>
      <c r="U257" s="12">
        <f t="shared" si="37"/>
        <v>200000</v>
      </c>
    </row>
    <row r="258" spans="1:21" ht="31" x14ac:dyDescent="0.35">
      <c r="A258" s="98">
        <v>37</v>
      </c>
      <c r="B258" s="95" t="s">
        <v>405</v>
      </c>
      <c r="C258" s="91" t="s">
        <v>62</v>
      </c>
      <c r="D258" s="91">
        <v>2</v>
      </c>
      <c r="E258" s="97">
        <v>80000</v>
      </c>
      <c r="F258" s="94">
        <f t="shared" si="39"/>
        <v>160000</v>
      </c>
      <c r="G258" s="91" t="s">
        <v>22</v>
      </c>
      <c r="H258" s="52" t="s">
        <v>27</v>
      </c>
      <c r="I258" s="52" t="s">
        <v>21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4"/>
      <c r="U258" s="12">
        <f>D239*E239</f>
        <v>250000</v>
      </c>
    </row>
    <row r="259" spans="1:21" ht="31" x14ac:dyDescent="0.35">
      <c r="A259" s="98">
        <v>38</v>
      </c>
      <c r="B259" s="95" t="s">
        <v>406</v>
      </c>
      <c r="C259" s="91" t="s">
        <v>62</v>
      </c>
      <c r="D259" s="91">
        <v>15</v>
      </c>
      <c r="E259" s="97">
        <v>8000</v>
      </c>
      <c r="F259" s="94">
        <f t="shared" si="39"/>
        <v>120000</v>
      </c>
      <c r="G259" s="91" t="s">
        <v>22</v>
      </c>
      <c r="H259" s="52" t="s">
        <v>27</v>
      </c>
      <c r="I259" s="52" t="s">
        <v>21</v>
      </c>
      <c r="J259" s="14"/>
      <c r="K259" s="62"/>
      <c r="L259" s="14"/>
      <c r="M259" s="14"/>
      <c r="N259" s="14"/>
      <c r="O259" s="14"/>
      <c r="P259" s="14"/>
      <c r="Q259" s="14"/>
      <c r="R259" s="14"/>
      <c r="S259" s="14"/>
      <c r="T259" s="62"/>
      <c r="U259" s="45">
        <f>D241*E241</f>
        <v>971100</v>
      </c>
    </row>
    <row r="260" spans="1:21" ht="15.5" x14ac:dyDescent="0.35">
      <c r="A260" s="98">
        <v>39</v>
      </c>
      <c r="B260" s="95" t="s">
        <v>407</v>
      </c>
      <c r="C260" s="91" t="s">
        <v>62</v>
      </c>
      <c r="D260" s="91">
        <v>7</v>
      </c>
      <c r="E260" s="97">
        <v>1200</v>
      </c>
      <c r="F260" s="94">
        <f t="shared" si="39"/>
        <v>8400</v>
      </c>
      <c r="G260" s="91"/>
      <c r="H260" s="52" t="s">
        <v>27</v>
      </c>
      <c r="I260" s="52" t="s">
        <v>21</v>
      </c>
      <c r="J260" s="14"/>
      <c r="K260" s="62"/>
      <c r="L260" s="14"/>
      <c r="M260" s="14"/>
      <c r="N260" s="14"/>
      <c r="O260" s="14"/>
      <c r="P260" s="14"/>
      <c r="Q260" s="14"/>
      <c r="R260" s="14"/>
      <c r="S260" s="14"/>
      <c r="T260" s="62"/>
      <c r="U260" s="45"/>
    </row>
    <row r="261" spans="1:21" ht="31" x14ac:dyDescent="0.35">
      <c r="A261" s="98">
        <v>40</v>
      </c>
      <c r="B261" s="95" t="s">
        <v>408</v>
      </c>
      <c r="C261" s="91" t="s">
        <v>62</v>
      </c>
      <c r="D261" s="91">
        <v>2</v>
      </c>
      <c r="E261" s="97">
        <v>350000</v>
      </c>
      <c r="F261" s="94">
        <f t="shared" si="39"/>
        <v>700000</v>
      </c>
      <c r="G261" s="91"/>
      <c r="H261" s="52" t="s">
        <v>27</v>
      </c>
      <c r="I261" s="52" t="s">
        <v>21</v>
      </c>
      <c r="J261" s="14"/>
      <c r="K261" s="62"/>
      <c r="L261" s="14"/>
      <c r="M261" s="14"/>
      <c r="N261" s="14"/>
      <c r="O261" s="14"/>
      <c r="P261" s="14"/>
      <c r="Q261" s="14"/>
      <c r="R261" s="14"/>
      <c r="S261" s="14"/>
      <c r="T261" s="62"/>
      <c r="U261" s="45">
        <f>D258*E258</f>
        <v>160000</v>
      </c>
    </row>
    <row r="262" spans="1:21" ht="15.5" x14ac:dyDescent="0.35">
      <c r="A262" s="89"/>
      <c r="B262" s="25"/>
      <c r="C262" s="26"/>
      <c r="D262" s="26"/>
      <c r="E262" s="27"/>
      <c r="F262" s="88"/>
      <c r="G262" s="26"/>
      <c r="H262" s="1"/>
      <c r="I262" s="1"/>
      <c r="J262" s="14"/>
      <c r="K262" s="62"/>
      <c r="L262" s="14"/>
      <c r="M262" s="14"/>
      <c r="N262" s="14"/>
      <c r="O262" s="14"/>
      <c r="P262" s="14"/>
      <c r="Q262" s="14"/>
      <c r="R262" s="14"/>
      <c r="S262" s="14"/>
      <c r="T262" s="62"/>
      <c r="U262" s="45"/>
    </row>
    <row r="263" spans="1:21" ht="15.5" x14ac:dyDescent="0.35">
      <c r="A263" s="89"/>
      <c r="B263" s="25"/>
      <c r="C263" s="26"/>
      <c r="D263" s="26"/>
      <c r="E263" s="27"/>
      <c r="F263" s="88"/>
      <c r="G263" s="26"/>
      <c r="H263" s="1"/>
      <c r="I263" s="1"/>
      <c r="J263" s="14"/>
      <c r="K263" s="62"/>
      <c r="L263" s="14"/>
      <c r="M263" s="14"/>
      <c r="N263" s="14"/>
      <c r="O263" s="14"/>
      <c r="P263" s="14"/>
      <c r="Q263" s="14"/>
      <c r="R263" s="14"/>
      <c r="S263" s="14"/>
      <c r="T263" s="62"/>
      <c r="U263" s="45"/>
    </row>
    <row r="264" spans="1:21" ht="15.5" x14ac:dyDescent="0.35">
      <c r="A264" s="89"/>
      <c r="B264" s="25"/>
      <c r="C264" s="26"/>
      <c r="D264" s="26"/>
      <c r="E264" s="27"/>
      <c r="F264" s="88"/>
      <c r="G264" s="26"/>
      <c r="H264" s="1"/>
      <c r="I264" s="1"/>
      <c r="J264" s="14"/>
      <c r="K264" s="62"/>
      <c r="L264" s="14"/>
      <c r="M264" s="14"/>
      <c r="N264" s="14"/>
      <c r="O264" s="14"/>
      <c r="P264" s="14"/>
      <c r="Q264" s="14"/>
      <c r="R264" s="14"/>
      <c r="S264" s="14"/>
      <c r="T264" s="62"/>
      <c r="U264" s="45"/>
    </row>
    <row r="265" spans="1:21" ht="15.5" x14ac:dyDescent="0.35">
      <c r="A265" s="89" t="s">
        <v>410</v>
      </c>
      <c r="B265" s="90"/>
      <c r="C265" s="26"/>
      <c r="D265" s="26"/>
      <c r="E265" s="27"/>
      <c r="F265" s="88"/>
      <c r="G265" s="26"/>
      <c r="H265" s="1"/>
      <c r="I265" s="1"/>
      <c r="J265" s="14"/>
      <c r="K265" s="62"/>
      <c r="L265" s="14"/>
      <c r="M265" s="14"/>
      <c r="N265" s="14"/>
      <c r="O265" s="14"/>
      <c r="P265" s="14"/>
      <c r="Q265" s="14"/>
      <c r="R265" s="14"/>
      <c r="S265" s="14"/>
      <c r="T265" s="62"/>
      <c r="U265" s="45"/>
    </row>
    <row r="266" spans="1:21" ht="31" x14ac:dyDescent="0.35">
      <c r="A266" s="89"/>
      <c r="B266" s="95" t="s">
        <v>409</v>
      </c>
      <c r="C266" s="91"/>
      <c r="D266" s="91"/>
      <c r="E266" s="97"/>
      <c r="F266" s="97">
        <v>6000000</v>
      </c>
      <c r="G266" s="91" t="s">
        <v>22</v>
      </c>
      <c r="H266" s="52" t="s">
        <v>27</v>
      </c>
      <c r="I266" s="52" t="s">
        <v>21</v>
      </c>
      <c r="J266" s="14"/>
      <c r="K266" s="62"/>
      <c r="L266" s="14"/>
      <c r="M266" s="14"/>
      <c r="N266" s="14"/>
      <c r="O266" s="14"/>
      <c r="P266" s="14"/>
      <c r="Q266" s="14"/>
      <c r="R266" s="14"/>
      <c r="S266" s="14"/>
      <c r="T266" s="62"/>
      <c r="U266" s="45"/>
    </row>
    <row r="267" spans="1:21" ht="15.5" x14ac:dyDescent="0.35">
      <c r="A267" s="1"/>
      <c r="B267" s="18"/>
      <c r="C267" s="26"/>
      <c r="D267" s="1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2"/>
    </row>
    <row r="268" spans="1:21" x14ac:dyDescent="0.35">
      <c r="A268" s="46"/>
      <c r="B268" s="50"/>
      <c r="C268" s="1"/>
      <c r="D268" s="14"/>
      <c r="E268" s="14"/>
      <c r="F268" s="19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45"/>
    </row>
    <row r="269" spans="1:21" x14ac:dyDescent="0.35">
      <c r="A269" s="2" t="s">
        <v>109</v>
      </c>
      <c r="B269" s="1"/>
      <c r="C269" s="14"/>
      <c r="D269" s="1"/>
      <c r="E269" s="3"/>
      <c r="F269" s="3">
        <f t="shared" ref="F269:F278" si="40">D269*E269</f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4"/>
      <c r="U269" s="12" t="e">
        <f>#REF!*#REF!</f>
        <v>#REF!</v>
      </c>
    </row>
    <row r="270" spans="1:21" ht="15.5" x14ac:dyDescent="0.35">
      <c r="A270" s="1"/>
      <c r="B270" s="13" t="s">
        <v>191</v>
      </c>
      <c r="C270" s="13"/>
      <c r="D270" s="1"/>
      <c r="E270" s="3"/>
      <c r="F270" s="3">
        <f t="shared" si="40"/>
        <v>0</v>
      </c>
      <c r="G270" s="1"/>
      <c r="H270" s="1"/>
      <c r="I270" s="1"/>
      <c r="J270" s="1"/>
      <c r="K270" s="1"/>
      <c r="L270" s="1"/>
      <c r="M270" s="4"/>
      <c r="N270" s="1"/>
      <c r="O270" s="1"/>
      <c r="P270" s="1"/>
      <c r="Q270" s="1"/>
      <c r="R270" s="1"/>
      <c r="S270" s="1"/>
      <c r="T270" s="4"/>
      <c r="U270" s="12">
        <f t="shared" ref="U270:U274" si="41">D269*E269</f>
        <v>0</v>
      </c>
    </row>
    <row r="271" spans="1:21" x14ac:dyDescent="0.35">
      <c r="A271" s="1"/>
      <c r="B271" s="1" t="s">
        <v>192</v>
      </c>
      <c r="C271" s="1"/>
      <c r="D271" s="1"/>
      <c r="E271" s="3"/>
      <c r="F271" s="3">
        <f t="shared" si="40"/>
        <v>0</v>
      </c>
      <c r="G271" s="1"/>
      <c r="H271" s="1"/>
      <c r="I271" s="1"/>
      <c r="J271" s="1"/>
      <c r="K271" s="1"/>
      <c r="L271" s="1"/>
      <c r="M271" s="4"/>
      <c r="N271" s="1"/>
      <c r="O271" s="1"/>
      <c r="P271" s="1"/>
      <c r="Q271" s="1"/>
      <c r="R271" s="1"/>
      <c r="S271" s="1"/>
      <c r="T271" s="4"/>
      <c r="U271" s="12">
        <f t="shared" si="41"/>
        <v>0</v>
      </c>
    </row>
    <row r="272" spans="1:21" x14ac:dyDescent="0.35">
      <c r="A272" s="1"/>
      <c r="B272" s="1" t="s">
        <v>35</v>
      </c>
      <c r="C272" s="1"/>
      <c r="D272" s="1"/>
      <c r="E272" s="3"/>
      <c r="F272" s="3">
        <f t="shared" si="40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12">
        <f t="shared" si="41"/>
        <v>0</v>
      </c>
    </row>
    <row r="273" spans="1:21" ht="15.5" x14ac:dyDescent="0.35">
      <c r="A273" s="1"/>
      <c r="B273" s="13" t="s">
        <v>112</v>
      </c>
      <c r="C273" s="1"/>
      <c r="D273" s="1">
        <v>30</v>
      </c>
      <c r="E273" s="3">
        <v>750</v>
      </c>
      <c r="F273" s="3">
        <f t="shared" si="40"/>
        <v>22500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12">
        <f t="shared" si="41"/>
        <v>0</v>
      </c>
    </row>
    <row r="274" spans="1:21" x14ac:dyDescent="0.35">
      <c r="A274" s="1"/>
      <c r="B274" s="1"/>
      <c r="C274" s="1" t="s">
        <v>190</v>
      </c>
      <c r="D274" s="1"/>
      <c r="E274" s="3"/>
      <c r="F274" s="3">
        <f t="shared" si="4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2">
        <f t="shared" si="41"/>
        <v>22500</v>
      </c>
    </row>
    <row r="275" spans="1:21" x14ac:dyDescent="0.35">
      <c r="A275" s="1"/>
      <c r="B275" s="1"/>
      <c r="C275" s="2"/>
      <c r="D275" s="1"/>
      <c r="E275" s="3"/>
      <c r="F275" s="3">
        <f t="shared" si="40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4"/>
      <c r="U275" s="12"/>
    </row>
    <row r="276" spans="1:21" x14ac:dyDescent="0.35">
      <c r="A276" s="1"/>
      <c r="B276" s="1"/>
      <c r="C276" s="1"/>
      <c r="D276" s="1"/>
      <c r="E276" s="3"/>
      <c r="F276" s="3">
        <f t="shared" si="40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4"/>
      <c r="U276" s="12">
        <f t="shared" ref="U276:U278" si="42">D275*E275</f>
        <v>0</v>
      </c>
    </row>
    <row r="277" spans="1:21" ht="15.5" x14ac:dyDescent="0.35">
      <c r="A277" s="1"/>
      <c r="B277" s="13"/>
      <c r="C277" s="1"/>
      <c r="D277" s="13"/>
      <c r="E277" s="14"/>
      <c r="F277" s="3">
        <f t="shared" si="40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2">
        <f t="shared" si="42"/>
        <v>0</v>
      </c>
    </row>
    <row r="278" spans="1:21" ht="15.5" x14ac:dyDescent="0.35">
      <c r="A278" s="1" t="s">
        <v>110</v>
      </c>
      <c r="B278" s="13"/>
      <c r="C278" s="1"/>
      <c r="D278" s="13"/>
      <c r="E278" s="14"/>
      <c r="F278" s="3">
        <f t="shared" si="40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2">
        <f t="shared" si="42"/>
        <v>0</v>
      </c>
    </row>
    <row r="279" spans="1:21" ht="15.5" x14ac:dyDescent="0.35">
      <c r="A279" s="1">
        <v>1</v>
      </c>
      <c r="B279" s="13" t="s">
        <v>41</v>
      </c>
      <c r="C279" s="14"/>
      <c r="D279" s="13">
        <v>40</v>
      </c>
      <c r="E279" s="14">
        <v>32000</v>
      </c>
      <c r="F279" s="16">
        <f>D279*E279</f>
        <v>1280000</v>
      </c>
      <c r="G279" s="1" t="s">
        <v>22</v>
      </c>
      <c r="H279" s="1" t="s">
        <v>27</v>
      </c>
      <c r="I279" s="1" t="s">
        <v>21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3">
        <v>40</v>
      </c>
      <c r="U279" s="12">
        <f>D279*E279</f>
        <v>1280000</v>
      </c>
    </row>
    <row r="280" spans="1:21" ht="15.5" x14ac:dyDescent="0.35">
      <c r="A280" s="1">
        <v>2</v>
      </c>
      <c r="B280" s="13" t="s">
        <v>42</v>
      </c>
      <c r="C280" s="1"/>
      <c r="D280" s="13">
        <v>14</v>
      </c>
      <c r="E280" s="14">
        <v>12000</v>
      </c>
      <c r="F280" s="16">
        <f>D280*E280</f>
        <v>168000</v>
      </c>
      <c r="G280" s="1" t="s">
        <v>22</v>
      </c>
      <c r="H280" s="1" t="s">
        <v>27</v>
      </c>
      <c r="I280" s="1" t="s">
        <v>21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3">
        <v>14</v>
      </c>
      <c r="U280" s="12">
        <f>D280*E280</f>
        <v>168000</v>
      </c>
    </row>
    <row r="281" spans="1:21" ht="15.5" x14ac:dyDescent="0.35">
      <c r="A281" s="1">
        <v>3</v>
      </c>
      <c r="B281" s="13" t="s">
        <v>107</v>
      </c>
      <c r="C281" s="14"/>
      <c r="D281" s="13">
        <v>70</v>
      </c>
      <c r="E281" s="3">
        <v>24000</v>
      </c>
      <c r="F281" s="3">
        <f>D281*E281</f>
        <v>1680000</v>
      </c>
      <c r="G281" s="1" t="s">
        <v>22</v>
      </c>
      <c r="H281" s="1" t="s">
        <v>27</v>
      </c>
      <c r="I281" s="1" t="s">
        <v>21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3">
        <v>70</v>
      </c>
      <c r="U281" s="12">
        <f>D281*E281</f>
        <v>1680000</v>
      </c>
    </row>
    <row r="282" spans="1:21" ht="15.5" x14ac:dyDescent="0.35">
      <c r="A282" s="1">
        <v>4</v>
      </c>
      <c r="B282" s="13" t="s">
        <v>105</v>
      </c>
      <c r="C282" s="14" t="s">
        <v>62</v>
      </c>
      <c r="D282" s="13">
        <v>100</v>
      </c>
      <c r="E282" s="3">
        <v>1800</v>
      </c>
      <c r="F282" s="3">
        <f>D282*E282</f>
        <v>180000</v>
      </c>
      <c r="G282" s="1" t="s">
        <v>22</v>
      </c>
      <c r="H282" s="1" t="s">
        <v>27</v>
      </c>
      <c r="I282" s="1" t="s">
        <v>21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3">
        <v>100</v>
      </c>
      <c r="U282" s="12">
        <f>D282*E282</f>
        <v>180000</v>
      </c>
    </row>
    <row r="283" spans="1:21" ht="15.5" x14ac:dyDescent="0.35">
      <c r="A283" s="1">
        <v>5</v>
      </c>
      <c r="B283" s="13" t="s">
        <v>106</v>
      </c>
      <c r="C283" s="14" t="s">
        <v>62</v>
      </c>
      <c r="D283" s="13">
        <v>5</v>
      </c>
      <c r="E283" s="3">
        <v>20000</v>
      </c>
      <c r="F283" s="3">
        <f>D283*E283</f>
        <v>100000</v>
      </c>
      <c r="G283" s="1" t="s">
        <v>22</v>
      </c>
      <c r="H283" s="1" t="s">
        <v>27</v>
      </c>
      <c r="I283" s="1" t="s">
        <v>21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3">
        <v>5</v>
      </c>
      <c r="U283" s="12">
        <f>D283*E283</f>
        <v>100000</v>
      </c>
    </row>
    <row r="284" spans="1:21" x14ac:dyDescent="0.35">
      <c r="A284" s="1"/>
      <c r="B284" s="15"/>
      <c r="C284" s="14" t="s">
        <v>62</v>
      </c>
      <c r="D284" s="14"/>
      <c r="E284" s="3"/>
      <c r="F284" s="3">
        <f t="shared" ref="F284:F319" si="43">D284*E284</f>
        <v>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2"/>
    </row>
    <row r="285" spans="1:21" x14ac:dyDescent="0.35">
      <c r="A285" s="1"/>
      <c r="B285" s="14"/>
      <c r="C285" s="14"/>
      <c r="D285" s="14"/>
      <c r="E285" s="3"/>
      <c r="F285" s="3">
        <f t="shared" si="43"/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2">
        <f t="shared" ref="U285:U329" si="44">D285*E285</f>
        <v>0</v>
      </c>
    </row>
    <row r="286" spans="1:21" x14ac:dyDescent="0.35">
      <c r="A286" s="1"/>
      <c r="B286" s="14"/>
      <c r="C286" s="14"/>
      <c r="D286" s="14"/>
      <c r="E286" s="3"/>
      <c r="F286" s="3">
        <f t="shared" si="43"/>
        <v>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2">
        <f t="shared" si="44"/>
        <v>0</v>
      </c>
    </row>
    <row r="287" spans="1:21" x14ac:dyDescent="0.35">
      <c r="A287" s="1" t="s">
        <v>111</v>
      </c>
      <c r="B287" s="14"/>
      <c r="C287" s="14"/>
      <c r="D287" s="14"/>
      <c r="E287" s="3"/>
      <c r="F287" s="3">
        <f t="shared" si="43"/>
        <v>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2">
        <f t="shared" si="44"/>
        <v>0</v>
      </c>
    </row>
    <row r="288" spans="1:21" ht="15.5" x14ac:dyDescent="0.35">
      <c r="A288" s="1"/>
      <c r="B288" s="13"/>
      <c r="C288" s="14"/>
      <c r="D288" s="14"/>
      <c r="E288" s="3"/>
      <c r="F288" s="3">
        <f t="shared" si="43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2">
        <f t="shared" si="44"/>
        <v>0</v>
      </c>
    </row>
    <row r="289" spans="1:21" ht="15.5" x14ac:dyDescent="0.35">
      <c r="A289" s="1">
        <v>1</v>
      </c>
      <c r="B289" s="13" t="s">
        <v>154</v>
      </c>
      <c r="C289" s="14"/>
      <c r="D289" s="14">
        <v>120</v>
      </c>
      <c r="E289" s="3">
        <v>4000</v>
      </c>
      <c r="F289" s="3">
        <f t="shared" si="43"/>
        <v>480000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2">
        <f t="shared" si="44"/>
        <v>480000</v>
      </c>
    </row>
    <row r="290" spans="1:21" x14ac:dyDescent="0.35">
      <c r="A290" s="1"/>
      <c r="B290" s="14"/>
      <c r="C290" s="14" t="s">
        <v>113</v>
      </c>
      <c r="D290" s="14"/>
      <c r="E290" s="3"/>
      <c r="F290" s="3">
        <f t="shared" si="43"/>
        <v>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2">
        <f t="shared" si="44"/>
        <v>0</v>
      </c>
    </row>
    <row r="291" spans="1:21" x14ac:dyDescent="0.35">
      <c r="A291" s="1"/>
      <c r="B291" s="1"/>
      <c r="C291" s="14"/>
      <c r="D291" s="1"/>
      <c r="E291" s="3"/>
      <c r="F291" s="3">
        <f t="shared" si="43"/>
        <v>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4"/>
      <c r="U291" s="12">
        <f t="shared" si="44"/>
        <v>0</v>
      </c>
    </row>
    <row r="292" spans="1:21" x14ac:dyDescent="0.35">
      <c r="A292" s="1"/>
      <c r="B292" s="1"/>
      <c r="C292" s="1"/>
      <c r="D292" s="1"/>
      <c r="E292" s="3"/>
      <c r="F292" s="3">
        <f t="shared" si="43"/>
        <v>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4"/>
      <c r="U292" s="12">
        <f t="shared" si="44"/>
        <v>0</v>
      </c>
    </row>
    <row r="293" spans="1:21" x14ac:dyDescent="0.35">
      <c r="A293" s="1"/>
      <c r="B293" s="1"/>
      <c r="C293" s="1"/>
      <c r="D293" s="1"/>
      <c r="E293" s="3"/>
      <c r="F293" s="3">
        <f t="shared" si="43"/>
        <v>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2">
        <f t="shared" si="44"/>
        <v>0</v>
      </c>
    </row>
    <row r="294" spans="1:21" x14ac:dyDescent="0.35">
      <c r="A294" s="1"/>
      <c r="B294" s="1"/>
      <c r="C294" s="1"/>
      <c r="D294" s="1"/>
      <c r="E294" s="3"/>
      <c r="F294" s="3">
        <f t="shared" si="43"/>
        <v>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2">
        <f t="shared" si="44"/>
        <v>0</v>
      </c>
    </row>
    <row r="295" spans="1:21" x14ac:dyDescent="0.35">
      <c r="A295" s="1" t="s">
        <v>149</v>
      </c>
      <c r="B295" s="1"/>
      <c r="C295" s="1"/>
      <c r="D295" s="1"/>
      <c r="E295" s="3"/>
      <c r="F295" s="3">
        <f t="shared" si="43"/>
        <v>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2">
        <f t="shared" si="44"/>
        <v>0</v>
      </c>
    </row>
    <row r="296" spans="1:21" x14ac:dyDescent="0.35">
      <c r="A296" s="1">
        <v>1</v>
      </c>
      <c r="B296" s="1" t="s">
        <v>150</v>
      </c>
      <c r="C296" s="1"/>
      <c r="D296" s="1">
        <v>1</v>
      </c>
      <c r="E296" s="3">
        <v>2500000</v>
      </c>
      <c r="F296" s="3">
        <f t="shared" si="43"/>
        <v>2500000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2">
        <f t="shared" si="44"/>
        <v>2500000</v>
      </c>
    </row>
    <row r="297" spans="1:21" x14ac:dyDescent="0.35">
      <c r="A297" s="1">
        <v>2</v>
      </c>
      <c r="B297" s="29" t="s">
        <v>213</v>
      </c>
      <c r="C297" s="1" t="s">
        <v>38</v>
      </c>
      <c r="D297" s="29">
        <v>1</v>
      </c>
      <c r="E297" s="38">
        <v>9187000</v>
      </c>
      <c r="F297" s="38">
        <f t="shared" si="43"/>
        <v>9187000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v>1</v>
      </c>
      <c r="U297" s="39">
        <f t="shared" si="44"/>
        <v>9187000</v>
      </c>
    </row>
    <row r="298" spans="1:21" x14ac:dyDescent="0.35">
      <c r="A298" s="1">
        <v>3</v>
      </c>
      <c r="B298" s="1" t="s">
        <v>213</v>
      </c>
      <c r="C298" s="29" t="s">
        <v>214</v>
      </c>
      <c r="D298" s="1">
        <v>1</v>
      </c>
      <c r="E298" s="3">
        <v>4925000</v>
      </c>
      <c r="F298" s="3">
        <f t="shared" si="43"/>
        <v>4925000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2">
        <f t="shared" si="44"/>
        <v>4925000</v>
      </c>
    </row>
    <row r="299" spans="1:21" s="49" customFormat="1" ht="54" x14ac:dyDescent="0.35">
      <c r="A299" s="34"/>
      <c r="B299" s="76" t="s">
        <v>346</v>
      </c>
      <c r="C299" s="1" t="s">
        <v>214</v>
      </c>
      <c r="D299" s="34">
        <v>22</v>
      </c>
      <c r="E299" s="35">
        <v>50000</v>
      </c>
      <c r="F299" s="35">
        <f t="shared" si="43"/>
        <v>1100000</v>
      </c>
      <c r="G299" s="34"/>
      <c r="H299" s="34"/>
      <c r="I299" s="34"/>
      <c r="J299" s="34"/>
      <c r="K299" s="34"/>
      <c r="L299" s="34"/>
      <c r="M299" s="74" t="s">
        <v>24</v>
      </c>
      <c r="N299" s="34"/>
      <c r="O299" s="34"/>
      <c r="P299" s="34"/>
      <c r="Q299" s="34"/>
      <c r="R299" s="34"/>
      <c r="S299" s="34"/>
      <c r="T299" s="34"/>
      <c r="U299" s="48"/>
    </row>
    <row r="300" spans="1:21" s="49" customFormat="1" ht="40.5" x14ac:dyDescent="0.35">
      <c r="A300" s="34"/>
      <c r="B300" s="76" t="s">
        <v>347</v>
      </c>
      <c r="C300" s="34" t="s">
        <v>345</v>
      </c>
      <c r="D300" s="34">
        <v>18</v>
      </c>
      <c r="E300" s="35">
        <v>50000</v>
      </c>
      <c r="F300" s="35">
        <f t="shared" si="43"/>
        <v>900000</v>
      </c>
      <c r="G300" s="34"/>
      <c r="H300" s="34"/>
      <c r="I300" s="34"/>
      <c r="J300" s="34"/>
      <c r="K300" s="34"/>
      <c r="L300" s="34"/>
      <c r="M300" s="74" t="s">
        <v>24</v>
      </c>
      <c r="N300" s="34"/>
      <c r="O300" s="34"/>
      <c r="P300" s="34"/>
      <c r="Q300" s="34"/>
      <c r="R300" s="34"/>
      <c r="S300" s="34"/>
      <c r="T300" s="34"/>
      <c r="U300" s="48"/>
    </row>
    <row r="301" spans="1:21" s="49" customFormat="1" x14ac:dyDescent="0.35">
      <c r="A301" s="34"/>
      <c r="B301" s="76"/>
      <c r="C301" s="34" t="s">
        <v>345</v>
      </c>
      <c r="D301" s="34">
        <v>4</v>
      </c>
      <c r="E301" s="35">
        <v>65000</v>
      </c>
      <c r="F301" s="35">
        <f t="shared" si="43"/>
        <v>260000</v>
      </c>
      <c r="G301" s="34"/>
      <c r="H301" s="34"/>
      <c r="I301" s="34"/>
      <c r="J301" s="34"/>
      <c r="K301" s="34"/>
      <c r="L301" s="34"/>
      <c r="M301" s="74" t="s">
        <v>24</v>
      </c>
      <c r="N301" s="34"/>
      <c r="O301" s="34"/>
      <c r="P301" s="34"/>
      <c r="Q301" s="34"/>
      <c r="R301" s="34"/>
      <c r="S301" s="34"/>
      <c r="T301" s="34"/>
      <c r="U301" s="48"/>
    </row>
    <row r="302" spans="1:21" s="49" customFormat="1" ht="27" x14ac:dyDescent="0.35">
      <c r="A302" s="34"/>
      <c r="B302" s="76" t="s">
        <v>348</v>
      </c>
      <c r="C302" s="34" t="s">
        <v>345</v>
      </c>
      <c r="D302" s="34">
        <v>35</v>
      </c>
      <c r="E302" s="35">
        <v>25000</v>
      </c>
      <c r="F302" s="35">
        <f t="shared" si="43"/>
        <v>875000</v>
      </c>
      <c r="G302" s="34"/>
      <c r="H302" s="34"/>
      <c r="I302" s="34"/>
      <c r="J302" s="34"/>
      <c r="K302" s="34"/>
      <c r="L302" s="34"/>
      <c r="M302" s="74" t="s">
        <v>24</v>
      </c>
      <c r="N302" s="34"/>
      <c r="O302" s="34"/>
      <c r="P302" s="34"/>
      <c r="Q302" s="34"/>
      <c r="R302" s="34"/>
      <c r="S302" s="34"/>
      <c r="T302" s="34"/>
      <c r="U302" s="48"/>
    </row>
    <row r="303" spans="1:21" s="49" customFormat="1" ht="27" x14ac:dyDescent="0.35">
      <c r="A303" s="34"/>
      <c r="B303" s="76" t="s">
        <v>349</v>
      </c>
      <c r="C303" s="34" t="s">
        <v>345</v>
      </c>
      <c r="D303" s="34">
        <v>35</v>
      </c>
      <c r="E303" s="35">
        <v>25000</v>
      </c>
      <c r="F303" s="35">
        <f t="shared" si="43"/>
        <v>875000</v>
      </c>
      <c r="G303" s="34"/>
      <c r="H303" s="34"/>
      <c r="I303" s="34"/>
      <c r="J303" s="34"/>
      <c r="K303" s="34"/>
      <c r="L303" s="34"/>
      <c r="M303" s="74" t="s">
        <v>24</v>
      </c>
      <c r="N303" s="34"/>
      <c r="O303" s="34"/>
      <c r="P303" s="34"/>
      <c r="Q303" s="34"/>
      <c r="R303" s="34"/>
      <c r="S303" s="34"/>
      <c r="T303" s="34"/>
      <c r="U303" s="48"/>
    </row>
    <row r="304" spans="1:21" s="49" customFormat="1" ht="27" x14ac:dyDescent="0.35">
      <c r="A304" s="34"/>
      <c r="B304" s="76" t="s">
        <v>350</v>
      </c>
      <c r="C304" s="34" t="s">
        <v>345</v>
      </c>
      <c r="D304" s="34">
        <v>35</v>
      </c>
      <c r="E304" s="35">
        <v>25000</v>
      </c>
      <c r="F304" s="35">
        <f t="shared" si="43"/>
        <v>875000</v>
      </c>
      <c r="G304" s="34"/>
      <c r="H304" s="34"/>
      <c r="I304" s="34"/>
      <c r="J304" s="34"/>
      <c r="K304" s="34"/>
      <c r="L304" s="34"/>
      <c r="M304" s="74" t="s">
        <v>24</v>
      </c>
      <c r="N304" s="34"/>
      <c r="O304" s="34"/>
      <c r="P304" s="34"/>
      <c r="Q304" s="34"/>
      <c r="R304" s="34"/>
      <c r="S304" s="34"/>
      <c r="T304" s="34"/>
      <c r="U304" s="48"/>
    </row>
    <row r="305" spans="1:21" s="49" customFormat="1" ht="27" x14ac:dyDescent="0.35">
      <c r="A305" s="34"/>
      <c r="B305" s="76" t="s">
        <v>351</v>
      </c>
      <c r="C305" s="34" t="s">
        <v>345</v>
      </c>
      <c r="D305" s="34">
        <v>35</v>
      </c>
      <c r="E305" s="35">
        <v>25000</v>
      </c>
      <c r="F305" s="35">
        <f t="shared" si="43"/>
        <v>875000</v>
      </c>
      <c r="G305" s="34"/>
      <c r="H305" s="34"/>
      <c r="I305" s="34"/>
      <c r="J305" s="34"/>
      <c r="K305" s="34"/>
      <c r="L305" s="34"/>
      <c r="M305" s="74" t="s">
        <v>24</v>
      </c>
      <c r="N305" s="34"/>
      <c r="O305" s="34"/>
      <c r="P305" s="34"/>
      <c r="Q305" s="34"/>
      <c r="R305" s="34"/>
      <c r="S305" s="34"/>
      <c r="T305" s="34"/>
      <c r="U305" s="48"/>
    </row>
    <row r="306" spans="1:21" s="49" customFormat="1" x14ac:dyDescent="0.35">
      <c r="A306" s="34"/>
      <c r="B306" s="76" t="s">
        <v>352</v>
      </c>
      <c r="C306" s="34" t="s">
        <v>345</v>
      </c>
      <c r="D306" s="34">
        <v>15</v>
      </c>
      <c r="E306" s="35">
        <v>35000</v>
      </c>
      <c r="F306" s="35">
        <f t="shared" si="43"/>
        <v>525000</v>
      </c>
      <c r="G306" s="34"/>
      <c r="H306" s="34"/>
      <c r="I306" s="34"/>
      <c r="J306" s="34"/>
      <c r="K306" s="34"/>
      <c r="L306" s="34"/>
      <c r="M306" s="74" t="s">
        <v>24</v>
      </c>
      <c r="N306" s="34"/>
      <c r="O306" s="34"/>
      <c r="P306" s="34"/>
      <c r="Q306" s="34"/>
      <c r="R306" s="34"/>
      <c r="S306" s="34"/>
      <c r="T306" s="34"/>
      <c r="U306" s="48"/>
    </row>
    <row r="307" spans="1:21" s="49" customFormat="1" x14ac:dyDescent="0.35">
      <c r="A307" s="34"/>
      <c r="B307" s="76"/>
      <c r="C307" s="34" t="s">
        <v>345</v>
      </c>
      <c r="D307" s="34"/>
      <c r="E307" s="35"/>
      <c r="F307" s="35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48"/>
    </row>
    <row r="308" spans="1:21" x14ac:dyDescent="0.35">
      <c r="A308" s="1"/>
      <c r="B308" s="1"/>
      <c r="C308" s="34"/>
      <c r="D308" s="1"/>
      <c r="E308" s="3"/>
      <c r="F308" s="3">
        <f t="shared" si="43"/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2">
        <f t="shared" si="44"/>
        <v>0</v>
      </c>
    </row>
    <row r="309" spans="1:21" x14ac:dyDescent="0.35">
      <c r="A309" s="1"/>
      <c r="B309" s="1"/>
      <c r="C309" s="1"/>
      <c r="D309" s="1"/>
      <c r="E309" s="3"/>
      <c r="F309" s="3">
        <f t="shared" si="43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2">
        <f t="shared" si="44"/>
        <v>0</v>
      </c>
    </row>
    <row r="310" spans="1:21" x14ac:dyDescent="0.35">
      <c r="A310" s="1"/>
      <c r="B310" s="1"/>
      <c r="C310" s="1"/>
      <c r="D310" s="1"/>
      <c r="E310" s="3"/>
      <c r="F310" s="3">
        <f t="shared" si="43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2">
        <f t="shared" si="44"/>
        <v>0</v>
      </c>
    </row>
    <row r="311" spans="1:21" x14ac:dyDescent="0.35">
      <c r="A311" s="1" t="s">
        <v>151</v>
      </c>
      <c r="B311" s="1"/>
      <c r="C311" s="1"/>
      <c r="D311" s="1"/>
      <c r="E311" s="3"/>
      <c r="F311" s="3">
        <f t="shared" si="43"/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2">
        <f t="shared" si="44"/>
        <v>0</v>
      </c>
    </row>
    <row r="312" spans="1:21" x14ac:dyDescent="0.35">
      <c r="A312" s="52">
        <v>1</v>
      </c>
      <c r="B312" s="52" t="s">
        <v>215</v>
      </c>
      <c r="C312" s="1"/>
      <c r="D312" s="52">
        <v>1</v>
      </c>
      <c r="E312" s="53">
        <v>3500000</v>
      </c>
      <c r="F312" s="53">
        <f t="shared" si="43"/>
        <v>3500000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>
        <v>1</v>
      </c>
      <c r="U312" s="12">
        <f t="shared" si="44"/>
        <v>3500000</v>
      </c>
    </row>
    <row r="313" spans="1:21" s="40" customFormat="1" x14ac:dyDescent="0.35">
      <c r="A313" s="29">
        <v>2</v>
      </c>
      <c r="B313" s="29" t="s">
        <v>215</v>
      </c>
      <c r="C313" s="52" t="s">
        <v>152</v>
      </c>
      <c r="D313" s="29">
        <v>1</v>
      </c>
      <c r="E313" s="38">
        <v>308000</v>
      </c>
      <c r="F313" s="38">
        <f t="shared" si="43"/>
        <v>308000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1</v>
      </c>
      <c r="U313" s="39">
        <f t="shared" si="44"/>
        <v>308000</v>
      </c>
    </row>
    <row r="314" spans="1:21" x14ac:dyDescent="0.35">
      <c r="A314" s="1">
        <v>3</v>
      </c>
      <c r="B314" s="1" t="s">
        <v>215</v>
      </c>
      <c r="C314" s="29" t="s">
        <v>216</v>
      </c>
      <c r="D314" s="1">
        <v>1</v>
      </c>
      <c r="E314" s="3">
        <v>1280000</v>
      </c>
      <c r="F314" s="3">
        <f t="shared" si="43"/>
        <v>1280000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2">
        <f t="shared" si="44"/>
        <v>1280000</v>
      </c>
    </row>
    <row r="315" spans="1:21" x14ac:dyDescent="0.35">
      <c r="A315" s="1"/>
      <c r="B315" s="1"/>
      <c r="C315" s="1" t="s">
        <v>152</v>
      </c>
      <c r="D315" s="1"/>
      <c r="E315" s="3"/>
      <c r="F315" s="3">
        <f t="shared" si="43"/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2">
        <f t="shared" si="44"/>
        <v>0</v>
      </c>
    </row>
    <row r="316" spans="1:21" x14ac:dyDescent="0.35">
      <c r="A316" s="1"/>
      <c r="B316" s="1"/>
      <c r="C316" s="1"/>
      <c r="D316" s="1"/>
      <c r="E316" s="3"/>
      <c r="F316" s="3">
        <f t="shared" si="43"/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2">
        <f t="shared" si="44"/>
        <v>0</v>
      </c>
    </row>
    <row r="317" spans="1:21" x14ac:dyDescent="0.35">
      <c r="A317" s="1"/>
      <c r="B317" s="1"/>
      <c r="C317" s="1"/>
      <c r="D317" s="1"/>
      <c r="E317" s="3"/>
      <c r="F317" s="3">
        <f t="shared" si="43"/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2">
        <f t="shared" si="44"/>
        <v>0</v>
      </c>
    </row>
    <row r="318" spans="1:21" x14ac:dyDescent="0.35">
      <c r="A318" s="1" t="s">
        <v>264</v>
      </c>
      <c r="B318" s="1"/>
      <c r="C318" s="1"/>
      <c r="D318" s="1"/>
      <c r="E318" s="3"/>
      <c r="F318" s="3">
        <f t="shared" si="43"/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2">
        <f t="shared" si="44"/>
        <v>0</v>
      </c>
    </row>
    <row r="319" spans="1:21" x14ac:dyDescent="0.35">
      <c r="A319" s="1"/>
      <c r="B319" s="1" t="s">
        <v>265</v>
      </c>
      <c r="C319" s="1"/>
      <c r="D319" s="1">
        <v>1</v>
      </c>
      <c r="E319" s="3">
        <v>80000</v>
      </c>
      <c r="F319" s="3">
        <f t="shared" si="43"/>
        <v>80000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2">
        <f t="shared" si="44"/>
        <v>80000</v>
      </c>
    </row>
    <row r="320" spans="1:21" s="40" customFormat="1" x14ac:dyDescent="0.35">
      <c r="A320" s="1"/>
      <c r="B320" s="1"/>
      <c r="C320" s="1" t="s">
        <v>72</v>
      </c>
      <c r="D320" s="1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2">
        <f t="shared" si="44"/>
        <v>0</v>
      </c>
    </row>
    <row r="321" spans="1:21" x14ac:dyDescent="0.35">
      <c r="A321" s="1"/>
      <c r="B321" s="1"/>
      <c r="C321" s="1"/>
      <c r="D321" s="1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2">
        <f t="shared" si="44"/>
        <v>0</v>
      </c>
    </row>
    <row r="322" spans="1:21" x14ac:dyDescent="0.35">
      <c r="A322" s="1"/>
      <c r="B322" s="1"/>
      <c r="C322" s="1"/>
      <c r="D322" s="1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2">
        <f t="shared" si="44"/>
        <v>0</v>
      </c>
    </row>
    <row r="323" spans="1:21" x14ac:dyDescent="0.35">
      <c r="A323" s="127" t="s">
        <v>155</v>
      </c>
      <c r="B323" s="128"/>
      <c r="C323" s="1"/>
      <c r="D323" s="1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2">
        <f t="shared" si="44"/>
        <v>0</v>
      </c>
    </row>
    <row r="324" spans="1:21" ht="15.5" x14ac:dyDescent="0.35">
      <c r="A324" s="1">
        <v>1</v>
      </c>
      <c r="B324" s="1" t="s">
        <v>37</v>
      </c>
      <c r="C324" s="1"/>
      <c r="D324" s="14">
        <v>1</v>
      </c>
      <c r="E324" s="16">
        <v>1920000</v>
      </c>
      <c r="F324" s="3">
        <f>D324*E324:E324</f>
        <v>1920000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4">
        <v>1</v>
      </c>
      <c r="U324" s="12">
        <f t="shared" si="44"/>
        <v>1920000</v>
      </c>
    </row>
    <row r="325" spans="1:21" ht="15.5" x14ac:dyDescent="0.35">
      <c r="A325" s="1">
        <v>2</v>
      </c>
      <c r="B325" s="13" t="s">
        <v>39</v>
      </c>
      <c r="C325" s="1"/>
      <c r="D325" s="14">
        <v>1</v>
      </c>
      <c r="E325" s="16">
        <v>75000</v>
      </c>
      <c r="F325" s="3">
        <f t="shared" ref="F325:F327" si="45">D325*E324:E325</f>
        <v>75000</v>
      </c>
      <c r="G325" s="1"/>
      <c r="H325" s="1" t="s">
        <v>27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4">
        <v>1</v>
      </c>
      <c r="U325" s="12">
        <f t="shared" si="44"/>
        <v>75000</v>
      </c>
    </row>
    <row r="326" spans="1:21" s="40" customFormat="1" ht="15.5" x14ac:dyDescent="0.35">
      <c r="A326" s="1">
        <v>3</v>
      </c>
      <c r="B326" s="13" t="s">
        <v>40</v>
      </c>
      <c r="C326" s="1"/>
      <c r="D326" s="14">
        <v>1</v>
      </c>
      <c r="E326" s="16">
        <v>1000000</v>
      </c>
      <c r="F326" s="3">
        <f t="shared" si="45"/>
        <v>1000000</v>
      </c>
      <c r="G326" s="1"/>
      <c r="H326" s="1" t="s">
        <v>27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4">
        <v>1</v>
      </c>
      <c r="U326" s="12">
        <f t="shared" si="44"/>
        <v>1000000</v>
      </c>
    </row>
    <row r="327" spans="1:21" ht="31" x14ac:dyDescent="0.35">
      <c r="A327" s="1">
        <v>4</v>
      </c>
      <c r="B327" s="13" t="s">
        <v>43</v>
      </c>
      <c r="C327" s="1"/>
      <c r="D327" s="14">
        <v>1</v>
      </c>
      <c r="E327" s="16">
        <v>750000</v>
      </c>
      <c r="F327" s="3">
        <f t="shared" si="45"/>
        <v>750000</v>
      </c>
      <c r="G327" s="1"/>
      <c r="H327" s="1" t="s">
        <v>27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4">
        <v>1</v>
      </c>
      <c r="U327" s="12">
        <f t="shared" si="44"/>
        <v>750000</v>
      </c>
    </row>
    <row r="328" spans="1:21" ht="31" x14ac:dyDescent="0.35">
      <c r="A328" s="1">
        <v>5</v>
      </c>
      <c r="B328" s="13" t="s">
        <v>95</v>
      </c>
      <c r="C328" s="1"/>
      <c r="D328" s="1">
        <v>1</v>
      </c>
      <c r="E328" s="23">
        <v>2200000</v>
      </c>
      <c r="F328" s="3">
        <f>D328*E328</f>
        <v>2200000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>
        <v>1</v>
      </c>
      <c r="U328" s="12">
        <f t="shared" si="44"/>
        <v>2200000</v>
      </c>
    </row>
    <row r="329" spans="1:21" ht="15.5" x14ac:dyDescent="0.35">
      <c r="A329" s="1">
        <v>6</v>
      </c>
      <c r="B329" s="24" t="s">
        <v>96</v>
      </c>
      <c r="C329" s="1" t="s">
        <v>49</v>
      </c>
      <c r="D329" s="1">
        <v>24</v>
      </c>
      <c r="E329" s="23">
        <v>600000</v>
      </c>
      <c r="F329" s="3">
        <f>D329*E329</f>
        <v>14400000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>
        <v>24</v>
      </c>
      <c r="U329" s="12">
        <f t="shared" si="44"/>
        <v>14400000</v>
      </c>
    </row>
    <row r="330" spans="1:21" x14ac:dyDescent="0.35">
      <c r="A330" s="1">
        <v>7</v>
      </c>
      <c r="B330" s="1" t="s">
        <v>103</v>
      </c>
      <c r="C330" s="1"/>
      <c r="D330" s="1"/>
      <c r="E330" s="1"/>
      <c r="F330" s="3">
        <f t="shared" ref="F330:F357" si="46">D330*E330</f>
        <v>0</v>
      </c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2">
        <f>D353*E353</f>
        <v>0</v>
      </c>
    </row>
    <row r="331" spans="1:21" ht="43.5" x14ac:dyDescent="0.35">
      <c r="A331" s="1">
        <v>8</v>
      </c>
      <c r="B331" s="21" t="s">
        <v>104</v>
      </c>
      <c r="C331" s="1"/>
      <c r="D331" s="1"/>
      <c r="E331" s="1"/>
      <c r="F331" s="3">
        <f t="shared" si="46"/>
        <v>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2">
        <f>D360*E360</f>
        <v>560000</v>
      </c>
    </row>
    <row r="332" spans="1:21" ht="31" x14ac:dyDescent="0.35">
      <c r="A332" s="1">
        <v>9</v>
      </c>
      <c r="B332" s="13" t="s">
        <v>120</v>
      </c>
      <c r="C332" s="1" t="s">
        <v>38</v>
      </c>
      <c r="D332" s="1"/>
      <c r="E332" s="1"/>
      <c r="F332" s="3">
        <f t="shared" si="46"/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2">
        <f>D361*E361</f>
        <v>240000</v>
      </c>
    </row>
    <row r="333" spans="1:21" ht="15.5" x14ac:dyDescent="0.35">
      <c r="A333" s="1">
        <v>10</v>
      </c>
      <c r="B333" s="13" t="s">
        <v>148</v>
      </c>
      <c r="C333" s="1"/>
      <c r="D333" s="1">
        <v>1</v>
      </c>
      <c r="E333" s="3">
        <v>1500000</v>
      </c>
      <c r="F333" s="3">
        <f t="shared" si="46"/>
        <v>1500000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>
        <v>1</v>
      </c>
      <c r="U333" s="12">
        <f>D333*E333</f>
        <v>1500000</v>
      </c>
    </row>
    <row r="334" spans="1:21" ht="15.5" x14ac:dyDescent="0.35">
      <c r="A334" s="29"/>
      <c r="B334" s="37"/>
      <c r="C334" s="1" t="s">
        <v>49</v>
      </c>
      <c r="D334" s="29"/>
      <c r="E334" s="38"/>
      <c r="F334" s="3">
        <f t="shared" si="46"/>
        <v>0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9"/>
    </row>
    <row r="335" spans="1:21" ht="15.5" x14ac:dyDescent="0.35">
      <c r="A335" s="29"/>
      <c r="B335" s="37"/>
      <c r="C335" s="29"/>
      <c r="D335" s="29"/>
      <c r="E335" s="38"/>
      <c r="F335" s="3">
        <f t="shared" si="46"/>
        <v>0</v>
      </c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9"/>
    </row>
    <row r="336" spans="1:21" ht="15.5" x14ac:dyDescent="0.35">
      <c r="A336" s="29"/>
      <c r="B336" s="37"/>
      <c r="C336" s="29"/>
      <c r="D336" s="29"/>
      <c r="E336" s="38"/>
      <c r="F336" s="3">
        <f t="shared" si="46"/>
        <v>0</v>
      </c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9"/>
    </row>
    <row r="337" spans="1:21" ht="15.5" x14ac:dyDescent="0.35">
      <c r="A337" s="29"/>
      <c r="B337" s="37"/>
      <c r="C337" s="29"/>
      <c r="D337" s="29"/>
      <c r="E337" s="38"/>
      <c r="F337" s="3">
        <f t="shared" si="46"/>
        <v>0</v>
      </c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9"/>
    </row>
    <row r="338" spans="1:21" ht="15.5" x14ac:dyDescent="0.35">
      <c r="A338" s="29"/>
      <c r="B338" s="37"/>
      <c r="C338" s="29"/>
      <c r="D338" s="29"/>
      <c r="E338" s="38"/>
      <c r="F338" s="3">
        <f t="shared" si="46"/>
        <v>0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9"/>
    </row>
    <row r="339" spans="1:21" ht="15.5" x14ac:dyDescent="0.35">
      <c r="A339" s="29"/>
      <c r="B339" s="37"/>
      <c r="C339" s="29"/>
      <c r="D339" s="29"/>
      <c r="E339" s="38"/>
      <c r="F339" s="3">
        <f t="shared" si="46"/>
        <v>0</v>
      </c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9"/>
    </row>
    <row r="340" spans="1:21" ht="15.5" x14ac:dyDescent="0.35">
      <c r="A340" s="29"/>
      <c r="B340" s="37"/>
      <c r="C340" s="29"/>
      <c r="D340" s="29"/>
      <c r="E340" s="38"/>
      <c r="F340" s="3">
        <f t="shared" si="46"/>
        <v>0</v>
      </c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9"/>
    </row>
    <row r="341" spans="1:21" ht="15.5" x14ac:dyDescent="0.35">
      <c r="A341" s="29"/>
      <c r="B341" s="37"/>
      <c r="C341" s="29"/>
      <c r="D341" s="29"/>
      <c r="E341" s="38"/>
      <c r="F341" s="3">
        <f t="shared" si="46"/>
        <v>0</v>
      </c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9"/>
    </row>
    <row r="342" spans="1:21" ht="15.5" x14ac:dyDescent="0.35">
      <c r="A342" s="29"/>
      <c r="B342" s="37"/>
      <c r="C342" s="29"/>
      <c r="D342" s="29"/>
      <c r="E342" s="38"/>
      <c r="F342" s="3">
        <f t="shared" si="46"/>
        <v>0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9"/>
    </row>
    <row r="343" spans="1:21" ht="15.5" x14ac:dyDescent="0.35">
      <c r="A343" s="29"/>
      <c r="B343" s="37"/>
      <c r="C343" s="29"/>
      <c r="D343" s="29"/>
      <c r="E343" s="38"/>
      <c r="F343" s="3">
        <f t="shared" si="46"/>
        <v>0</v>
      </c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9"/>
    </row>
    <row r="344" spans="1:21" ht="15.5" x14ac:dyDescent="0.35">
      <c r="A344" s="29"/>
      <c r="B344" s="37"/>
      <c r="C344" s="29"/>
      <c r="D344" s="29"/>
      <c r="E344" s="38"/>
      <c r="F344" s="3">
        <f t="shared" si="46"/>
        <v>0</v>
      </c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9"/>
    </row>
    <row r="345" spans="1:21" ht="31" x14ac:dyDescent="0.35">
      <c r="A345" s="29"/>
      <c r="B345" s="37" t="s">
        <v>195</v>
      </c>
      <c r="C345" s="29"/>
      <c r="D345" s="29">
        <v>1</v>
      </c>
      <c r="E345" s="38"/>
      <c r="F345" s="3">
        <f t="shared" si="46"/>
        <v>0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39"/>
    </row>
    <row r="346" spans="1:21" ht="15.5" x14ac:dyDescent="0.35">
      <c r="A346" s="29"/>
      <c r="B346" s="37" t="s">
        <v>196</v>
      </c>
      <c r="C346" s="29" t="s">
        <v>127</v>
      </c>
      <c r="D346" s="29">
        <v>1</v>
      </c>
      <c r="E346" s="38"/>
      <c r="F346" s="3">
        <f t="shared" si="46"/>
        <v>0</v>
      </c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39"/>
    </row>
    <row r="347" spans="1:21" ht="31" x14ac:dyDescent="0.35">
      <c r="A347" s="29"/>
      <c r="B347" s="37" t="s">
        <v>198</v>
      </c>
      <c r="C347" s="29" t="s">
        <v>127</v>
      </c>
      <c r="D347" s="29">
        <v>1</v>
      </c>
      <c r="E347" s="38"/>
      <c r="F347" s="3">
        <f t="shared" si="46"/>
        <v>0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39"/>
    </row>
    <row r="348" spans="1:21" ht="15.5" x14ac:dyDescent="0.35">
      <c r="A348" s="29"/>
      <c r="B348" s="37" t="s">
        <v>197</v>
      </c>
      <c r="C348" s="29" t="s">
        <v>127</v>
      </c>
      <c r="D348" s="29">
        <v>3</v>
      </c>
      <c r="E348" s="38"/>
      <c r="F348" s="3">
        <f t="shared" si="46"/>
        <v>0</v>
      </c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39"/>
    </row>
    <row r="349" spans="1:21" ht="15.5" x14ac:dyDescent="0.35">
      <c r="A349" s="29"/>
      <c r="B349" s="37"/>
      <c r="C349" s="29" t="s">
        <v>127</v>
      </c>
      <c r="D349" s="29"/>
      <c r="E349" s="38"/>
      <c r="F349" s="3">
        <f t="shared" si="46"/>
        <v>0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39"/>
    </row>
    <row r="350" spans="1:21" ht="15.5" x14ac:dyDescent="0.35">
      <c r="A350" s="29"/>
      <c r="B350" s="37"/>
      <c r="C350" s="29"/>
      <c r="D350" s="29"/>
      <c r="E350" s="38"/>
      <c r="F350" s="3">
        <f t="shared" si="46"/>
        <v>0</v>
      </c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39"/>
    </row>
    <row r="351" spans="1:21" ht="15.5" x14ac:dyDescent="0.35">
      <c r="A351" s="29"/>
      <c r="B351" s="37" t="s">
        <v>194</v>
      </c>
      <c r="C351" s="29"/>
      <c r="D351" s="29">
        <v>2</v>
      </c>
      <c r="E351" s="38"/>
      <c r="F351" s="3">
        <f t="shared" si="46"/>
        <v>0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39"/>
    </row>
    <row r="352" spans="1:21" x14ac:dyDescent="0.35">
      <c r="A352" s="1"/>
      <c r="B352" s="21"/>
      <c r="C352" s="29" t="s">
        <v>127</v>
      </c>
      <c r="D352" s="1"/>
      <c r="E352" s="1"/>
      <c r="F352" s="3">
        <f t="shared" si="46"/>
        <v>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2">
        <f t="shared" ref="U352:U361" si="47">D352*E352</f>
        <v>0</v>
      </c>
    </row>
    <row r="353" spans="1:21" ht="15.5" x14ac:dyDescent="0.35">
      <c r="A353" s="2" t="s">
        <v>258</v>
      </c>
      <c r="B353" s="28"/>
      <c r="C353" s="1"/>
      <c r="D353" s="1"/>
      <c r="E353" s="1"/>
      <c r="F353" s="3">
        <f t="shared" si="46"/>
        <v>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2">
        <f t="shared" si="47"/>
        <v>0</v>
      </c>
    </row>
    <row r="354" spans="1:21" x14ac:dyDescent="0.35">
      <c r="A354" s="41"/>
      <c r="B354" s="30" t="s">
        <v>207</v>
      </c>
      <c r="C354" s="1"/>
      <c r="D354" s="29">
        <v>4</v>
      </c>
      <c r="E354" s="29"/>
      <c r="F354" s="38">
        <f t="shared" si="46"/>
        <v>0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39"/>
    </row>
    <row r="355" spans="1:21" x14ac:dyDescent="0.35">
      <c r="A355" s="29"/>
      <c r="B355" s="30" t="s">
        <v>201</v>
      </c>
      <c r="C355" s="29" t="s">
        <v>127</v>
      </c>
      <c r="D355" s="29">
        <v>10</v>
      </c>
      <c r="E355" s="29"/>
      <c r="F355" s="38">
        <f t="shared" si="46"/>
        <v>0</v>
      </c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39"/>
    </row>
    <row r="356" spans="1:21" x14ac:dyDescent="0.35">
      <c r="A356" s="29"/>
      <c r="B356" s="30" t="s">
        <v>202</v>
      </c>
      <c r="C356" s="29" t="s">
        <v>127</v>
      </c>
      <c r="D356" s="29">
        <v>5</v>
      </c>
      <c r="E356" s="29">
        <v>26000</v>
      </c>
      <c r="F356" s="38">
        <f t="shared" si="46"/>
        <v>130000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39"/>
    </row>
    <row r="357" spans="1:21" x14ac:dyDescent="0.35">
      <c r="A357" s="41"/>
      <c r="B357" s="30" t="s">
        <v>204</v>
      </c>
      <c r="C357" s="29" t="s">
        <v>127</v>
      </c>
      <c r="D357" s="29">
        <v>2</v>
      </c>
      <c r="E357" s="29">
        <v>490000</v>
      </c>
      <c r="F357" s="38">
        <f t="shared" si="46"/>
        <v>980000</v>
      </c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39"/>
    </row>
    <row r="358" spans="1:21" x14ac:dyDescent="0.35">
      <c r="A358" s="41"/>
      <c r="B358" s="30"/>
      <c r="C358" s="29" t="s">
        <v>127</v>
      </c>
      <c r="D358" s="29"/>
      <c r="E358" s="29"/>
      <c r="F358" s="38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39"/>
    </row>
    <row r="359" spans="1:21" x14ac:dyDescent="0.35">
      <c r="A359" s="41"/>
      <c r="B359" s="30"/>
      <c r="C359" s="29"/>
      <c r="D359" s="29"/>
      <c r="E359" s="29"/>
      <c r="F359" s="38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39"/>
    </row>
    <row r="360" spans="1:21" x14ac:dyDescent="0.35">
      <c r="A360" s="29">
        <v>1</v>
      </c>
      <c r="B360" s="30" t="s">
        <v>156</v>
      </c>
      <c r="C360" s="29"/>
      <c r="D360" s="29">
        <v>2</v>
      </c>
      <c r="E360" s="31">
        <v>280000</v>
      </c>
      <c r="F360" s="29">
        <f>D360*E360</f>
        <v>560000</v>
      </c>
      <c r="G360" s="29" t="s">
        <v>22</v>
      </c>
      <c r="H360" s="29" t="s">
        <v>27</v>
      </c>
      <c r="I360" s="29" t="s">
        <v>21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v>2</v>
      </c>
      <c r="U360" s="39">
        <f t="shared" si="47"/>
        <v>560000</v>
      </c>
    </row>
    <row r="361" spans="1:21" x14ac:dyDescent="0.35">
      <c r="A361" s="29">
        <v>2</v>
      </c>
      <c r="B361" s="30" t="s">
        <v>157</v>
      </c>
      <c r="C361" s="29" t="s">
        <v>72</v>
      </c>
      <c r="D361" s="29">
        <v>1</v>
      </c>
      <c r="E361" s="29">
        <v>240000</v>
      </c>
      <c r="F361" s="29">
        <f t="shared" ref="F361:F365" si="48">D361*E361</f>
        <v>240000</v>
      </c>
      <c r="G361" s="29" t="s">
        <v>22</v>
      </c>
      <c r="H361" s="29" t="s">
        <v>27</v>
      </c>
      <c r="I361" s="29" t="s">
        <v>21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v>1</v>
      </c>
      <c r="U361" s="39">
        <f t="shared" si="47"/>
        <v>240000</v>
      </c>
    </row>
    <row r="362" spans="1:21" x14ac:dyDescent="0.35">
      <c r="A362" s="29">
        <v>3</v>
      </c>
      <c r="B362" s="30" t="s">
        <v>159</v>
      </c>
      <c r="C362" s="29" t="s">
        <v>72</v>
      </c>
      <c r="D362" s="29">
        <v>20</v>
      </c>
      <c r="E362" s="29">
        <v>90000</v>
      </c>
      <c r="F362" s="29">
        <f t="shared" si="48"/>
        <v>1800000</v>
      </c>
      <c r="G362" s="29" t="s">
        <v>22</v>
      </c>
      <c r="H362" s="29" t="s">
        <v>27</v>
      </c>
      <c r="I362" s="29" t="s">
        <v>21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39">
        <f>D368*E368</f>
        <v>960000</v>
      </c>
    </row>
    <row r="363" spans="1:21" x14ac:dyDescent="0.35">
      <c r="A363" s="29">
        <v>4</v>
      </c>
      <c r="B363" s="30" t="s">
        <v>160</v>
      </c>
      <c r="C363" s="29" t="s">
        <v>72</v>
      </c>
      <c r="D363" s="29">
        <v>20</v>
      </c>
      <c r="E363" s="29"/>
      <c r="F363" s="29">
        <f t="shared" si="48"/>
        <v>0</v>
      </c>
      <c r="G363" s="29" t="s">
        <v>22</v>
      </c>
      <c r="H363" s="29" t="s">
        <v>27</v>
      </c>
      <c r="I363" s="29" t="s">
        <v>21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39">
        <f>D380*E380</f>
        <v>0</v>
      </c>
    </row>
    <row r="364" spans="1:21" x14ac:dyDescent="0.35">
      <c r="A364" s="29">
        <v>5</v>
      </c>
      <c r="B364" s="30" t="s">
        <v>200</v>
      </c>
      <c r="C364" s="29" t="s">
        <v>72</v>
      </c>
      <c r="D364" s="29">
        <v>10</v>
      </c>
      <c r="E364" s="29"/>
      <c r="F364" s="29">
        <f t="shared" si="48"/>
        <v>0</v>
      </c>
      <c r="G364" s="29" t="s">
        <v>22</v>
      </c>
      <c r="H364" s="29" t="s">
        <v>27</v>
      </c>
      <c r="I364" s="29" t="s">
        <v>21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39">
        <f>D381*E381</f>
        <v>0</v>
      </c>
    </row>
    <row r="365" spans="1:21" x14ac:dyDescent="0.35">
      <c r="A365" s="29">
        <v>6</v>
      </c>
      <c r="B365" s="30" t="s">
        <v>161</v>
      </c>
      <c r="C365" s="29" t="s">
        <v>72</v>
      </c>
      <c r="D365" s="29">
        <v>2</v>
      </c>
      <c r="E365" s="29"/>
      <c r="F365" s="29">
        <f t="shared" si="48"/>
        <v>0</v>
      </c>
      <c r="G365" s="29" t="s">
        <v>22</v>
      </c>
      <c r="H365" s="29" t="s">
        <v>27</v>
      </c>
      <c r="I365" s="29" t="s">
        <v>21</v>
      </c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39" t="e">
        <f>#REF!*#REF!</f>
        <v>#REF!</v>
      </c>
    </row>
    <row r="366" spans="1:21" x14ac:dyDescent="0.35">
      <c r="A366" s="29">
        <v>7</v>
      </c>
      <c r="B366" s="30" t="s">
        <v>167</v>
      </c>
      <c r="C366" s="29" t="s">
        <v>72</v>
      </c>
      <c r="D366" s="29">
        <v>2</v>
      </c>
      <c r="E366" s="29"/>
      <c r="F366" s="29">
        <f>D366*E366</f>
        <v>0</v>
      </c>
      <c r="G366" s="29" t="s">
        <v>22</v>
      </c>
      <c r="H366" s="29" t="s">
        <v>27</v>
      </c>
      <c r="I366" s="29" t="s">
        <v>21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39">
        <f>D414*E414</f>
        <v>0</v>
      </c>
    </row>
    <row r="367" spans="1:21" x14ac:dyDescent="0.35">
      <c r="A367" s="32">
        <v>8</v>
      </c>
      <c r="B367" s="33" t="s">
        <v>209</v>
      </c>
      <c r="C367" s="29" t="s">
        <v>127</v>
      </c>
      <c r="D367" s="32">
        <v>10</v>
      </c>
    </row>
    <row r="368" spans="1:21" x14ac:dyDescent="0.35">
      <c r="A368" s="14">
        <v>9</v>
      </c>
      <c r="B368" s="34" t="s">
        <v>170</v>
      </c>
      <c r="C368" s="32" t="s">
        <v>208</v>
      </c>
      <c r="D368" s="34">
        <v>4</v>
      </c>
      <c r="E368" s="34">
        <v>240000</v>
      </c>
      <c r="F368" s="35">
        <f>D368*E368</f>
        <v>960000</v>
      </c>
      <c r="G368" s="34" t="s">
        <v>22</v>
      </c>
      <c r="H368" s="34" t="s">
        <v>27</v>
      </c>
      <c r="I368" s="34" t="s">
        <v>21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2">
        <f>D415*E415</f>
        <v>0</v>
      </c>
    </row>
    <row r="369" spans="1:21" x14ac:dyDescent="0.35">
      <c r="A369" s="14">
        <v>10</v>
      </c>
      <c r="B369" s="34" t="s">
        <v>156</v>
      </c>
      <c r="C369" s="34" t="s">
        <v>72</v>
      </c>
      <c r="D369" s="34">
        <v>6</v>
      </c>
      <c r="E369" s="34">
        <v>280000</v>
      </c>
      <c r="F369" s="34">
        <f>D369*E369</f>
        <v>1680000</v>
      </c>
      <c r="G369" s="34" t="s">
        <v>22</v>
      </c>
      <c r="H369" s="34" t="s">
        <v>27</v>
      </c>
      <c r="I369" s="34" t="s">
        <v>21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2"/>
    </row>
    <row r="370" spans="1:21" x14ac:dyDescent="0.35">
      <c r="A370" s="14">
        <v>11</v>
      </c>
      <c r="B370" s="34" t="s">
        <v>158</v>
      </c>
      <c r="C370" s="34" t="s">
        <v>72</v>
      </c>
      <c r="D370" s="34">
        <v>6</v>
      </c>
      <c r="E370" s="14">
        <v>90000</v>
      </c>
      <c r="F370" s="34">
        <f t="shared" ref="F370:F404" si="49">D370*E370</f>
        <v>540000</v>
      </c>
      <c r="G370" s="14"/>
      <c r="H370" s="14"/>
      <c r="I370" s="1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2"/>
    </row>
    <row r="371" spans="1:21" x14ac:dyDescent="0.35">
      <c r="A371" s="14">
        <v>12</v>
      </c>
      <c r="B371" s="34" t="s">
        <v>171</v>
      </c>
      <c r="C371" s="34" t="s">
        <v>72</v>
      </c>
      <c r="D371" s="34">
        <v>3</v>
      </c>
      <c r="E371" s="14">
        <v>26000</v>
      </c>
      <c r="F371" s="34">
        <f t="shared" si="49"/>
        <v>78000</v>
      </c>
      <c r="G371" s="14"/>
      <c r="H371" s="14"/>
      <c r="I371" s="1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2"/>
    </row>
    <row r="372" spans="1:21" x14ac:dyDescent="0.35">
      <c r="A372" s="14">
        <v>13</v>
      </c>
      <c r="B372" s="34" t="s">
        <v>172</v>
      </c>
      <c r="C372" s="34" t="s">
        <v>75</v>
      </c>
      <c r="D372" s="14"/>
      <c r="E372" s="14"/>
      <c r="F372" s="34">
        <f t="shared" si="49"/>
        <v>0</v>
      </c>
      <c r="G372" s="14"/>
      <c r="H372" s="14"/>
      <c r="I372" s="1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2"/>
    </row>
    <row r="373" spans="1:21" ht="29" x14ac:dyDescent="0.35">
      <c r="A373" s="14">
        <v>14</v>
      </c>
      <c r="B373" s="44" t="s">
        <v>229</v>
      </c>
      <c r="C373" s="14"/>
      <c r="D373" s="14">
        <v>1</v>
      </c>
      <c r="E373" s="14"/>
      <c r="F373" s="34">
        <f t="shared" si="49"/>
        <v>0</v>
      </c>
      <c r="G373" s="14"/>
      <c r="H373" s="14"/>
      <c r="I373" s="1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2"/>
    </row>
    <row r="374" spans="1:21" x14ac:dyDescent="0.35">
      <c r="A374" s="14">
        <v>15</v>
      </c>
      <c r="B374" s="34" t="s">
        <v>230</v>
      </c>
      <c r="C374" s="14" t="s">
        <v>72</v>
      </c>
      <c r="D374" s="14">
        <v>1</v>
      </c>
      <c r="E374" s="19">
        <v>480000</v>
      </c>
      <c r="F374" s="34">
        <f t="shared" si="49"/>
        <v>480000</v>
      </c>
      <c r="G374" s="14"/>
      <c r="H374" s="14"/>
      <c r="I374" s="1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2"/>
    </row>
    <row r="375" spans="1:21" s="15" customFormat="1" x14ac:dyDescent="0.35">
      <c r="A375" s="47">
        <v>16</v>
      </c>
      <c r="B375" s="14" t="s">
        <v>255</v>
      </c>
      <c r="C375" s="14" t="s">
        <v>72</v>
      </c>
      <c r="D375" s="14">
        <v>1</v>
      </c>
      <c r="E375" s="19">
        <v>490000</v>
      </c>
      <c r="F375" s="14">
        <f t="shared" si="49"/>
        <v>490000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45"/>
    </row>
    <row r="376" spans="1:21" s="15" customFormat="1" x14ac:dyDescent="0.35">
      <c r="A376" s="47"/>
      <c r="B376" s="14" t="s">
        <v>156</v>
      </c>
      <c r="C376" s="14" t="s">
        <v>72</v>
      </c>
      <c r="D376" s="14">
        <v>8</v>
      </c>
      <c r="E376" s="19">
        <v>280000</v>
      </c>
      <c r="F376" s="14">
        <f t="shared" si="49"/>
        <v>2240000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45"/>
    </row>
    <row r="377" spans="1:21" s="15" customFormat="1" x14ac:dyDescent="0.35">
      <c r="A377" s="47"/>
      <c r="B377" s="14" t="s">
        <v>170</v>
      </c>
      <c r="C377" s="14" t="s">
        <v>72</v>
      </c>
      <c r="D377" s="14">
        <v>2</v>
      </c>
      <c r="E377" s="51">
        <v>240000</v>
      </c>
      <c r="F377" s="14">
        <f t="shared" si="49"/>
        <v>480000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45"/>
    </row>
    <row r="378" spans="1:21" s="15" customFormat="1" x14ac:dyDescent="0.35">
      <c r="A378" s="47"/>
      <c r="B378" s="14" t="s">
        <v>256</v>
      </c>
      <c r="C378" s="14" t="s">
        <v>72</v>
      </c>
      <c r="D378" s="14">
        <v>1</v>
      </c>
      <c r="E378" s="14"/>
      <c r="F378" s="14">
        <f t="shared" si="49"/>
        <v>0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45"/>
    </row>
    <row r="379" spans="1:21" s="15" customFormat="1" x14ac:dyDescent="0.35">
      <c r="A379" s="47"/>
      <c r="B379" s="14"/>
      <c r="C379" s="14" t="s">
        <v>72</v>
      </c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45"/>
    </row>
    <row r="380" spans="1:21" x14ac:dyDescent="0.35">
      <c r="A380" s="14"/>
      <c r="B380" s="14"/>
      <c r="C380" s="14"/>
      <c r="D380" s="14"/>
      <c r="E380" s="14"/>
      <c r="F380" s="14">
        <f t="shared" si="49"/>
        <v>0</v>
      </c>
      <c r="G380" s="14"/>
      <c r="H380" s="14"/>
      <c r="I380" s="1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2">
        <f t="shared" ref="U380:U385" si="50">D482*E482</f>
        <v>0</v>
      </c>
    </row>
    <row r="381" spans="1:21" x14ac:dyDescent="0.35">
      <c r="A381" s="14" t="s">
        <v>162</v>
      </c>
      <c r="B381" s="14"/>
      <c r="C381" s="14"/>
      <c r="D381" s="14"/>
      <c r="E381" s="14"/>
      <c r="F381" s="14">
        <f t="shared" si="49"/>
        <v>0</v>
      </c>
      <c r="G381" s="14"/>
      <c r="H381" s="14"/>
      <c r="I381" s="1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2">
        <f t="shared" si="50"/>
        <v>0</v>
      </c>
    </row>
    <row r="382" spans="1:21" x14ac:dyDescent="0.35">
      <c r="A382" s="29">
        <v>1</v>
      </c>
      <c r="B382" s="29" t="s">
        <v>163</v>
      </c>
      <c r="C382" s="14"/>
      <c r="D382" s="29"/>
      <c r="E382" s="29"/>
      <c r="F382" s="29">
        <f t="shared" si="49"/>
        <v>0</v>
      </c>
      <c r="G382" s="29"/>
      <c r="H382" s="29"/>
      <c r="I382" s="2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2">
        <f t="shared" si="50"/>
        <v>0</v>
      </c>
    </row>
    <row r="383" spans="1:21" x14ac:dyDescent="0.35">
      <c r="A383" s="29">
        <v>2</v>
      </c>
      <c r="B383" s="29" t="s">
        <v>164</v>
      </c>
      <c r="C383" s="29"/>
      <c r="D383" s="29"/>
      <c r="E383" s="29"/>
      <c r="F383" s="29">
        <f t="shared" si="49"/>
        <v>0</v>
      </c>
      <c r="G383" s="29"/>
      <c r="H383" s="29"/>
      <c r="I383" s="2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2">
        <f t="shared" si="50"/>
        <v>0</v>
      </c>
    </row>
    <row r="384" spans="1:21" x14ac:dyDescent="0.35">
      <c r="A384" s="29">
        <v>3</v>
      </c>
      <c r="B384" s="29" t="s">
        <v>165</v>
      </c>
      <c r="C384" s="29"/>
      <c r="D384" s="29"/>
      <c r="E384" s="29"/>
      <c r="F384" s="29">
        <f t="shared" si="49"/>
        <v>0</v>
      </c>
      <c r="G384" s="29"/>
      <c r="H384" s="29"/>
      <c r="I384" s="2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2">
        <f t="shared" si="50"/>
        <v>0</v>
      </c>
    </row>
    <row r="385" spans="1:21" x14ac:dyDescent="0.35">
      <c r="A385" s="29">
        <v>4</v>
      </c>
      <c r="B385" s="29" t="s">
        <v>177</v>
      </c>
      <c r="C385" s="29"/>
      <c r="D385" s="29"/>
      <c r="E385" s="29"/>
      <c r="F385" s="29">
        <f t="shared" si="49"/>
        <v>0</v>
      </c>
      <c r="G385" s="29"/>
      <c r="H385" s="29"/>
      <c r="I385" s="2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2">
        <f t="shared" si="50"/>
        <v>0</v>
      </c>
    </row>
    <row r="386" spans="1:21" ht="29" x14ac:dyDescent="0.35">
      <c r="A386" s="29">
        <v>5</v>
      </c>
      <c r="B386" s="30" t="s">
        <v>221</v>
      </c>
      <c r="C386" s="29"/>
      <c r="D386" s="29">
        <v>1</v>
      </c>
      <c r="E386" s="38">
        <v>8430000</v>
      </c>
      <c r="F386" s="29">
        <f t="shared" si="49"/>
        <v>8430000</v>
      </c>
      <c r="G386" s="29"/>
      <c r="H386" s="29"/>
      <c r="I386" s="2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>
        <v>1</v>
      </c>
      <c r="U386" s="12">
        <f>D386*E386</f>
        <v>8430000</v>
      </c>
    </row>
    <row r="387" spans="1:21" s="49" customFormat="1" x14ac:dyDescent="0.35">
      <c r="A387" s="34">
        <v>6</v>
      </c>
      <c r="B387" s="44" t="s">
        <v>233</v>
      </c>
      <c r="C387" s="29" t="s">
        <v>217</v>
      </c>
      <c r="D387" s="34">
        <v>40</v>
      </c>
      <c r="E387" s="35">
        <v>1000</v>
      </c>
      <c r="F387" s="34">
        <f t="shared" si="49"/>
        <v>40000</v>
      </c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48"/>
    </row>
    <row r="388" spans="1:21" s="49" customFormat="1" x14ac:dyDescent="0.35">
      <c r="A388" s="34">
        <v>7</v>
      </c>
      <c r="B388" s="44" t="s">
        <v>234</v>
      </c>
      <c r="C388" s="34" t="s">
        <v>72</v>
      </c>
      <c r="D388" s="34">
        <v>4</v>
      </c>
      <c r="E388" s="35">
        <v>2500</v>
      </c>
      <c r="F388" s="34">
        <f t="shared" si="49"/>
        <v>10000</v>
      </c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48"/>
    </row>
    <row r="389" spans="1:21" s="49" customFormat="1" x14ac:dyDescent="0.35">
      <c r="A389" s="34">
        <v>8</v>
      </c>
      <c r="B389" s="44" t="s">
        <v>235</v>
      </c>
      <c r="C389" s="34" t="s">
        <v>83</v>
      </c>
      <c r="D389" s="34">
        <v>4</v>
      </c>
      <c r="E389" s="35">
        <v>1400</v>
      </c>
      <c r="F389" s="34">
        <f t="shared" si="49"/>
        <v>5600</v>
      </c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48"/>
    </row>
    <row r="390" spans="1:21" s="49" customFormat="1" x14ac:dyDescent="0.35">
      <c r="A390" s="34">
        <v>9</v>
      </c>
      <c r="B390" s="44" t="s">
        <v>236</v>
      </c>
      <c r="C390" s="34" t="s">
        <v>83</v>
      </c>
      <c r="D390" s="34">
        <v>5</v>
      </c>
      <c r="E390" s="35">
        <v>12000</v>
      </c>
      <c r="F390" s="34">
        <f t="shared" si="49"/>
        <v>60000</v>
      </c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48"/>
    </row>
    <row r="391" spans="1:21" s="49" customFormat="1" x14ac:dyDescent="0.35">
      <c r="A391" s="34">
        <v>10</v>
      </c>
      <c r="B391" s="44" t="s">
        <v>238</v>
      </c>
      <c r="C391" s="34" t="s">
        <v>237</v>
      </c>
      <c r="D391" s="34">
        <v>5</v>
      </c>
      <c r="E391" s="35">
        <v>1200</v>
      </c>
      <c r="F391" s="34">
        <f t="shared" si="49"/>
        <v>6000</v>
      </c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48"/>
    </row>
    <row r="392" spans="1:21" s="49" customFormat="1" x14ac:dyDescent="0.35">
      <c r="A392" s="34">
        <v>11</v>
      </c>
      <c r="B392" s="44" t="s">
        <v>239</v>
      </c>
      <c r="C392" s="34" t="s">
        <v>83</v>
      </c>
      <c r="D392" s="34">
        <v>12</v>
      </c>
      <c r="E392" s="35">
        <v>80</v>
      </c>
      <c r="F392" s="34">
        <f t="shared" si="49"/>
        <v>960</v>
      </c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48"/>
    </row>
    <row r="393" spans="1:21" s="49" customFormat="1" x14ac:dyDescent="0.35">
      <c r="A393" s="34">
        <v>12</v>
      </c>
      <c r="B393" s="44" t="s">
        <v>240</v>
      </c>
      <c r="C393" s="34" t="s">
        <v>74</v>
      </c>
      <c r="D393" s="34">
        <v>10</v>
      </c>
      <c r="E393" s="35">
        <v>380</v>
      </c>
      <c r="F393" s="34">
        <f t="shared" si="49"/>
        <v>3800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48"/>
    </row>
    <row r="394" spans="1:21" s="49" customFormat="1" x14ac:dyDescent="0.35">
      <c r="A394" s="34">
        <v>13</v>
      </c>
      <c r="B394" s="44" t="s">
        <v>241</v>
      </c>
      <c r="C394" s="34" t="s">
        <v>74</v>
      </c>
      <c r="D394" s="34">
        <v>30</v>
      </c>
      <c r="E394" s="35">
        <v>380</v>
      </c>
      <c r="F394" s="34">
        <f t="shared" si="49"/>
        <v>11400</v>
      </c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48"/>
    </row>
    <row r="395" spans="1:21" s="49" customFormat="1" x14ac:dyDescent="0.35">
      <c r="A395" s="34">
        <v>14</v>
      </c>
      <c r="B395" s="44" t="s">
        <v>242</v>
      </c>
      <c r="C395" s="34" t="s">
        <v>74</v>
      </c>
      <c r="D395" s="34">
        <v>30</v>
      </c>
      <c r="E395" s="35">
        <v>95</v>
      </c>
      <c r="F395" s="34">
        <f t="shared" si="49"/>
        <v>2850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48"/>
    </row>
    <row r="396" spans="1:21" s="49" customFormat="1" x14ac:dyDescent="0.35">
      <c r="A396" s="34">
        <v>15</v>
      </c>
      <c r="B396" s="44" t="s">
        <v>243</v>
      </c>
      <c r="C396" s="34" t="s">
        <v>74</v>
      </c>
      <c r="D396" s="34">
        <v>20</v>
      </c>
      <c r="E396" s="35">
        <v>120</v>
      </c>
      <c r="F396" s="34">
        <f t="shared" si="49"/>
        <v>2400</v>
      </c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48"/>
    </row>
    <row r="397" spans="1:21" s="49" customFormat="1" x14ac:dyDescent="0.35">
      <c r="A397" s="34">
        <v>16</v>
      </c>
      <c r="B397" s="44" t="s">
        <v>244</v>
      </c>
      <c r="C397" s="34" t="s">
        <v>74</v>
      </c>
      <c r="D397" s="34">
        <v>20</v>
      </c>
      <c r="E397" s="35">
        <v>970</v>
      </c>
      <c r="F397" s="34">
        <f t="shared" si="49"/>
        <v>19400</v>
      </c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48"/>
    </row>
    <row r="398" spans="1:21" s="49" customFormat="1" x14ac:dyDescent="0.35">
      <c r="A398" s="34">
        <v>17</v>
      </c>
      <c r="B398" s="44" t="s">
        <v>245</v>
      </c>
      <c r="C398" s="34" t="s">
        <v>74</v>
      </c>
      <c r="D398" s="34">
        <v>10</v>
      </c>
      <c r="E398" s="35">
        <v>490</v>
      </c>
      <c r="F398" s="34">
        <f t="shared" si="49"/>
        <v>4900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48"/>
    </row>
    <row r="399" spans="1:21" s="49" customFormat="1" x14ac:dyDescent="0.35">
      <c r="A399" s="34">
        <v>18</v>
      </c>
      <c r="B399" s="44" t="s">
        <v>246</v>
      </c>
      <c r="C399" s="34" t="s">
        <v>74</v>
      </c>
      <c r="D399" s="34">
        <v>10</v>
      </c>
      <c r="E399" s="35">
        <v>240</v>
      </c>
      <c r="F399" s="34">
        <f t="shared" si="49"/>
        <v>2400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48"/>
    </row>
    <row r="400" spans="1:21" s="49" customFormat="1" x14ac:dyDescent="0.35">
      <c r="A400" s="34">
        <v>19</v>
      </c>
      <c r="B400" s="44" t="s">
        <v>247</v>
      </c>
      <c r="C400" s="34" t="s">
        <v>83</v>
      </c>
      <c r="D400" s="34">
        <v>10</v>
      </c>
      <c r="E400" s="35">
        <v>120</v>
      </c>
      <c r="F400" s="34">
        <f t="shared" si="49"/>
        <v>1200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48"/>
    </row>
    <row r="401" spans="1:21" s="49" customFormat="1" x14ac:dyDescent="0.35">
      <c r="A401" s="34">
        <v>20</v>
      </c>
      <c r="B401" s="44" t="s">
        <v>248</v>
      </c>
      <c r="C401" s="34" t="s">
        <v>83</v>
      </c>
      <c r="D401" s="34">
        <v>4</v>
      </c>
      <c r="E401" s="35">
        <v>980</v>
      </c>
      <c r="F401" s="34">
        <f t="shared" si="49"/>
        <v>3920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48"/>
    </row>
    <row r="402" spans="1:21" s="49" customFormat="1" x14ac:dyDescent="0.35">
      <c r="A402" s="34">
        <v>21</v>
      </c>
      <c r="B402" s="44" t="s">
        <v>249</v>
      </c>
      <c r="C402" s="34" t="s">
        <v>74</v>
      </c>
      <c r="D402" s="34">
        <v>500</v>
      </c>
      <c r="E402" s="35">
        <v>480</v>
      </c>
      <c r="F402" s="34">
        <f t="shared" si="49"/>
        <v>240000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48"/>
    </row>
    <row r="403" spans="1:21" s="49" customFormat="1" x14ac:dyDescent="0.35">
      <c r="A403" s="34">
        <v>22</v>
      </c>
      <c r="B403" s="34" t="s">
        <v>250</v>
      </c>
      <c r="C403" s="34" t="s">
        <v>74</v>
      </c>
      <c r="D403" s="34">
        <v>2</v>
      </c>
      <c r="E403" s="35">
        <v>12800</v>
      </c>
      <c r="F403" s="34">
        <f t="shared" si="49"/>
        <v>25600</v>
      </c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48"/>
    </row>
    <row r="404" spans="1:21" s="49" customFormat="1" x14ac:dyDescent="0.35">
      <c r="A404" s="34">
        <v>23</v>
      </c>
      <c r="B404" s="34" t="s">
        <v>251</v>
      </c>
      <c r="C404" s="34" t="s">
        <v>74</v>
      </c>
      <c r="D404" s="34">
        <v>1</v>
      </c>
      <c r="E404" s="34">
        <v>24000</v>
      </c>
      <c r="F404" s="34">
        <f t="shared" si="49"/>
        <v>24000</v>
      </c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48">
        <f>D489*E489</f>
        <v>0</v>
      </c>
    </row>
    <row r="405" spans="1:21" x14ac:dyDescent="0.35">
      <c r="A405" s="14" t="s">
        <v>166</v>
      </c>
      <c r="B405" s="14"/>
      <c r="C405" s="34" t="s">
        <v>74</v>
      </c>
      <c r="D405" s="14"/>
      <c r="E405" s="14"/>
      <c r="F405" s="14"/>
      <c r="G405" s="14"/>
      <c r="H405" s="14"/>
      <c r="I405" s="1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2">
        <f>D490*E490</f>
        <v>0</v>
      </c>
    </row>
    <row r="406" spans="1:21" ht="43.5" x14ac:dyDescent="0.35">
      <c r="A406" s="29">
        <v>1</v>
      </c>
      <c r="B406" s="30" t="s">
        <v>168</v>
      </c>
      <c r="C406" s="14"/>
      <c r="D406" s="29">
        <v>1</v>
      </c>
      <c r="E406" s="31">
        <v>17000000</v>
      </c>
      <c r="F406" s="29">
        <f>D406*E406</f>
        <v>17000000</v>
      </c>
      <c r="G406" s="14"/>
      <c r="H406" s="14"/>
      <c r="I406" s="1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2"/>
    </row>
    <row r="407" spans="1:21" ht="43.5" x14ac:dyDescent="0.35">
      <c r="A407" s="29">
        <v>2</v>
      </c>
      <c r="B407" s="30" t="s">
        <v>169</v>
      </c>
      <c r="C407" s="29" t="s">
        <v>49</v>
      </c>
      <c r="D407" s="29">
        <v>1</v>
      </c>
      <c r="E407" s="29"/>
      <c r="F407" s="29">
        <f t="shared" ref="F407:F482" si="51">D407*E407</f>
        <v>0</v>
      </c>
      <c r="G407" s="14"/>
      <c r="H407" s="14"/>
      <c r="I407" s="1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2"/>
    </row>
    <row r="408" spans="1:21" x14ac:dyDescent="0.35">
      <c r="A408" s="14">
        <v>3</v>
      </c>
      <c r="B408" s="14"/>
      <c r="C408" s="29" t="s">
        <v>49</v>
      </c>
      <c r="D408" s="14"/>
      <c r="E408" s="14"/>
      <c r="F408" s="14">
        <f t="shared" si="51"/>
        <v>0</v>
      </c>
      <c r="G408" s="14"/>
      <c r="H408" s="14"/>
      <c r="I408" s="1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2"/>
    </row>
    <row r="409" spans="1:21" x14ac:dyDescent="0.35">
      <c r="A409" s="14"/>
      <c r="B409" s="14"/>
      <c r="C409" s="14"/>
      <c r="D409" s="14"/>
      <c r="E409" s="14"/>
      <c r="F409" s="14">
        <f t="shared" si="51"/>
        <v>0</v>
      </c>
      <c r="G409" s="14"/>
      <c r="H409" s="14"/>
      <c r="I409" s="1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2"/>
    </row>
    <row r="410" spans="1:21" x14ac:dyDescent="0.35">
      <c r="A410" s="14"/>
      <c r="B410" s="14"/>
      <c r="C410" s="14"/>
      <c r="D410" s="14"/>
      <c r="E410" s="14"/>
      <c r="F410" s="14">
        <f t="shared" si="51"/>
        <v>0</v>
      </c>
      <c r="G410" s="14"/>
      <c r="H410" s="14"/>
      <c r="I410" s="1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2"/>
    </row>
    <row r="411" spans="1:21" x14ac:dyDescent="0.35">
      <c r="A411" s="14"/>
      <c r="B411" s="14"/>
      <c r="C411" s="14"/>
      <c r="D411" s="14"/>
      <c r="E411" s="14"/>
      <c r="F411" s="14">
        <f t="shared" si="51"/>
        <v>0</v>
      </c>
      <c r="G411" s="14"/>
      <c r="H411" s="14"/>
      <c r="I411" s="1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2"/>
    </row>
    <row r="412" spans="1:21" x14ac:dyDescent="0.35">
      <c r="A412" s="14"/>
      <c r="B412" s="14"/>
      <c r="C412" s="14"/>
      <c r="D412" s="14"/>
      <c r="E412" s="14"/>
      <c r="F412" s="14">
        <f t="shared" si="51"/>
        <v>0</v>
      </c>
      <c r="G412" s="14"/>
      <c r="H412" s="14"/>
      <c r="I412" s="1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2"/>
    </row>
    <row r="413" spans="1:21" x14ac:dyDescent="0.35">
      <c r="A413" s="14" t="s">
        <v>218</v>
      </c>
      <c r="B413" s="14"/>
      <c r="C413" s="14"/>
      <c r="D413" s="14"/>
      <c r="E413" s="14"/>
      <c r="F413" s="14">
        <f t="shared" si="51"/>
        <v>0</v>
      </c>
      <c r="G413" s="14"/>
      <c r="H413" s="14"/>
      <c r="I413" s="1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2"/>
    </row>
    <row r="414" spans="1:21" s="40" customFormat="1" x14ac:dyDescent="0.35">
      <c r="A414" s="29">
        <v>1</v>
      </c>
      <c r="B414" s="29" t="s">
        <v>199</v>
      </c>
      <c r="C414" s="14"/>
      <c r="D414" s="29">
        <v>10</v>
      </c>
      <c r="E414" s="29"/>
      <c r="F414" s="29">
        <f t="shared" si="51"/>
        <v>0</v>
      </c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39">
        <f>D484*E484</f>
        <v>0</v>
      </c>
    </row>
    <row r="415" spans="1:21" x14ac:dyDescent="0.35">
      <c r="A415" s="14"/>
      <c r="B415" s="14"/>
      <c r="C415" s="29" t="s">
        <v>127</v>
      </c>
      <c r="D415" s="14"/>
      <c r="E415" s="14"/>
      <c r="F415" s="14">
        <f t="shared" si="51"/>
        <v>0</v>
      </c>
      <c r="G415" s="14"/>
      <c r="H415" s="14"/>
      <c r="I415" s="1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2">
        <f>D485*E485</f>
        <v>0</v>
      </c>
    </row>
    <row r="416" spans="1:21" x14ac:dyDescent="0.35">
      <c r="A416" s="14"/>
      <c r="B416" s="14"/>
      <c r="C416" s="14"/>
      <c r="D416" s="14"/>
      <c r="E416" s="14"/>
      <c r="F416" s="14">
        <f t="shared" si="51"/>
        <v>0</v>
      </c>
      <c r="G416" s="14"/>
      <c r="H416" s="14"/>
      <c r="I416" s="1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2"/>
    </row>
    <row r="417" spans="1:21" x14ac:dyDescent="0.35">
      <c r="A417" s="46" t="s">
        <v>219</v>
      </c>
      <c r="B417" s="14"/>
      <c r="C417" s="14"/>
      <c r="D417" s="14"/>
      <c r="E417" s="14"/>
      <c r="F417" s="14">
        <f t="shared" si="51"/>
        <v>0</v>
      </c>
      <c r="G417" s="14"/>
      <c r="H417" s="14"/>
      <c r="I417" s="1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2"/>
    </row>
    <row r="418" spans="1:21" s="40" customFormat="1" x14ac:dyDescent="0.35">
      <c r="A418" s="29">
        <v>1</v>
      </c>
      <c r="B418" s="29" t="s">
        <v>220</v>
      </c>
      <c r="C418" s="14"/>
      <c r="D418" s="29">
        <v>1</v>
      </c>
      <c r="E418" s="29">
        <v>1200000</v>
      </c>
      <c r="F418" s="29">
        <f t="shared" si="51"/>
        <v>1200000</v>
      </c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39"/>
    </row>
    <row r="419" spans="1:21" s="15" customFormat="1" x14ac:dyDescent="0.35">
      <c r="A419" s="14"/>
      <c r="B419" s="14"/>
      <c r="C419" s="29" t="s">
        <v>217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45"/>
    </row>
    <row r="420" spans="1:21" s="15" customForma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45"/>
    </row>
    <row r="421" spans="1:21" s="15" customForma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45"/>
    </row>
    <row r="422" spans="1:21" s="15" customForma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45"/>
    </row>
    <row r="423" spans="1:21" s="15" customForma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45"/>
    </row>
    <row r="424" spans="1:21" s="15" customFormat="1" x14ac:dyDescent="0.35">
      <c r="A424" s="46" t="s">
        <v>231</v>
      </c>
      <c r="B424" s="46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45"/>
    </row>
    <row r="425" spans="1:21" s="49" customFormat="1" x14ac:dyDescent="0.35">
      <c r="A425" s="34">
        <v>1</v>
      </c>
      <c r="B425" s="34" t="s">
        <v>232</v>
      </c>
      <c r="C425" s="14"/>
      <c r="D425" s="34">
        <v>10</v>
      </c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48"/>
    </row>
    <row r="426" spans="1:21" x14ac:dyDescent="0.35">
      <c r="A426" s="14"/>
      <c r="B426" s="14"/>
      <c r="C426" s="34" t="s">
        <v>72</v>
      </c>
      <c r="D426" s="14"/>
      <c r="E426" s="14"/>
      <c r="F426" s="14">
        <f t="shared" si="51"/>
        <v>0</v>
      </c>
      <c r="G426" s="14"/>
      <c r="H426" s="14"/>
      <c r="I426" s="1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2"/>
    </row>
    <row r="427" spans="1:21" x14ac:dyDescent="0.35">
      <c r="A427" s="14"/>
      <c r="B427" s="14"/>
      <c r="C427" s="14"/>
      <c r="D427" s="14"/>
      <c r="E427" s="14"/>
      <c r="F427" s="14">
        <f t="shared" si="51"/>
        <v>0</v>
      </c>
      <c r="G427" s="14"/>
      <c r="H427" s="14"/>
      <c r="I427" s="1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2"/>
    </row>
    <row r="428" spans="1:21" x14ac:dyDescent="0.35">
      <c r="A428" s="14"/>
      <c r="B428" s="14"/>
      <c r="C428" s="14"/>
      <c r="D428" s="14"/>
      <c r="E428" s="14"/>
      <c r="F428" s="14">
        <f t="shared" si="51"/>
        <v>0</v>
      </c>
      <c r="G428" s="14"/>
      <c r="H428" s="14"/>
      <c r="I428" s="1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2"/>
    </row>
    <row r="429" spans="1:21" x14ac:dyDescent="0.35">
      <c r="A429" s="46" t="s">
        <v>252</v>
      </c>
      <c r="B429" s="14"/>
      <c r="C429" s="14"/>
      <c r="D429" s="14"/>
      <c r="E429" s="14"/>
      <c r="F429" s="14">
        <f t="shared" si="51"/>
        <v>0</v>
      </c>
      <c r="G429" s="14"/>
      <c r="H429" s="14"/>
      <c r="I429" s="1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2"/>
    </row>
    <row r="430" spans="1:21" s="49" customFormat="1" ht="13.5" customHeight="1" x14ac:dyDescent="0.35">
      <c r="A430" s="34">
        <v>1</v>
      </c>
      <c r="B430" s="34" t="s">
        <v>253</v>
      </c>
      <c r="C430" s="14"/>
      <c r="D430" s="34">
        <v>3</v>
      </c>
      <c r="E430" s="34">
        <v>36000</v>
      </c>
      <c r="F430" s="34">
        <f t="shared" si="51"/>
        <v>108000</v>
      </c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48"/>
    </row>
    <row r="431" spans="1:21" s="49" customFormat="1" x14ac:dyDescent="0.35">
      <c r="A431" s="34">
        <v>2</v>
      </c>
      <c r="B431" s="34" t="s">
        <v>254</v>
      </c>
      <c r="C431" s="34" t="s">
        <v>72</v>
      </c>
      <c r="D431" s="34">
        <v>2</v>
      </c>
      <c r="E431" s="34">
        <v>64000</v>
      </c>
      <c r="F431" s="34">
        <f t="shared" si="51"/>
        <v>128000</v>
      </c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48"/>
    </row>
    <row r="432" spans="1:21" x14ac:dyDescent="0.35">
      <c r="A432" s="52">
        <v>3</v>
      </c>
      <c r="B432" s="52" t="s">
        <v>353</v>
      </c>
      <c r="C432" s="52" t="s">
        <v>72</v>
      </c>
      <c r="D432" s="78">
        <v>35</v>
      </c>
      <c r="E432" s="79">
        <v>10140</v>
      </c>
      <c r="F432" s="52">
        <f t="shared" si="51"/>
        <v>354900</v>
      </c>
      <c r="G432" s="52" t="s">
        <v>22</v>
      </c>
      <c r="H432" s="52" t="s">
        <v>27</v>
      </c>
      <c r="I432" s="52" t="s">
        <v>21</v>
      </c>
      <c r="J432" s="72" t="s">
        <v>24</v>
      </c>
      <c r="K432" s="72" t="s">
        <v>24</v>
      </c>
      <c r="L432" s="72" t="s">
        <v>24</v>
      </c>
      <c r="M432" s="52"/>
      <c r="N432" s="52"/>
      <c r="O432" s="52"/>
      <c r="P432" s="52"/>
      <c r="Q432" s="52"/>
      <c r="R432" s="52"/>
      <c r="S432" s="52"/>
      <c r="T432" s="52">
        <v>35</v>
      </c>
      <c r="U432" s="70">
        <f t="shared" ref="U432:U451" si="52">D432*E432</f>
        <v>354900</v>
      </c>
    </row>
    <row r="433" spans="1:21" ht="43.5" x14ac:dyDescent="0.35">
      <c r="A433" s="52">
        <v>4</v>
      </c>
      <c r="B433" s="80" t="s">
        <v>354</v>
      </c>
      <c r="C433" s="52" t="s">
        <v>127</v>
      </c>
      <c r="D433" s="78">
        <v>42</v>
      </c>
      <c r="E433" s="79">
        <v>16529</v>
      </c>
      <c r="F433" s="52">
        <f t="shared" si="51"/>
        <v>694218</v>
      </c>
      <c r="G433" s="52" t="s">
        <v>22</v>
      </c>
      <c r="H433" s="52" t="s">
        <v>27</v>
      </c>
      <c r="I433" s="52" t="s">
        <v>21</v>
      </c>
      <c r="J433" s="72" t="s">
        <v>24</v>
      </c>
      <c r="K433" s="72" t="s">
        <v>24</v>
      </c>
      <c r="L433" s="72" t="s">
        <v>24</v>
      </c>
      <c r="M433" s="52"/>
      <c r="N433" s="52"/>
      <c r="O433" s="52"/>
      <c r="P433" s="52"/>
      <c r="Q433" s="52"/>
      <c r="R433" s="52"/>
      <c r="S433" s="52"/>
      <c r="T433" s="52">
        <v>42</v>
      </c>
      <c r="U433" s="70">
        <f t="shared" si="52"/>
        <v>694218</v>
      </c>
    </row>
    <row r="434" spans="1:21" ht="29" x14ac:dyDescent="0.35">
      <c r="A434" s="52">
        <v>5</v>
      </c>
      <c r="B434" s="80" t="s">
        <v>355</v>
      </c>
      <c r="C434" s="52" t="s">
        <v>127</v>
      </c>
      <c r="D434" s="78">
        <v>10</v>
      </c>
      <c r="E434" s="78">
        <v>34552</v>
      </c>
      <c r="F434" s="52">
        <f t="shared" si="51"/>
        <v>345520</v>
      </c>
      <c r="G434" s="52" t="s">
        <v>22</v>
      </c>
      <c r="H434" s="52" t="s">
        <v>27</v>
      </c>
      <c r="I434" s="52" t="s">
        <v>21</v>
      </c>
      <c r="J434" s="72" t="s">
        <v>24</v>
      </c>
      <c r="K434" s="72" t="s">
        <v>24</v>
      </c>
      <c r="L434" s="72" t="s">
        <v>24</v>
      </c>
      <c r="M434" s="52"/>
      <c r="N434" s="52"/>
      <c r="O434" s="52"/>
      <c r="P434" s="52"/>
      <c r="Q434" s="52"/>
      <c r="R434" s="52"/>
      <c r="S434" s="52"/>
      <c r="T434" s="52">
        <v>10</v>
      </c>
      <c r="U434" s="70">
        <f t="shared" si="52"/>
        <v>345520</v>
      </c>
    </row>
    <row r="435" spans="1:21" ht="29.25" customHeight="1" x14ac:dyDescent="0.35">
      <c r="A435" s="52">
        <v>6</v>
      </c>
      <c r="B435" s="80" t="s">
        <v>356</v>
      </c>
      <c r="C435" s="52" t="s">
        <v>127</v>
      </c>
      <c r="D435" s="78">
        <v>20</v>
      </c>
      <c r="E435" s="78">
        <v>5821</v>
      </c>
      <c r="F435" s="52">
        <f t="shared" si="51"/>
        <v>116420</v>
      </c>
      <c r="G435" s="52" t="s">
        <v>22</v>
      </c>
      <c r="H435" s="52" t="s">
        <v>27</v>
      </c>
      <c r="I435" s="52" t="s">
        <v>21</v>
      </c>
      <c r="J435" s="72" t="s">
        <v>24</v>
      </c>
      <c r="K435" s="72" t="s">
        <v>24</v>
      </c>
      <c r="L435" s="72" t="s">
        <v>24</v>
      </c>
      <c r="M435" s="52"/>
      <c r="N435" s="52"/>
      <c r="O435" s="52"/>
      <c r="P435" s="52"/>
      <c r="Q435" s="52"/>
      <c r="R435" s="52"/>
      <c r="S435" s="52"/>
      <c r="T435" s="52">
        <v>20</v>
      </c>
      <c r="U435" s="70">
        <f t="shared" si="52"/>
        <v>116420</v>
      </c>
    </row>
    <row r="436" spans="1:21" x14ac:dyDescent="0.35">
      <c r="A436" s="52">
        <v>7</v>
      </c>
      <c r="B436" s="80" t="s">
        <v>357</v>
      </c>
      <c r="C436" s="52" t="s">
        <v>127</v>
      </c>
      <c r="D436" s="78">
        <v>6</v>
      </c>
      <c r="E436" s="78">
        <v>35000</v>
      </c>
      <c r="F436" s="52">
        <f t="shared" si="51"/>
        <v>210000</v>
      </c>
      <c r="G436" s="52" t="s">
        <v>22</v>
      </c>
      <c r="H436" s="52" t="s">
        <v>27</v>
      </c>
      <c r="I436" s="52" t="s">
        <v>21</v>
      </c>
      <c r="J436" s="72" t="s">
        <v>24</v>
      </c>
      <c r="K436" s="72" t="s">
        <v>24</v>
      </c>
      <c r="L436" s="72" t="s">
        <v>24</v>
      </c>
      <c r="M436" s="52"/>
      <c r="N436" s="52"/>
      <c r="O436" s="52"/>
      <c r="P436" s="52"/>
      <c r="Q436" s="52"/>
      <c r="R436" s="52"/>
      <c r="S436" s="52"/>
      <c r="T436" s="52">
        <v>6</v>
      </c>
      <c r="U436" s="70">
        <f t="shared" si="52"/>
        <v>210000</v>
      </c>
    </row>
    <row r="437" spans="1:21" x14ac:dyDescent="0.35">
      <c r="A437" s="52">
        <v>8</v>
      </c>
      <c r="B437" s="80" t="s">
        <v>358</v>
      </c>
      <c r="C437" s="52" t="s">
        <v>127</v>
      </c>
      <c r="D437" s="78">
        <v>4</v>
      </c>
      <c r="E437" s="78">
        <v>11500</v>
      </c>
      <c r="F437" s="52">
        <f t="shared" si="51"/>
        <v>46000</v>
      </c>
      <c r="G437" s="52" t="s">
        <v>22</v>
      </c>
      <c r="H437" s="52" t="s">
        <v>27</v>
      </c>
      <c r="I437" s="52" t="s">
        <v>21</v>
      </c>
      <c r="J437" s="72" t="s">
        <v>24</v>
      </c>
      <c r="K437" s="72" t="s">
        <v>24</v>
      </c>
      <c r="L437" s="72" t="s">
        <v>24</v>
      </c>
      <c r="M437" s="52"/>
      <c r="N437" s="52"/>
      <c r="O437" s="52"/>
      <c r="P437" s="52"/>
      <c r="Q437" s="52"/>
      <c r="R437" s="52"/>
      <c r="S437" s="52"/>
      <c r="T437" s="52">
        <v>4</v>
      </c>
      <c r="U437" s="70">
        <f t="shared" si="52"/>
        <v>46000</v>
      </c>
    </row>
    <row r="438" spans="1:21" x14ac:dyDescent="0.35">
      <c r="A438" s="52">
        <v>9</v>
      </c>
      <c r="B438" s="80" t="s">
        <v>359</v>
      </c>
      <c r="C438" s="52" t="s">
        <v>127</v>
      </c>
      <c r="D438" s="78">
        <v>4</v>
      </c>
      <c r="E438" s="78">
        <v>7000</v>
      </c>
      <c r="F438" s="52">
        <f t="shared" si="51"/>
        <v>28000</v>
      </c>
      <c r="G438" s="52" t="s">
        <v>22</v>
      </c>
      <c r="H438" s="52" t="s">
        <v>27</v>
      </c>
      <c r="I438" s="52" t="s">
        <v>21</v>
      </c>
      <c r="J438" s="72" t="s">
        <v>24</v>
      </c>
      <c r="K438" s="72" t="s">
        <v>24</v>
      </c>
      <c r="L438" s="72" t="s">
        <v>24</v>
      </c>
      <c r="M438" s="52"/>
      <c r="N438" s="52"/>
      <c r="O438" s="52"/>
      <c r="P438" s="52"/>
      <c r="Q438" s="52"/>
      <c r="R438" s="52"/>
      <c r="S438" s="52"/>
      <c r="T438" s="52">
        <v>4</v>
      </c>
      <c r="U438" s="70">
        <f t="shared" si="52"/>
        <v>28000</v>
      </c>
    </row>
    <row r="439" spans="1:21" ht="29" x14ac:dyDescent="0.35">
      <c r="A439" s="52">
        <v>10</v>
      </c>
      <c r="B439" s="80" t="s">
        <v>360</v>
      </c>
      <c r="C439" s="52" t="s">
        <v>127</v>
      </c>
      <c r="D439" s="78">
        <v>2</v>
      </c>
      <c r="E439" s="78">
        <v>57868</v>
      </c>
      <c r="F439" s="52">
        <f t="shared" si="51"/>
        <v>115736</v>
      </c>
      <c r="G439" s="52" t="s">
        <v>22</v>
      </c>
      <c r="H439" s="52" t="s">
        <v>27</v>
      </c>
      <c r="I439" s="52" t="s">
        <v>21</v>
      </c>
      <c r="J439" s="72" t="s">
        <v>24</v>
      </c>
      <c r="K439" s="72" t="s">
        <v>24</v>
      </c>
      <c r="L439" s="72" t="s">
        <v>24</v>
      </c>
      <c r="M439" s="52"/>
      <c r="N439" s="52"/>
      <c r="O439" s="52"/>
      <c r="P439" s="52"/>
      <c r="Q439" s="52"/>
      <c r="R439" s="52"/>
      <c r="S439" s="52"/>
      <c r="T439" s="52">
        <v>2</v>
      </c>
      <c r="U439" s="70">
        <f t="shared" si="52"/>
        <v>115736</v>
      </c>
    </row>
    <row r="440" spans="1:21" ht="29" x14ac:dyDescent="0.35">
      <c r="A440" s="52">
        <v>11</v>
      </c>
      <c r="B440" s="80" t="s">
        <v>361</v>
      </c>
      <c r="C440" s="52" t="s">
        <v>127</v>
      </c>
      <c r="D440" s="78">
        <v>1</v>
      </c>
      <c r="E440" s="78">
        <v>32626</v>
      </c>
      <c r="F440" s="52">
        <f t="shared" si="51"/>
        <v>32626</v>
      </c>
      <c r="G440" s="52" t="s">
        <v>22</v>
      </c>
      <c r="H440" s="52" t="s">
        <v>27</v>
      </c>
      <c r="I440" s="52" t="s">
        <v>21</v>
      </c>
      <c r="J440" s="72" t="s">
        <v>24</v>
      </c>
      <c r="K440" s="72" t="s">
        <v>24</v>
      </c>
      <c r="L440" s="72" t="s">
        <v>24</v>
      </c>
      <c r="M440" s="52"/>
      <c r="N440" s="52"/>
      <c r="O440" s="52"/>
      <c r="P440" s="52"/>
      <c r="Q440" s="52"/>
      <c r="R440" s="52"/>
      <c r="S440" s="52"/>
      <c r="T440" s="52">
        <v>1</v>
      </c>
      <c r="U440" s="70">
        <f t="shared" si="52"/>
        <v>32626</v>
      </c>
    </row>
    <row r="441" spans="1:21" ht="29" x14ac:dyDescent="0.35">
      <c r="A441" s="52">
        <v>12</v>
      </c>
      <c r="B441" s="80" t="s">
        <v>362</v>
      </c>
      <c r="C441" s="52" t="s">
        <v>127</v>
      </c>
      <c r="D441" s="78">
        <v>1</v>
      </c>
      <c r="E441" s="78">
        <v>31240</v>
      </c>
      <c r="F441" s="52">
        <f t="shared" si="51"/>
        <v>31240</v>
      </c>
      <c r="G441" s="52" t="s">
        <v>22</v>
      </c>
      <c r="H441" s="52" t="s">
        <v>27</v>
      </c>
      <c r="I441" s="52" t="s">
        <v>21</v>
      </c>
      <c r="J441" s="72" t="s">
        <v>24</v>
      </c>
      <c r="K441" s="72" t="s">
        <v>24</v>
      </c>
      <c r="L441" s="72" t="s">
        <v>24</v>
      </c>
      <c r="M441" s="52"/>
      <c r="N441" s="52"/>
      <c r="O441" s="52"/>
      <c r="P441" s="52"/>
      <c r="Q441" s="52"/>
      <c r="R441" s="52"/>
      <c r="S441" s="52"/>
      <c r="T441" s="52">
        <v>1</v>
      </c>
      <c r="U441" s="70">
        <f t="shared" si="52"/>
        <v>31240</v>
      </c>
    </row>
    <row r="442" spans="1:21" ht="58" x14ac:dyDescent="0.35">
      <c r="A442" s="52">
        <v>13</v>
      </c>
      <c r="B442" s="80" t="s">
        <v>363</v>
      </c>
      <c r="C442" s="52" t="s">
        <v>127</v>
      </c>
      <c r="D442" s="78">
        <v>1</v>
      </c>
      <c r="E442" s="78">
        <v>24878</v>
      </c>
      <c r="F442" s="52">
        <f t="shared" si="51"/>
        <v>24878</v>
      </c>
      <c r="G442" s="52" t="s">
        <v>22</v>
      </c>
      <c r="H442" s="52" t="s">
        <v>27</v>
      </c>
      <c r="I442" s="52" t="s">
        <v>21</v>
      </c>
      <c r="J442" s="72" t="s">
        <v>24</v>
      </c>
      <c r="K442" s="72" t="s">
        <v>24</v>
      </c>
      <c r="L442" s="72" t="s">
        <v>24</v>
      </c>
      <c r="M442" s="52"/>
      <c r="N442" s="52"/>
      <c r="O442" s="52"/>
      <c r="P442" s="52"/>
      <c r="Q442" s="52"/>
      <c r="R442" s="52"/>
      <c r="S442" s="52"/>
      <c r="T442" s="52">
        <v>1</v>
      </c>
      <c r="U442" s="70">
        <f t="shared" si="52"/>
        <v>24878</v>
      </c>
    </row>
    <row r="443" spans="1:21" ht="29" x14ac:dyDescent="0.35">
      <c r="A443" s="52">
        <v>14</v>
      </c>
      <c r="B443" s="80" t="s">
        <v>364</v>
      </c>
      <c r="C443" s="52" t="s">
        <v>127</v>
      </c>
      <c r="D443" s="78">
        <v>1</v>
      </c>
      <c r="E443" s="78">
        <v>17815</v>
      </c>
      <c r="F443" s="52">
        <f t="shared" si="51"/>
        <v>17815</v>
      </c>
      <c r="G443" s="52" t="s">
        <v>22</v>
      </c>
      <c r="H443" s="52" t="s">
        <v>27</v>
      </c>
      <c r="I443" s="52" t="s">
        <v>21</v>
      </c>
      <c r="J443" s="72" t="s">
        <v>24</v>
      </c>
      <c r="K443" s="72" t="s">
        <v>24</v>
      </c>
      <c r="L443" s="72" t="s">
        <v>24</v>
      </c>
      <c r="M443" s="52"/>
      <c r="N443" s="52"/>
      <c r="O443" s="52"/>
      <c r="P443" s="52"/>
      <c r="Q443" s="52"/>
      <c r="R443" s="52"/>
      <c r="S443" s="52"/>
      <c r="T443" s="52">
        <v>1</v>
      </c>
      <c r="U443" s="70">
        <f t="shared" si="52"/>
        <v>17815</v>
      </c>
    </row>
    <row r="444" spans="1:21" ht="43.5" x14ac:dyDescent="0.35">
      <c r="A444" s="52">
        <v>15</v>
      </c>
      <c r="B444" s="80" t="s">
        <v>365</v>
      </c>
      <c r="C444" s="52"/>
      <c r="D444" s="78">
        <v>1</v>
      </c>
      <c r="E444" s="79">
        <v>81880</v>
      </c>
      <c r="F444" s="52">
        <f t="shared" si="51"/>
        <v>81880</v>
      </c>
      <c r="G444" s="52" t="s">
        <v>22</v>
      </c>
      <c r="H444" s="52" t="s">
        <v>27</v>
      </c>
      <c r="I444" s="52" t="s">
        <v>21</v>
      </c>
      <c r="J444" s="72" t="s">
        <v>24</v>
      </c>
      <c r="K444" s="72" t="s">
        <v>24</v>
      </c>
      <c r="L444" s="72" t="s">
        <v>24</v>
      </c>
      <c r="M444" s="52"/>
      <c r="N444" s="52"/>
      <c r="O444" s="52"/>
      <c r="P444" s="52"/>
      <c r="Q444" s="52"/>
      <c r="R444" s="52"/>
      <c r="S444" s="52"/>
      <c r="T444" s="52">
        <v>1</v>
      </c>
      <c r="U444" s="70">
        <f t="shared" si="52"/>
        <v>81880</v>
      </c>
    </row>
    <row r="445" spans="1:21" ht="29" x14ac:dyDescent="0.35">
      <c r="A445" s="52">
        <v>16</v>
      </c>
      <c r="B445" s="80" t="s">
        <v>366</v>
      </c>
      <c r="C445" s="52" t="s">
        <v>49</v>
      </c>
      <c r="D445" s="78">
        <v>1</v>
      </c>
      <c r="E445" s="78">
        <v>7820</v>
      </c>
      <c r="F445" s="52">
        <f t="shared" si="51"/>
        <v>7820</v>
      </c>
      <c r="G445" s="52" t="s">
        <v>22</v>
      </c>
      <c r="H445" s="52" t="s">
        <v>27</v>
      </c>
      <c r="I445" s="52" t="s">
        <v>21</v>
      </c>
      <c r="J445" s="72" t="s">
        <v>24</v>
      </c>
      <c r="K445" s="72" t="s">
        <v>24</v>
      </c>
      <c r="L445" s="72" t="s">
        <v>24</v>
      </c>
      <c r="M445" s="52"/>
      <c r="N445" s="52"/>
      <c r="O445" s="52"/>
      <c r="P445" s="52"/>
      <c r="Q445" s="52"/>
      <c r="R445" s="52"/>
      <c r="S445" s="52"/>
      <c r="T445" s="52">
        <v>1</v>
      </c>
      <c r="U445" s="70">
        <f t="shared" si="52"/>
        <v>7820</v>
      </c>
    </row>
    <row r="446" spans="1:21" ht="29" x14ac:dyDescent="0.35">
      <c r="A446" s="52">
        <v>17</v>
      </c>
      <c r="B446" s="80" t="s">
        <v>367</v>
      </c>
      <c r="C446" s="52" t="s">
        <v>49</v>
      </c>
      <c r="D446" s="78">
        <v>2</v>
      </c>
      <c r="E446" s="78">
        <v>22000</v>
      </c>
      <c r="F446" s="52">
        <f t="shared" si="51"/>
        <v>44000</v>
      </c>
      <c r="G446" s="52" t="s">
        <v>22</v>
      </c>
      <c r="H446" s="52" t="s">
        <v>27</v>
      </c>
      <c r="I446" s="52" t="s">
        <v>21</v>
      </c>
      <c r="J446" s="72" t="s">
        <v>24</v>
      </c>
      <c r="K446" s="72" t="s">
        <v>24</v>
      </c>
      <c r="L446" s="72" t="s">
        <v>24</v>
      </c>
      <c r="M446" s="52"/>
      <c r="N446" s="52"/>
      <c r="O446" s="52"/>
      <c r="P446" s="52"/>
      <c r="Q446" s="52"/>
      <c r="R446" s="52"/>
      <c r="S446" s="52"/>
      <c r="T446" s="52">
        <v>2</v>
      </c>
      <c r="U446" s="70">
        <f t="shared" si="52"/>
        <v>44000</v>
      </c>
    </row>
    <row r="447" spans="1:21" ht="29" x14ac:dyDescent="0.35">
      <c r="A447" s="52">
        <v>18</v>
      </c>
      <c r="B447" s="80" t="s">
        <v>368</v>
      </c>
      <c r="C447" s="52" t="s">
        <v>49</v>
      </c>
      <c r="D447" s="78">
        <v>1</v>
      </c>
      <c r="E447" s="79">
        <v>96528</v>
      </c>
      <c r="F447" s="52">
        <f t="shared" si="51"/>
        <v>96528</v>
      </c>
      <c r="G447" s="52" t="s">
        <v>22</v>
      </c>
      <c r="H447" s="52" t="s">
        <v>27</v>
      </c>
      <c r="I447" s="52" t="s">
        <v>21</v>
      </c>
      <c r="J447" s="72" t="s">
        <v>24</v>
      </c>
      <c r="K447" s="72" t="s">
        <v>24</v>
      </c>
      <c r="L447" s="72" t="s">
        <v>24</v>
      </c>
      <c r="M447" s="52"/>
      <c r="N447" s="52"/>
      <c r="O447" s="52"/>
      <c r="P447" s="52"/>
      <c r="Q447" s="52"/>
      <c r="R447" s="52"/>
      <c r="S447" s="52"/>
      <c r="T447" s="52">
        <v>1</v>
      </c>
      <c r="U447" s="70">
        <f t="shared" si="52"/>
        <v>96528</v>
      </c>
    </row>
    <row r="448" spans="1:21" x14ac:dyDescent="0.35">
      <c r="A448" s="52">
        <v>19</v>
      </c>
      <c r="B448" s="80" t="s">
        <v>369</v>
      </c>
      <c r="C448" s="52" t="s">
        <v>49</v>
      </c>
      <c r="D448" s="78">
        <v>3</v>
      </c>
      <c r="E448" s="79">
        <v>12542</v>
      </c>
      <c r="F448" s="52">
        <f t="shared" si="51"/>
        <v>37626</v>
      </c>
      <c r="G448" s="52" t="s">
        <v>22</v>
      </c>
      <c r="H448" s="52" t="s">
        <v>27</v>
      </c>
      <c r="I448" s="52" t="s">
        <v>21</v>
      </c>
      <c r="J448" s="72" t="s">
        <v>24</v>
      </c>
      <c r="K448" s="72" t="s">
        <v>24</v>
      </c>
      <c r="L448" s="72" t="s">
        <v>24</v>
      </c>
      <c r="M448" s="52"/>
      <c r="N448" s="52"/>
      <c r="O448" s="52"/>
      <c r="P448" s="52"/>
      <c r="Q448" s="52"/>
      <c r="R448" s="52"/>
      <c r="S448" s="52"/>
      <c r="T448" s="52">
        <v>3</v>
      </c>
      <c r="U448" s="70">
        <f t="shared" si="52"/>
        <v>37626</v>
      </c>
    </row>
    <row r="449" spans="1:21" ht="29" x14ac:dyDescent="0.35">
      <c r="A449" s="52">
        <v>20</v>
      </c>
      <c r="B449" s="80" t="s">
        <v>370</v>
      </c>
      <c r="C449" s="52" t="s">
        <v>49</v>
      </c>
      <c r="D449" s="78">
        <v>10</v>
      </c>
      <c r="E449" s="78">
        <v>3220</v>
      </c>
      <c r="F449" s="52">
        <f t="shared" si="51"/>
        <v>32200</v>
      </c>
      <c r="G449" s="52" t="s">
        <v>22</v>
      </c>
      <c r="H449" s="52" t="s">
        <v>27</v>
      </c>
      <c r="I449" s="52" t="s">
        <v>21</v>
      </c>
      <c r="J449" s="72" t="s">
        <v>24</v>
      </c>
      <c r="K449" s="72" t="s">
        <v>24</v>
      </c>
      <c r="L449" s="72" t="s">
        <v>24</v>
      </c>
      <c r="M449" s="52"/>
      <c r="N449" s="52"/>
      <c r="O449" s="52"/>
      <c r="P449" s="52"/>
      <c r="Q449" s="52"/>
      <c r="R449" s="52"/>
      <c r="S449" s="52"/>
      <c r="T449" s="52">
        <v>10</v>
      </c>
      <c r="U449" s="70">
        <f t="shared" si="52"/>
        <v>32200</v>
      </c>
    </row>
    <row r="450" spans="1:21" ht="15.5" x14ac:dyDescent="0.35">
      <c r="A450" s="52">
        <v>21</v>
      </c>
      <c r="B450" s="95" t="s">
        <v>142</v>
      </c>
      <c r="C450" s="52" t="s">
        <v>62</v>
      </c>
      <c r="D450" s="52">
        <v>20</v>
      </c>
      <c r="E450" s="79">
        <v>75000</v>
      </c>
      <c r="F450" s="52">
        <v>1500000</v>
      </c>
      <c r="G450" s="52" t="s">
        <v>22</v>
      </c>
      <c r="H450" s="52" t="s">
        <v>27</v>
      </c>
      <c r="I450" s="52" t="s">
        <v>21</v>
      </c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>
        <v>20</v>
      </c>
      <c r="U450" s="70">
        <v>1500000</v>
      </c>
    </row>
    <row r="451" spans="1:21" x14ac:dyDescent="0.35">
      <c r="A451" s="52"/>
      <c r="B451" s="52"/>
      <c r="C451" s="52"/>
      <c r="D451" s="52"/>
      <c r="E451" s="77"/>
      <c r="F451" s="87">
        <f>SUM(F430:F450)</f>
        <v>4053407</v>
      </c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70">
        <f t="shared" si="52"/>
        <v>0</v>
      </c>
    </row>
    <row r="452" spans="1:21" s="15" customFormat="1" x14ac:dyDescent="0.35">
      <c r="A452" s="14"/>
      <c r="B452" s="14"/>
      <c r="C452" s="52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45"/>
    </row>
    <row r="453" spans="1:21" s="15" customForma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45"/>
    </row>
    <row r="454" spans="1:21" s="15" customForma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45"/>
    </row>
    <row r="455" spans="1:21" s="15" customForma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45"/>
    </row>
    <row r="456" spans="1:21" s="15" customForma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45"/>
    </row>
    <row r="457" spans="1:21" s="15" customForma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45"/>
    </row>
    <row r="458" spans="1:21" s="15" customForma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45"/>
    </row>
    <row r="459" spans="1:21" s="15" customForma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45"/>
    </row>
    <row r="460" spans="1:21" s="15" customForma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45"/>
    </row>
    <row r="461" spans="1:21" s="15" customForma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45"/>
    </row>
    <row r="462" spans="1:21" s="15" customForma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45"/>
    </row>
    <row r="463" spans="1:21" s="15" customForma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45"/>
    </row>
    <row r="464" spans="1:21" s="15" customForma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45"/>
    </row>
    <row r="465" spans="1:21" s="15" customForma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45"/>
    </row>
    <row r="466" spans="1:21" s="15" customForma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45"/>
    </row>
    <row r="467" spans="1:21" s="15" customForma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45"/>
    </row>
    <row r="468" spans="1:21" s="15" customForma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45"/>
    </row>
    <row r="469" spans="1:21" s="15" customFormat="1" x14ac:dyDescent="0.35">
      <c r="A469" s="14" t="s">
        <v>257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45"/>
    </row>
    <row r="470" spans="1:21" s="15" customFormat="1" ht="29" x14ac:dyDescent="0.35">
      <c r="A470" s="29">
        <v>1</v>
      </c>
      <c r="B470" s="30" t="s">
        <v>203</v>
      </c>
      <c r="C470" s="14"/>
      <c r="D470" s="29">
        <v>5</v>
      </c>
      <c r="E470" s="29"/>
      <c r="F470" s="38">
        <f t="shared" ref="F470:F475" si="53">D470*E470</f>
        <v>0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39"/>
    </row>
    <row r="471" spans="1:21" s="15" customFormat="1" ht="43.5" x14ac:dyDescent="0.35">
      <c r="A471" s="14">
        <v>2</v>
      </c>
      <c r="B471" s="50" t="s">
        <v>259</v>
      </c>
      <c r="C471" s="29" t="s">
        <v>127</v>
      </c>
      <c r="D471" s="14">
        <v>1</v>
      </c>
      <c r="E471" s="14">
        <v>318000</v>
      </c>
      <c r="F471" s="19">
        <f t="shared" si="53"/>
        <v>318000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45"/>
    </row>
    <row r="472" spans="1:21" s="15" customFormat="1" x14ac:dyDescent="0.35">
      <c r="A472" s="14">
        <v>3</v>
      </c>
      <c r="B472" s="14" t="s">
        <v>260</v>
      </c>
      <c r="C472" s="14" t="s">
        <v>127</v>
      </c>
      <c r="D472" s="14">
        <v>1</v>
      </c>
      <c r="E472" s="14">
        <v>157113</v>
      </c>
      <c r="F472" s="19">
        <f t="shared" si="53"/>
        <v>157113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45"/>
    </row>
    <row r="473" spans="1:21" s="15" customFormat="1" x14ac:dyDescent="0.35">
      <c r="A473" s="14">
        <v>4</v>
      </c>
      <c r="B473" s="14" t="s">
        <v>261</v>
      </c>
      <c r="C473" s="14" t="s">
        <v>127</v>
      </c>
      <c r="D473" s="14">
        <v>1</v>
      </c>
      <c r="E473" s="14">
        <v>13250</v>
      </c>
      <c r="F473" s="19">
        <f t="shared" si="53"/>
        <v>13250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45"/>
    </row>
    <row r="474" spans="1:21" s="15" customFormat="1" ht="29" x14ac:dyDescent="0.35">
      <c r="A474" s="14">
        <v>5</v>
      </c>
      <c r="B474" s="50" t="s">
        <v>262</v>
      </c>
      <c r="C474" s="14" t="s">
        <v>127</v>
      </c>
      <c r="D474" s="14">
        <v>1</v>
      </c>
      <c r="E474" s="14">
        <v>397500</v>
      </c>
      <c r="F474" s="14">
        <f t="shared" si="53"/>
        <v>397500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45"/>
    </row>
    <row r="475" spans="1:21" s="15" customFormat="1" x14ac:dyDescent="0.35">
      <c r="A475" s="14">
        <v>6</v>
      </c>
      <c r="B475" s="14" t="s">
        <v>263</v>
      </c>
      <c r="C475" s="14" t="s">
        <v>127</v>
      </c>
      <c r="D475" s="14">
        <v>1</v>
      </c>
      <c r="E475" s="14">
        <v>260000</v>
      </c>
      <c r="F475" s="14">
        <f t="shared" si="53"/>
        <v>260000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45"/>
    </row>
    <row r="476" spans="1:21" s="15" customFormat="1" x14ac:dyDescent="0.35">
      <c r="A476" s="14"/>
      <c r="B476" s="14"/>
      <c r="C476" s="14" t="s">
        <v>127</v>
      </c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45"/>
    </row>
    <row r="477" spans="1:21" s="15" customFormat="1" ht="15.5" x14ac:dyDescent="0.35">
      <c r="A477" s="140" t="s">
        <v>385</v>
      </c>
      <c r="B477" s="141"/>
      <c r="C477" s="14"/>
      <c r="D477" s="82"/>
      <c r="E477" s="14"/>
      <c r="F477" s="3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45"/>
    </row>
    <row r="478" spans="1:21" ht="15.5" x14ac:dyDescent="0.35">
      <c r="A478" s="1">
        <v>1</v>
      </c>
      <c r="B478" s="24" t="s">
        <v>96</v>
      </c>
      <c r="C478" s="14"/>
      <c r="D478" s="1">
        <v>24</v>
      </c>
      <c r="E478" s="23">
        <v>600000</v>
      </c>
      <c r="F478" s="3">
        <f>D478*E478</f>
        <v>14400000</v>
      </c>
      <c r="G478" s="1" t="s">
        <v>22</v>
      </c>
      <c r="H478" s="1" t="s">
        <v>27</v>
      </c>
      <c r="I478" s="1" t="s">
        <v>21</v>
      </c>
      <c r="J478" s="1"/>
      <c r="K478" s="1"/>
      <c r="L478" s="73"/>
      <c r="M478" s="73" t="s">
        <v>24</v>
      </c>
      <c r="N478" s="1"/>
      <c r="O478" s="1"/>
      <c r="P478" s="1"/>
      <c r="Q478" s="1"/>
      <c r="R478" s="1"/>
      <c r="S478" s="1"/>
      <c r="T478" s="1">
        <v>24</v>
      </c>
      <c r="U478" s="12">
        <f t="shared" ref="U478" si="54">D478*E478</f>
        <v>14400000</v>
      </c>
    </row>
    <row r="479" spans="1:21" s="15" customFormat="1" x14ac:dyDescent="0.35">
      <c r="A479" s="14"/>
      <c r="B479" s="14"/>
      <c r="C479" s="1" t="s">
        <v>127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45"/>
    </row>
    <row r="480" spans="1:21" s="15" customForma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45"/>
    </row>
    <row r="481" spans="1:21" s="15" customForma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45"/>
    </row>
    <row r="482" spans="1:21" x14ac:dyDescent="0.35">
      <c r="A482" s="14"/>
      <c r="B482" s="14"/>
      <c r="C482" s="14"/>
      <c r="D482" s="14"/>
      <c r="E482" s="14"/>
      <c r="F482" s="14">
        <f t="shared" si="51"/>
        <v>0</v>
      </c>
      <c r="G482" s="14"/>
      <c r="H482" s="14"/>
      <c r="I482" s="1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2">
        <f>D486*E486</f>
        <v>0</v>
      </c>
    </row>
    <row r="483" spans="1:21" x14ac:dyDescent="0.35">
      <c r="A483" s="15"/>
      <c r="B483" s="15"/>
      <c r="C483" s="14"/>
      <c r="D483" s="15"/>
      <c r="E483" s="15"/>
      <c r="F483" s="42">
        <f>SUM(F6:F482)</f>
        <v>309679264</v>
      </c>
      <c r="G483" s="15"/>
      <c r="H483" s="15"/>
      <c r="I483" s="15"/>
    </row>
    <row r="484" spans="1:21" x14ac:dyDescent="0.35">
      <c r="C484" s="15"/>
    </row>
  </sheetData>
  <mergeCells count="11">
    <mergeCell ref="A477:B477"/>
    <mergeCell ref="A51:B51"/>
    <mergeCell ref="A60:B60"/>
    <mergeCell ref="E1:H1"/>
    <mergeCell ref="A323:B323"/>
    <mergeCell ref="A116:B116"/>
    <mergeCell ref="N2:U2"/>
    <mergeCell ref="N3:O3"/>
    <mergeCell ref="P3:Q3"/>
    <mergeCell ref="R3:S3"/>
    <mergeCell ref="T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month procurement plan k-sric</vt:lpstr>
      <vt:lpstr>Annual procurement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2024-08-02T17:30:08Z</dcterms:modified>
</cp:coreProperties>
</file>