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G47" i="1"/>
  <c r="G46" i="1"/>
  <c r="G44" i="1"/>
  <c r="G43" i="1" l="1"/>
  <c r="G45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<sst xmlns="http://schemas.openxmlformats.org/spreadsheetml/2006/main" count="128" uniqueCount="49">
  <si>
    <t>10.Laboratory tools and equipments</t>
  </si>
  <si>
    <t>Refrigerator (-20° C, +4 °C)</t>
  </si>
  <si>
    <t>No</t>
  </si>
  <si>
    <t>KSRIC</t>
  </si>
  <si>
    <t>Biosafety cabinet Class II B2</t>
  </si>
  <si>
    <t xml:space="preserve">Analytical weighing balance </t>
  </si>
  <si>
    <t xml:space="preserve">Gel electrophoresis system (casting plates, electrode assembly, companion running module, buffer tank and lid, casting stand and frames, Power Pac </t>
  </si>
  <si>
    <t>Microplate Spectophotometer (Preferred wavelength range 200 -999 nm)</t>
  </si>
  <si>
    <t>Illumina Hiseq 2500</t>
  </si>
  <si>
    <t>Negative 80 freezer</t>
  </si>
  <si>
    <t>Columns ( Sephadex G25 desalting column, RP-HPLC, Hydrophobic interactions columns)</t>
  </si>
  <si>
    <t>ELISA washer and dispenser</t>
  </si>
  <si>
    <t>no</t>
  </si>
  <si>
    <t xml:space="preserve">Transblot transfer system </t>
  </si>
  <si>
    <t>Protein A/G affinity chromatography columns (HiTrap Protein A HP 5ml and HiTrap Protein G HP 5ml)</t>
  </si>
  <si>
    <t>Ultra-Performance Liquid
Chromatography (1290 Infinity II, Agilent Technologies)</t>
  </si>
  <si>
    <t>Medium centrifuge</t>
  </si>
  <si>
    <t xml:space="preserve">CO2 Incubator </t>
  </si>
  <si>
    <t>lab stools</t>
  </si>
  <si>
    <t>Vortexer</t>
  </si>
  <si>
    <t>Eye wash and mounted stations</t>
  </si>
  <si>
    <t>Power supply extension</t>
  </si>
  <si>
    <t>UPS</t>
  </si>
  <si>
    <t xml:space="preserve"> Electric Inverter APC </t>
  </si>
  <si>
    <t>Water distiller system</t>
  </si>
  <si>
    <t>Mini Centrifuge  (PCR tubes)</t>
  </si>
  <si>
    <t>No.</t>
  </si>
  <si>
    <t>Mini vortexer mixer</t>
  </si>
  <si>
    <t>Thermocycler</t>
  </si>
  <si>
    <t xml:space="preserve">Laboratory fluorescence microscope </t>
  </si>
  <si>
    <t>Amscope fluorescent microscope camera</t>
  </si>
  <si>
    <t>BD Facs Melody Cell Sorter</t>
  </si>
  <si>
    <t>Pro-safe Fume Hood 6ft</t>
  </si>
  <si>
    <t>Chest Freezer 480L</t>
  </si>
  <si>
    <t>Portable medical freezer (-20 )</t>
  </si>
  <si>
    <t>Autoclave Machine</t>
  </si>
  <si>
    <t>Liquid nitrogen tank (50ml)</t>
  </si>
  <si>
    <t>Portable power generator</t>
  </si>
  <si>
    <t xml:space="preserve">Total </t>
  </si>
  <si>
    <t>Wheelchair</t>
  </si>
  <si>
    <t>Pallet truck (trolly)</t>
  </si>
  <si>
    <t>Refrigerator double door 635 litres (+4,-20)</t>
  </si>
  <si>
    <t>Equipment maintenance and servicing</t>
  </si>
  <si>
    <t>CO2 tank and gauge</t>
  </si>
  <si>
    <t>NO</t>
  </si>
  <si>
    <t>Small animal rodent euthanasia chamber</t>
  </si>
  <si>
    <t>Temperator monitor for freezer room</t>
  </si>
  <si>
    <t>Lab thermometer hygrometer</t>
  </si>
  <si>
    <t>Confined space multi gas detector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</si>
</sst>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3" fontId="2" fillId="2" borderId="1" xfId="0" applyNumberFormat="1" applyFont="1" applyFill="1" applyBorder="1"/>
    <xf numFmtId="0" fontId="3" fillId="0" borderId="1" xfId="0" applyFont="1" applyBorder="1"/>
    <xf numFmtId="0" fontId="2" fillId="0" borderId="1" xfId="0" applyFont="1" applyBorder="1"/>
    <xf numFmtId="43" fontId="2" fillId="0" borderId="1" xfId="1" applyFont="1" applyBorder="1"/>
    <xf numFmtId="0" fontId="2" fillId="0" borderId="0" xfId="0" applyFont="1"/>
    <xf numFmtId="43" fontId="2" fillId="2" borderId="1" xfId="1" applyFont="1" applyFill="1" applyBorder="1"/>
    <xf numFmtId="0" fontId="3" fillId="2" borderId="1" xfId="0" applyFont="1" applyFill="1" applyBorder="1"/>
    <xf numFmtId="43" fontId="3" fillId="2" borderId="1" xfId="1" applyFont="1" applyFill="1" applyBorder="1"/>
    <xf numFmtId="3" fontId="2" fillId="2" borderId="1" xfId="0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9"/>
  <sheetViews>
    <sheetView tabSelected="1" topLeftCell="A32" workbookViewId="0">
      <selection activeCell="O9" sqref="O9"/>
    </sheetView>
  </sheetViews>
  <sheetFormatPr defaultRowHeight="15.6" x14ac:dyDescent="0.3"/>
  <cols>
    <col min="1" max="2" width="8.88671875" style="11"/>
    <col min="3" max="3" width="24" style="11" customWidth="1"/>
    <col min="4" max="4" width="9" style="11" customWidth="1"/>
    <col min="5" max="5" width="10.21875" style="11" customWidth="1"/>
    <col min="6" max="6" width="15.5546875" style="11" customWidth="1"/>
    <col min="7" max="7" width="18.77734375" style="11" customWidth="1"/>
    <col min="8" max="8" width="8.88671875" style="11"/>
    <col min="9" max="9" width="12.21875" style="11" customWidth="1"/>
    <col min="10" max="16384" width="8.88671875" style="11"/>
  </cols>
  <sheetData>
    <row r="3" spans="2:10" x14ac:dyDescent="0.3">
      <c r="B3" s="8" t="s">
        <v>0</v>
      </c>
      <c r="C3" s="1"/>
      <c r="D3" s="8"/>
      <c r="E3" s="9"/>
      <c r="F3" s="10"/>
      <c r="G3" s="10"/>
      <c r="H3" s="9"/>
      <c r="I3" s="9"/>
      <c r="J3" s="9"/>
    </row>
    <row r="4" spans="2:10" x14ac:dyDescent="0.3">
      <c r="B4" s="9"/>
      <c r="C4" s="6"/>
      <c r="D4" s="9"/>
      <c r="E4" s="9"/>
      <c r="F4" s="10"/>
      <c r="G4" s="10"/>
      <c r="H4" s="9"/>
      <c r="I4" s="9"/>
      <c r="J4" s="9"/>
    </row>
    <row r="5" spans="2:10" x14ac:dyDescent="0.3">
      <c r="B5" s="9"/>
      <c r="D5" s="2"/>
      <c r="H5" s="9"/>
      <c r="I5" s="9"/>
      <c r="J5" s="9"/>
    </row>
    <row r="6" spans="2:10" ht="31.2" x14ac:dyDescent="0.3">
      <c r="B6" s="9"/>
      <c r="C6" s="2" t="s">
        <v>1</v>
      </c>
      <c r="D6" s="2" t="s">
        <v>2</v>
      </c>
      <c r="E6" s="2">
        <v>1</v>
      </c>
      <c r="F6" s="3">
        <v>170000</v>
      </c>
      <c r="G6" s="12">
        <f>E6*F6</f>
        <v>170000</v>
      </c>
      <c r="H6" s="9" t="s">
        <v>3</v>
      </c>
      <c r="I6" s="9"/>
      <c r="J6" s="9"/>
    </row>
    <row r="7" spans="2:10" ht="31.2" x14ac:dyDescent="0.3">
      <c r="B7" s="9"/>
      <c r="C7" s="2" t="s">
        <v>4</v>
      </c>
      <c r="D7" s="2" t="s">
        <v>2</v>
      </c>
      <c r="E7" s="2">
        <v>3</v>
      </c>
      <c r="F7" s="3">
        <v>1800000</v>
      </c>
      <c r="G7" s="12">
        <f>E7*F7</f>
        <v>5400000</v>
      </c>
      <c r="H7" s="9" t="s">
        <v>3</v>
      </c>
      <c r="I7" s="9"/>
      <c r="J7" s="9"/>
    </row>
    <row r="8" spans="2:10" ht="31.2" x14ac:dyDescent="0.3">
      <c r="B8" s="9"/>
      <c r="C8" s="2" t="s">
        <v>5</v>
      </c>
      <c r="D8" s="2" t="s">
        <v>2</v>
      </c>
      <c r="E8" s="2">
        <v>2</v>
      </c>
      <c r="F8" s="3">
        <v>250000</v>
      </c>
      <c r="G8" s="12">
        <f>E8*F8</f>
        <v>500000</v>
      </c>
      <c r="H8" s="9" t="s">
        <v>3</v>
      </c>
      <c r="I8" s="9"/>
      <c r="J8" s="9"/>
    </row>
    <row r="9" spans="2:10" ht="109.2" x14ac:dyDescent="0.3">
      <c r="B9" s="9"/>
      <c r="C9" s="2" t="s">
        <v>6</v>
      </c>
      <c r="D9" s="6" t="s">
        <v>2</v>
      </c>
      <c r="E9" s="6">
        <v>1</v>
      </c>
      <c r="F9" s="12">
        <v>650000</v>
      </c>
      <c r="G9" s="12">
        <f t="shared" ref="G9:G15" si="0">E9*F9</f>
        <v>650000</v>
      </c>
      <c r="H9" s="9" t="s">
        <v>3</v>
      </c>
      <c r="I9" s="9"/>
      <c r="J9" s="9"/>
    </row>
    <row r="10" spans="2:10" ht="62.4" x14ac:dyDescent="0.3">
      <c r="B10" s="9"/>
      <c r="C10" s="4" t="s">
        <v>7</v>
      </c>
      <c r="D10" s="9" t="s">
        <v>2</v>
      </c>
      <c r="E10" s="9">
        <v>1</v>
      </c>
      <c r="F10" s="10">
        <v>4417595</v>
      </c>
      <c r="G10" s="10">
        <f t="shared" si="0"/>
        <v>4417595</v>
      </c>
      <c r="H10" s="9" t="s">
        <v>3</v>
      </c>
      <c r="I10" s="9"/>
      <c r="J10" s="9"/>
    </row>
    <row r="11" spans="2:10" x14ac:dyDescent="0.3">
      <c r="B11" s="9"/>
      <c r="C11" s="9" t="s">
        <v>8</v>
      </c>
      <c r="D11" s="9" t="s">
        <v>2</v>
      </c>
      <c r="E11" s="9">
        <v>1</v>
      </c>
      <c r="F11" s="10">
        <v>8920670</v>
      </c>
      <c r="G11" s="10">
        <f t="shared" si="0"/>
        <v>8920670</v>
      </c>
      <c r="H11" s="9" t="s">
        <v>3</v>
      </c>
      <c r="I11" s="9"/>
      <c r="J11" s="9"/>
    </row>
    <row r="12" spans="2:10" x14ac:dyDescent="0.3">
      <c r="B12" s="9"/>
      <c r="C12" s="9" t="s">
        <v>9</v>
      </c>
      <c r="D12" s="9" t="s">
        <v>2</v>
      </c>
      <c r="E12" s="9">
        <v>2</v>
      </c>
      <c r="F12" s="10">
        <v>3900000</v>
      </c>
      <c r="G12" s="10">
        <f t="shared" si="0"/>
        <v>7800000</v>
      </c>
      <c r="H12" s="9" t="s">
        <v>3</v>
      </c>
      <c r="I12" s="9"/>
      <c r="J12" s="9"/>
    </row>
    <row r="13" spans="2:10" ht="62.4" x14ac:dyDescent="0.3">
      <c r="B13" s="9"/>
      <c r="C13" s="2" t="s">
        <v>10</v>
      </c>
      <c r="D13" s="9" t="s">
        <v>2</v>
      </c>
      <c r="E13" s="9">
        <v>2</v>
      </c>
      <c r="F13" s="15">
        <v>419830</v>
      </c>
      <c r="G13" s="10">
        <f t="shared" si="0"/>
        <v>839660</v>
      </c>
      <c r="H13" s="9" t="s">
        <v>3</v>
      </c>
      <c r="I13" s="9"/>
      <c r="J13" s="9"/>
    </row>
    <row r="14" spans="2:10" ht="31.2" x14ac:dyDescent="0.3">
      <c r="B14" s="9"/>
      <c r="C14" s="2" t="s">
        <v>11</v>
      </c>
      <c r="D14" s="9" t="s">
        <v>12</v>
      </c>
      <c r="E14" s="9">
        <v>1</v>
      </c>
      <c r="F14" s="3">
        <v>4900000</v>
      </c>
      <c r="G14" s="10">
        <f t="shared" si="0"/>
        <v>4900000</v>
      </c>
      <c r="H14" s="9" t="s">
        <v>3</v>
      </c>
      <c r="I14" s="9"/>
      <c r="J14" s="9"/>
    </row>
    <row r="15" spans="2:10" x14ac:dyDescent="0.3">
      <c r="B15" s="9"/>
      <c r="C15" s="2" t="s">
        <v>13</v>
      </c>
      <c r="D15" s="9" t="s">
        <v>2</v>
      </c>
      <c r="E15" s="9">
        <v>1</v>
      </c>
      <c r="F15" s="3">
        <v>965126</v>
      </c>
      <c r="G15" s="10">
        <f t="shared" si="0"/>
        <v>965126</v>
      </c>
      <c r="H15" s="9" t="s">
        <v>3</v>
      </c>
      <c r="I15" s="9"/>
      <c r="J15" s="9"/>
    </row>
    <row r="16" spans="2:10" ht="78" x14ac:dyDescent="0.3">
      <c r="B16" s="9"/>
      <c r="C16" s="4" t="s">
        <v>14</v>
      </c>
      <c r="D16" s="9" t="s">
        <v>2</v>
      </c>
      <c r="E16" s="9">
        <v>5</v>
      </c>
      <c r="F16" s="10">
        <v>300000</v>
      </c>
      <c r="G16" s="10">
        <f>E16*F16</f>
        <v>1500000</v>
      </c>
      <c r="H16" s="9" t="s">
        <v>3</v>
      </c>
      <c r="I16" s="9"/>
      <c r="J16" s="9"/>
    </row>
    <row r="17" spans="2:10" ht="62.4" x14ac:dyDescent="0.3">
      <c r="B17" s="9"/>
      <c r="C17" s="4" t="s">
        <v>15</v>
      </c>
      <c r="D17" s="9" t="s">
        <v>2</v>
      </c>
      <c r="E17" s="9">
        <v>1</v>
      </c>
      <c r="F17" s="10">
        <v>13260000</v>
      </c>
      <c r="G17" s="10">
        <f>E17*F17</f>
        <v>13260000</v>
      </c>
      <c r="H17" s="9" t="s">
        <v>3</v>
      </c>
      <c r="I17" s="9"/>
      <c r="J17" s="9"/>
    </row>
    <row r="18" spans="2:10" ht="31.2" x14ac:dyDescent="0.3">
      <c r="B18" s="9"/>
      <c r="C18" s="5" t="s">
        <v>36</v>
      </c>
      <c r="D18" s="6" t="s">
        <v>2</v>
      </c>
      <c r="E18" s="6">
        <v>2</v>
      </c>
      <c r="F18" s="7">
        <v>152000</v>
      </c>
      <c r="G18" s="10">
        <f t="shared" ref="G18:G47" si="1">E18*F18</f>
        <v>304000</v>
      </c>
      <c r="H18" s="9" t="s">
        <v>3</v>
      </c>
      <c r="I18" s="9"/>
      <c r="J18" s="9"/>
    </row>
    <row r="19" spans="2:10" x14ac:dyDescent="0.3">
      <c r="B19" s="9"/>
      <c r="C19" s="5" t="s">
        <v>16</v>
      </c>
      <c r="D19" s="6" t="s">
        <v>2</v>
      </c>
      <c r="E19" s="6">
        <v>1</v>
      </c>
      <c r="F19" s="7">
        <v>50157</v>
      </c>
      <c r="G19" s="10">
        <f t="shared" si="1"/>
        <v>50157</v>
      </c>
      <c r="H19" s="9" t="s">
        <v>3</v>
      </c>
      <c r="I19" s="9"/>
      <c r="J19" s="9"/>
    </row>
    <row r="20" spans="2:10" x14ac:dyDescent="0.3">
      <c r="B20" s="9"/>
      <c r="C20" s="5" t="s">
        <v>17</v>
      </c>
      <c r="D20" s="6" t="s">
        <v>2</v>
      </c>
      <c r="E20" s="6">
        <v>1</v>
      </c>
      <c r="F20" s="7">
        <v>2400000</v>
      </c>
      <c r="G20" s="10">
        <f t="shared" si="1"/>
        <v>2400000</v>
      </c>
      <c r="H20" s="9" t="s">
        <v>3</v>
      </c>
      <c r="I20" s="9"/>
      <c r="J20" s="9"/>
    </row>
    <row r="21" spans="2:10" ht="31.2" x14ac:dyDescent="0.3">
      <c r="B21" s="9"/>
      <c r="C21" s="5" t="s">
        <v>41</v>
      </c>
      <c r="D21" s="6" t="s">
        <v>2</v>
      </c>
      <c r="E21" s="6">
        <v>2</v>
      </c>
      <c r="F21" s="7">
        <v>280000</v>
      </c>
      <c r="G21" s="10">
        <f t="shared" si="1"/>
        <v>560000</v>
      </c>
      <c r="H21" s="9" t="s">
        <v>3</v>
      </c>
      <c r="I21" s="9"/>
      <c r="J21" s="9"/>
    </row>
    <row r="22" spans="2:10" x14ac:dyDescent="0.3">
      <c r="B22" s="9"/>
      <c r="C22" s="5" t="s">
        <v>18</v>
      </c>
      <c r="D22" s="6" t="s">
        <v>2</v>
      </c>
      <c r="E22" s="6">
        <v>20</v>
      </c>
      <c r="F22" s="7">
        <v>75000</v>
      </c>
      <c r="G22" s="10">
        <f t="shared" si="1"/>
        <v>1500000</v>
      </c>
      <c r="H22" s="9" t="s">
        <v>3</v>
      </c>
      <c r="I22" s="9"/>
      <c r="J22" s="9"/>
    </row>
    <row r="23" spans="2:10" x14ac:dyDescent="0.3">
      <c r="B23" s="9"/>
      <c r="C23" s="5" t="s">
        <v>19</v>
      </c>
      <c r="D23" s="6" t="s">
        <v>2</v>
      </c>
      <c r="E23" s="6">
        <v>2</v>
      </c>
      <c r="F23" s="7">
        <v>45000</v>
      </c>
      <c r="G23" s="10">
        <f t="shared" si="1"/>
        <v>90000</v>
      </c>
      <c r="H23" s="9" t="s">
        <v>3</v>
      </c>
      <c r="I23" s="9"/>
      <c r="J23" s="9"/>
    </row>
    <row r="24" spans="2:10" ht="31.2" x14ac:dyDescent="0.3">
      <c r="B24" s="9"/>
      <c r="C24" s="5" t="s">
        <v>20</v>
      </c>
      <c r="D24" s="6" t="s">
        <v>2</v>
      </c>
      <c r="E24" s="6">
        <v>5</v>
      </c>
      <c r="F24" s="7">
        <v>50000</v>
      </c>
      <c r="G24" s="10">
        <f t="shared" si="1"/>
        <v>250000</v>
      </c>
      <c r="H24" s="9" t="s">
        <v>3</v>
      </c>
      <c r="I24" s="9"/>
      <c r="J24" s="9"/>
    </row>
    <row r="25" spans="2:10" x14ac:dyDescent="0.3">
      <c r="B25" s="9"/>
      <c r="C25" s="5" t="s">
        <v>21</v>
      </c>
      <c r="D25" s="6" t="s">
        <v>2</v>
      </c>
      <c r="E25" s="6">
        <v>7</v>
      </c>
      <c r="F25" s="7">
        <v>14000</v>
      </c>
      <c r="G25" s="10">
        <f t="shared" si="1"/>
        <v>98000</v>
      </c>
      <c r="H25" s="9" t="s">
        <v>3</v>
      </c>
      <c r="I25" s="9"/>
      <c r="J25" s="9"/>
    </row>
    <row r="26" spans="2:10" x14ac:dyDescent="0.3">
      <c r="B26" s="9"/>
      <c r="C26" s="5" t="s">
        <v>22</v>
      </c>
      <c r="D26" s="6" t="s">
        <v>2</v>
      </c>
      <c r="E26" s="6">
        <v>3</v>
      </c>
      <c r="F26" s="7">
        <v>323700</v>
      </c>
      <c r="G26" s="10">
        <f t="shared" si="1"/>
        <v>971100</v>
      </c>
      <c r="H26" s="9" t="s">
        <v>3</v>
      </c>
      <c r="I26" s="9"/>
      <c r="J26" s="9"/>
    </row>
    <row r="27" spans="2:10" x14ac:dyDescent="0.3">
      <c r="B27" s="9"/>
      <c r="C27" s="5" t="s">
        <v>23</v>
      </c>
      <c r="D27" s="6" t="s">
        <v>2</v>
      </c>
      <c r="E27" s="6">
        <v>1</v>
      </c>
      <c r="F27" s="7">
        <v>3500000</v>
      </c>
      <c r="G27" s="10">
        <f t="shared" si="1"/>
        <v>3500000</v>
      </c>
      <c r="H27" s="9" t="s">
        <v>3</v>
      </c>
      <c r="I27" s="9"/>
      <c r="J27" s="9"/>
    </row>
    <row r="28" spans="2:10" x14ac:dyDescent="0.3">
      <c r="B28" s="9"/>
      <c r="C28" s="5" t="s">
        <v>24</v>
      </c>
      <c r="D28" s="6" t="s">
        <v>2</v>
      </c>
      <c r="E28" s="6">
        <v>1</v>
      </c>
      <c r="F28" s="7">
        <v>3000000</v>
      </c>
      <c r="G28" s="10">
        <f t="shared" si="1"/>
        <v>3000000</v>
      </c>
      <c r="H28" s="9" t="s">
        <v>3</v>
      </c>
      <c r="I28" s="9"/>
      <c r="J28" s="9"/>
    </row>
    <row r="29" spans="2:10" ht="31.2" x14ac:dyDescent="0.3">
      <c r="B29" s="9"/>
      <c r="C29" s="2" t="s">
        <v>25</v>
      </c>
      <c r="D29" s="6" t="s">
        <v>26</v>
      </c>
      <c r="E29" s="2">
        <v>1</v>
      </c>
      <c r="F29" s="12">
        <v>380000</v>
      </c>
      <c r="G29" s="10">
        <f t="shared" si="1"/>
        <v>380000</v>
      </c>
      <c r="H29" s="9" t="s">
        <v>3</v>
      </c>
      <c r="I29" s="9"/>
      <c r="J29" s="9"/>
    </row>
    <row r="30" spans="2:10" x14ac:dyDescent="0.3">
      <c r="B30" s="9"/>
      <c r="C30" s="2" t="s">
        <v>27</v>
      </c>
      <c r="D30" s="6" t="s">
        <v>26</v>
      </c>
      <c r="E30" s="2">
        <v>1</v>
      </c>
      <c r="F30" s="12">
        <v>27625</v>
      </c>
      <c r="G30" s="10">
        <f t="shared" si="1"/>
        <v>27625</v>
      </c>
      <c r="H30" s="9" t="s">
        <v>3</v>
      </c>
      <c r="I30" s="9"/>
      <c r="J30" s="9"/>
    </row>
    <row r="31" spans="2:10" x14ac:dyDescent="0.3">
      <c r="B31" s="9"/>
      <c r="C31" s="2" t="s">
        <v>28</v>
      </c>
      <c r="D31" s="6" t="s">
        <v>26</v>
      </c>
      <c r="E31" s="2">
        <v>1</v>
      </c>
      <c r="F31" s="10">
        <v>2964443</v>
      </c>
      <c r="G31" s="10">
        <f t="shared" si="1"/>
        <v>2964443</v>
      </c>
      <c r="H31" s="9" t="s">
        <v>3</v>
      </c>
      <c r="I31" s="9"/>
      <c r="J31" s="9"/>
    </row>
    <row r="32" spans="2:10" ht="31.2" x14ac:dyDescent="0.3">
      <c r="B32" s="9"/>
      <c r="C32" s="2" t="s">
        <v>29</v>
      </c>
      <c r="D32" s="6" t="s">
        <v>26</v>
      </c>
      <c r="E32" s="2">
        <v>1</v>
      </c>
      <c r="F32" s="10">
        <v>817768</v>
      </c>
      <c r="G32" s="10">
        <f t="shared" si="1"/>
        <v>817768</v>
      </c>
      <c r="H32" s="9" t="s">
        <v>3</v>
      </c>
      <c r="I32" s="9"/>
      <c r="J32" s="9"/>
    </row>
    <row r="33" spans="2:10" ht="31.2" x14ac:dyDescent="0.3">
      <c r="B33" s="9"/>
      <c r="C33" s="2" t="s">
        <v>30</v>
      </c>
      <c r="D33" s="6" t="s">
        <v>26</v>
      </c>
      <c r="E33" s="2">
        <v>1</v>
      </c>
      <c r="F33" s="10">
        <v>421476</v>
      </c>
      <c r="G33" s="10">
        <f t="shared" si="1"/>
        <v>421476</v>
      </c>
      <c r="H33" s="9" t="s">
        <v>3</v>
      </c>
      <c r="I33" s="9"/>
      <c r="J33" s="9"/>
    </row>
    <row r="34" spans="2:10" ht="31.2" x14ac:dyDescent="0.3">
      <c r="B34" s="9"/>
      <c r="C34" s="2" t="s">
        <v>31</v>
      </c>
      <c r="D34" s="6" t="s">
        <v>2</v>
      </c>
      <c r="E34" s="2">
        <v>1</v>
      </c>
      <c r="F34" s="10">
        <v>84000000</v>
      </c>
      <c r="G34" s="10">
        <f t="shared" si="1"/>
        <v>84000000</v>
      </c>
      <c r="H34" s="9" t="s">
        <v>3</v>
      </c>
      <c r="I34" s="9"/>
      <c r="J34" s="9"/>
    </row>
    <row r="35" spans="2:10" ht="31.2" x14ac:dyDescent="0.3">
      <c r="B35" s="6"/>
      <c r="C35" s="2" t="s">
        <v>1</v>
      </c>
      <c r="D35" s="6" t="s">
        <v>26</v>
      </c>
      <c r="E35" s="2">
        <v>1</v>
      </c>
      <c r="F35" s="12">
        <v>170000</v>
      </c>
      <c r="G35" s="12">
        <f t="shared" si="1"/>
        <v>170000</v>
      </c>
      <c r="H35" s="6" t="s">
        <v>3</v>
      </c>
      <c r="I35" s="6"/>
      <c r="J35" s="6"/>
    </row>
    <row r="36" spans="2:10" x14ac:dyDescent="0.3">
      <c r="B36" s="6"/>
      <c r="C36" s="2" t="s">
        <v>32</v>
      </c>
      <c r="D36" s="6" t="s">
        <v>26</v>
      </c>
      <c r="E36" s="2">
        <v>1</v>
      </c>
      <c r="F36" s="12">
        <v>1620000</v>
      </c>
      <c r="G36" s="12">
        <f t="shared" si="1"/>
        <v>1620000</v>
      </c>
      <c r="H36" s="6" t="s">
        <v>3</v>
      </c>
      <c r="I36" s="6"/>
      <c r="J36" s="6"/>
    </row>
    <row r="37" spans="2:10" x14ac:dyDescent="0.3">
      <c r="B37" s="6"/>
      <c r="C37" s="6" t="s">
        <v>33</v>
      </c>
      <c r="D37" s="6" t="s">
        <v>26</v>
      </c>
      <c r="E37" s="6">
        <v>1</v>
      </c>
      <c r="F37" s="6">
        <v>80000</v>
      </c>
      <c r="G37" s="12">
        <f t="shared" si="1"/>
        <v>80000</v>
      </c>
      <c r="H37" s="6" t="s">
        <v>3</v>
      </c>
      <c r="I37" s="6"/>
      <c r="J37" s="6"/>
    </row>
    <row r="38" spans="2:10" x14ac:dyDescent="0.3">
      <c r="B38" s="6"/>
      <c r="C38" s="6" t="s">
        <v>34</v>
      </c>
      <c r="D38" s="6" t="s">
        <v>26</v>
      </c>
      <c r="E38" s="6">
        <v>1</v>
      </c>
      <c r="F38" s="7">
        <v>380000</v>
      </c>
      <c r="G38" s="12">
        <f t="shared" si="1"/>
        <v>380000</v>
      </c>
      <c r="H38" s="6" t="s">
        <v>3</v>
      </c>
      <c r="I38" s="6"/>
      <c r="J38" s="6"/>
    </row>
    <row r="39" spans="2:10" x14ac:dyDescent="0.3">
      <c r="B39" s="13"/>
      <c r="C39" s="5" t="s">
        <v>35</v>
      </c>
      <c r="D39" s="6" t="s">
        <v>26</v>
      </c>
      <c r="E39" s="6">
        <v>2</v>
      </c>
      <c r="F39" s="6">
        <v>1800000</v>
      </c>
      <c r="G39" s="12">
        <f t="shared" si="1"/>
        <v>3600000</v>
      </c>
      <c r="H39" s="6" t="s">
        <v>3</v>
      </c>
      <c r="I39" s="6"/>
      <c r="J39" s="6"/>
    </row>
    <row r="40" spans="2:10" x14ac:dyDescent="0.3">
      <c r="B40" s="13"/>
      <c r="C40" s="5" t="s">
        <v>37</v>
      </c>
      <c r="D40" s="6" t="s">
        <v>26</v>
      </c>
      <c r="E40" s="6">
        <v>2</v>
      </c>
      <c r="F40" s="7">
        <v>350000</v>
      </c>
      <c r="G40" s="12">
        <f t="shared" si="1"/>
        <v>700000</v>
      </c>
      <c r="H40" s="6" t="s">
        <v>3</v>
      </c>
      <c r="I40" s="6"/>
      <c r="J40" s="6"/>
    </row>
    <row r="41" spans="2:10" x14ac:dyDescent="0.3">
      <c r="B41" s="13"/>
      <c r="C41" s="5" t="s">
        <v>39</v>
      </c>
      <c r="D41" s="6" t="s">
        <v>26</v>
      </c>
      <c r="E41" s="6">
        <v>1</v>
      </c>
      <c r="F41" s="7">
        <v>50000</v>
      </c>
      <c r="G41" s="12">
        <f t="shared" si="1"/>
        <v>50000</v>
      </c>
      <c r="H41" s="6" t="s">
        <v>3</v>
      </c>
      <c r="I41" s="6"/>
      <c r="J41" s="6"/>
    </row>
    <row r="42" spans="2:10" x14ac:dyDescent="0.3">
      <c r="B42" s="13"/>
      <c r="C42" s="5" t="s">
        <v>40</v>
      </c>
      <c r="D42" s="6" t="s">
        <v>26</v>
      </c>
      <c r="E42" s="6">
        <v>2</v>
      </c>
      <c r="F42" s="7">
        <v>50000</v>
      </c>
      <c r="G42" s="12">
        <f t="shared" si="1"/>
        <v>100000</v>
      </c>
      <c r="H42" s="6" t="s">
        <v>3</v>
      </c>
      <c r="I42" s="6"/>
      <c r="J42" s="6"/>
    </row>
    <row r="43" spans="2:10" x14ac:dyDescent="0.3">
      <c r="B43" s="13"/>
      <c r="C43" s="5" t="s">
        <v>43</v>
      </c>
      <c r="D43" s="6" t="s">
        <v>44</v>
      </c>
      <c r="E43" s="6">
        <v>2</v>
      </c>
      <c r="F43" s="7">
        <v>100000</v>
      </c>
      <c r="G43" s="12">
        <f t="shared" si="1"/>
        <v>200000</v>
      </c>
      <c r="H43" s="6" t="s">
        <v>3</v>
      </c>
      <c r="I43" s="6"/>
      <c r="J43" s="6"/>
    </row>
    <row r="44" spans="2:10" ht="31.2" x14ac:dyDescent="0.3">
      <c r="B44" s="13"/>
      <c r="C44" s="5" t="s">
        <v>45</v>
      </c>
      <c r="D44" s="6" t="s">
        <v>2</v>
      </c>
      <c r="E44" s="6">
        <v>2</v>
      </c>
      <c r="F44" s="7">
        <v>80000</v>
      </c>
      <c r="G44" s="12">
        <f t="shared" si="1"/>
        <v>160000</v>
      </c>
      <c r="H44" s="6" t="s">
        <v>3</v>
      </c>
      <c r="I44" s="6"/>
      <c r="J44" s="6"/>
    </row>
    <row r="45" spans="2:10" ht="31.2" x14ac:dyDescent="0.3">
      <c r="B45" s="13"/>
      <c r="C45" s="5" t="s">
        <v>46</v>
      </c>
      <c r="D45" s="6" t="s">
        <v>2</v>
      </c>
      <c r="E45" s="6">
        <v>15</v>
      </c>
      <c r="F45" s="7">
        <v>8000</v>
      </c>
      <c r="G45" s="12">
        <f t="shared" si="1"/>
        <v>120000</v>
      </c>
      <c r="H45" s="6" t="s">
        <v>3</v>
      </c>
      <c r="I45" s="6"/>
      <c r="J45" s="6"/>
    </row>
    <row r="46" spans="2:10" ht="31.2" x14ac:dyDescent="0.3">
      <c r="B46" s="13"/>
      <c r="C46" s="5" t="s">
        <v>47</v>
      </c>
      <c r="D46" s="6" t="s">
        <v>2</v>
      </c>
      <c r="E46" s="6">
        <v>7</v>
      </c>
      <c r="F46" s="7">
        <v>1200</v>
      </c>
      <c r="G46" s="12">
        <f t="shared" si="1"/>
        <v>8400</v>
      </c>
      <c r="H46" s="6"/>
      <c r="I46" s="6"/>
      <c r="J46" s="6"/>
    </row>
    <row r="47" spans="2:10" ht="31.2" x14ac:dyDescent="0.3">
      <c r="B47" s="13"/>
      <c r="C47" s="5" t="s">
        <v>48</v>
      </c>
      <c r="D47" s="6" t="s">
        <v>2</v>
      </c>
      <c r="E47" s="6">
        <v>2</v>
      </c>
      <c r="F47" s="7">
        <v>350000</v>
      </c>
      <c r="G47" s="12">
        <f t="shared" si="1"/>
        <v>700000</v>
      </c>
      <c r="H47" s="6"/>
      <c r="I47" s="6"/>
      <c r="J47" s="6"/>
    </row>
    <row r="48" spans="2:10" ht="31.2" x14ac:dyDescent="0.3">
      <c r="B48" s="13"/>
      <c r="C48" s="5" t="s">
        <v>42</v>
      </c>
      <c r="D48" s="6"/>
      <c r="E48" s="6"/>
      <c r="F48" s="7"/>
      <c r="G48" s="7">
        <v>6000000</v>
      </c>
      <c r="H48" s="6" t="s">
        <v>3</v>
      </c>
      <c r="I48" s="6"/>
      <c r="J48" s="6"/>
    </row>
    <row r="49" spans="2:10" x14ac:dyDescent="0.3">
      <c r="B49" s="13"/>
      <c r="C49" s="5" t="s">
        <v>38</v>
      </c>
      <c r="D49" s="6"/>
      <c r="E49" s="6"/>
      <c r="F49" s="6"/>
      <c r="G49" s="14">
        <f>SUM(G6:G48)</f>
        <v>164546020</v>
      </c>
      <c r="H49" s="6"/>
      <c r="I49" s="6"/>
      <c r="J49" s="6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2024-07-28T09:39:44Z</dcterms:created>
  <dcterms:modified xsi:type="dcterms:W3CDTF">2024-07-28T10:15:41Z</dcterms:modified>
</cp:coreProperties>
</file>