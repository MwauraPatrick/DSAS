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4404" windowHeight="1692"/>
  </bookViews>
  <sheets>
    <sheet name="Kenya (IPR) - Research Hub" sheetId="1" r:id="rId1"/>
  </sheets>
  <externalReferences>
    <externalReference r:id="rId2"/>
  </externalReferences>
  <definedNames>
    <definedName name="budget_revision">#REF!</definedName>
    <definedName name="cofunding_by_category">#REF!</definedName>
    <definedName name="cofunding_category">#REF!</definedName>
    <definedName name="cofunding_detail">#REF!</definedName>
    <definedName name="end_date">#REF!</definedName>
    <definedName name="end_period_1">#REF!</definedName>
    <definedName name="end_period_10">#REF!</definedName>
    <definedName name="end_period_2">#REF!</definedName>
    <definedName name="end_period_3">#REF!</definedName>
    <definedName name="end_period_4">#REF!</definedName>
    <definedName name="end_period_5">#REF!</definedName>
    <definedName name="end_period_6">#REF!</definedName>
    <definedName name="end_period_7">#REF!</definedName>
    <definedName name="end_period_8">#REF!</definedName>
    <definedName name="end_period_9">#REF!</definedName>
    <definedName name="fgerg">[1]Config!#REF!</definedName>
    <definedName name="Funding2">[1]Config!#REF!</definedName>
    <definedName name="IDC_primary">#REF!</definedName>
    <definedName name="IDC_sub">#REF!</definedName>
    <definedName name="multiple_funders">#REF!</definedName>
    <definedName name="multiple_outcomes">#REF!</definedName>
    <definedName name="No">[1]Config!#REF!</definedName>
    <definedName name="NoAddtl.Dim">[1]Config!#REF!</definedName>
    <definedName name="NoDim">[1]Config!#REF!</definedName>
    <definedName name="Opp_ID">#REF!</definedName>
    <definedName name="org_name">#REF!</definedName>
    <definedName name="Outcome_Output_List">#REF!:INDEX(#REF!,COUNTA(#REF!),1)</definedName>
    <definedName name="P1_months">#REF!</definedName>
    <definedName name="P10_months">#REF!</definedName>
    <definedName name="P2_months">#REF!</definedName>
    <definedName name="P210_months">#REF!</definedName>
    <definedName name="P3_months">#REF!</definedName>
    <definedName name="P4_months">#REF!</definedName>
    <definedName name="P5_months">#REF!</definedName>
    <definedName name="P6_months">#REF!</definedName>
    <definedName name="P7_months">#REF!</definedName>
    <definedName name="P8_months">#REF!</definedName>
    <definedName name="P9_months">#REF!</definedName>
    <definedName name="Personnel">#REF!</definedName>
    <definedName name="proj_title">#REF!</definedName>
    <definedName name="project_title">#REF!</definedName>
    <definedName name="start_date">#REF!</definedName>
    <definedName name="start_period_1">#REF!</definedName>
    <definedName name="start_period_10">#REF!</definedName>
    <definedName name="start_period_2">#REF!</definedName>
    <definedName name="start_period_3">#REF!</definedName>
    <definedName name="start_period_4">#REF!</definedName>
    <definedName name="start_period_5">#REF!</definedName>
    <definedName name="start_period_6">#REF!</definedName>
    <definedName name="start_period_7">#REF!</definedName>
    <definedName name="start_period_8">#REF!</definedName>
    <definedName name="start_period_9">#REF!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m7+0Mo3VJK2khobHxO2AZ+PVaJw=="/>
    </ext>
  </extLst>
</workbook>
</file>

<file path=xl/calcChain.xml><?xml version="1.0" encoding="utf-8"?>
<calcChain xmlns="http://schemas.openxmlformats.org/spreadsheetml/2006/main">
  <c r="D26" i="1" l="1"/>
  <c r="D36" i="1"/>
  <c r="D9" i="1"/>
  <c r="D42" i="1" l="1"/>
  <c r="D41" i="1"/>
  <c r="D43" i="1"/>
  <c r="D44" i="1"/>
  <c r="D40" i="1"/>
  <c r="D39" i="1"/>
  <c r="D54" i="1" l="1"/>
  <c r="D46" i="1"/>
  <c r="D45" i="1"/>
  <c r="D47" i="1" l="1"/>
  <c r="D56" i="1" s="1"/>
  <c r="D60" i="1" s="1"/>
</calcChain>
</file>

<file path=xl/sharedStrings.xml><?xml version="1.0" encoding="utf-8"?>
<sst xmlns="http://schemas.openxmlformats.org/spreadsheetml/2006/main" count="100" uniqueCount="89">
  <si>
    <t xml:space="preserve">Research Hub Budget </t>
  </si>
  <si>
    <t>Description</t>
  </si>
  <si>
    <t>Y2</t>
  </si>
  <si>
    <t>Y3</t>
  </si>
  <si>
    <t>Y4</t>
  </si>
  <si>
    <t>Y5</t>
  </si>
  <si>
    <t xml:space="preserve">Total </t>
  </si>
  <si>
    <t>Materials and consumables</t>
  </si>
  <si>
    <t>Subtotal</t>
  </si>
  <si>
    <t>Equipment</t>
  </si>
  <si>
    <t>Qty</t>
  </si>
  <si>
    <t>Travel and subsistence</t>
  </si>
  <si>
    <t>Total</t>
  </si>
  <si>
    <t>Overhead</t>
  </si>
  <si>
    <t>Vehicle</t>
  </si>
  <si>
    <t>Permits, licenses, Animal and Human Ethics Fees</t>
  </si>
  <si>
    <t>Provide clinical expertise and healthcare workers training</t>
  </si>
  <si>
    <t>Animal immunization and overall animal care</t>
  </si>
  <si>
    <t>Sample collection, processing and analysis</t>
  </si>
  <si>
    <t>Animal husbandry and care</t>
  </si>
  <si>
    <t>Snake capture, husbandry, and venom collection</t>
  </si>
  <si>
    <t>Consultancy</t>
  </si>
  <si>
    <t>County PIC and MAT meetings with County Health Management Teams (CHMTs)</t>
  </si>
  <si>
    <t>Animal immunization and phlebotomy</t>
  </si>
  <si>
    <t>Field work and training materials</t>
  </si>
  <si>
    <t>Antivenom administration charts, clinical pockets guides and MoH guidelines</t>
  </si>
  <si>
    <t>General laboratory equipment</t>
  </si>
  <si>
    <t>GPS communication devices, voice recorders, data storage devices, health monitoring devices, Nvivo Qual Analysis software license, Digital camera, projector</t>
  </si>
  <si>
    <t>In-country permits (NACOSTI, WRTI, NEMA, ISERC, KWS, IREC)</t>
  </si>
  <si>
    <t>General laboratory consumables</t>
  </si>
  <si>
    <t>Nitrile blue gloves, Biohazard bags, disposable bags, dustbins, beakers, reagent bottles, flasks, lab coats, PPE</t>
  </si>
  <si>
    <t>PIC and MAT</t>
  </si>
  <si>
    <t>Casual work wages</t>
  </si>
  <si>
    <t>ELISA washer and dispenser, Transblot transfer system, BD FACS Melody cell sorter, Carbon dioxide Incubator, Biosafety Level 2 cabinet</t>
  </si>
  <si>
    <t>Venom collection, processing and storage</t>
  </si>
  <si>
    <t>Bijou bottles, beakers, extraction stands, eye wash mounted station</t>
  </si>
  <si>
    <t>Vacutainer tubes, tuberculin syringes, filter membranes, adjuvants, PBS, Biohazard, portable cooler boxes, PPE, etc..</t>
  </si>
  <si>
    <t>Venom characterization (potency, biochemical analysis, proteomics and transcriptomics)</t>
  </si>
  <si>
    <t>Tris buffer, glycinem glycerol, SDS powder, bromophenol blue, coomassie blue, serological pipettes, sodium phosphate, disposable filters, gelatin, Azocasein, enzymatic assay kits, huma fibrinogen, extraction kits, etc..</t>
  </si>
  <si>
    <t>In vitro immunological assays, antibody purification and antibody discovery</t>
  </si>
  <si>
    <t>Tween 20,  96 well plates (Nunc flat bottom), Soy milk, horseradish peroxidase-conjugated rabbit anti-horse IgG secondary antibody, Coating buffer tablets, citric acid, ABTZ tablet, Hydrogen peroxide H2O2, Dried skimmed milk, nitrocellulose membrane, Diaminobenzidine (DAB) substrate, primary and seconday antibodies,Caprylic acid, IgG purification Kits, dialysis cassettes, concentration devices, ...</t>
  </si>
  <si>
    <t>Antivenom quality control preclinical efficacy tests)</t>
  </si>
  <si>
    <t>CD-1 Mice procurement, cages, water bottles, racks, mice beddings and feeding, insulin syringes, dissecting kits, cotton, wool, formaldehyde,…</t>
  </si>
  <si>
    <t>Market analysis and feasibility of locally produced antivenoms, health economics, etc..</t>
  </si>
  <si>
    <t>Stakeholders workshops</t>
  </si>
  <si>
    <t>MoU Workshops relevant stakeholders such KEMSA, PPB, among others</t>
  </si>
  <si>
    <t>Snake capture in different geographic regions and snake husbandry in captivity</t>
  </si>
  <si>
    <t>Snake handling tools, antivenom, PPE, trap boxes, feeding, enrichment, water bottles, drinkers and beddings, etc..</t>
  </si>
  <si>
    <t>Sample analysis and processing (serum and plasma)</t>
  </si>
  <si>
    <t xml:space="preserve">Herpetarium equipment </t>
  </si>
  <si>
    <t>Venom Characterization</t>
  </si>
  <si>
    <t>Serology and antibody discovery</t>
  </si>
  <si>
    <t>Serum and Plasma Isolation (cryovials, cryoboxes, serological pipettes,disposable transfer pipettes, conical tubes, automatic pipet aid,..</t>
  </si>
  <si>
    <t>Public health</t>
  </si>
  <si>
    <t>Toyota Double Cab/ Land Cruiser for collection of snakes from the wild and transport of field personnel</t>
  </si>
  <si>
    <t xml:space="preserve">India- Animal Immunization, Phlebotomy and serology/ capacity building </t>
  </si>
  <si>
    <t>Kenya- Animal Immunization and Phlebotomy</t>
  </si>
  <si>
    <t>Mapping of snakebites in hotspot counties</t>
  </si>
  <si>
    <t>Conduct community engagement on best practices in prevention and control of snakebites, establish community interventions to prevent and control snakebite, train healthcare workers on snakebite treatment and management</t>
  </si>
  <si>
    <t>DSA for herpetologists, veterinarian, nurse, research scientist, driver and sporters. Fuel cost and vehicle maintenance.</t>
  </si>
  <si>
    <t>Logistics, subsistence and travel for veterinarian and assistant research scientist for horse immunizations, phlebotomy and serology.</t>
  </si>
  <si>
    <t xml:space="preserve">Logistics, susbistence and travel for veterinarian, animal technicians for Horse immunizations and phlebotomy </t>
  </si>
  <si>
    <t>Collection of snakes of medical importance from different geographic regions.</t>
  </si>
  <si>
    <t>Investigation, data collection and analysis</t>
  </si>
  <si>
    <t>Program Assistant Research Scientist</t>
  </si>
  <si>
    <t>Program Veterinarian</t>
  </si>
  <si>
    <t>Program Clinical Nurse</t>
  </si>
  <si>
    <t>Program Lab Technologist</t>
  </si>
  <si>
    <t>Program Herpetologists</t>
  </si>
  <si>
    <t>Program Animal Technicians</t>
  </si>
  <si>
    <t>Program Animal Handlers</t>
  </si>
  <si>
    <t>Program Casuals</t>
  </si>
  <si>
    <t>Market analysis and feasibility studies for local production of antivenom</t>
  </si>
  <si>
    <t>GCLP and GCP workshop</t>
  </si>
  <si>
    <t>Good clinical laboratory practice and Good Clinical Practice workshop for training of staff</t>
  </si>
  <si>
    <t>Establishment of laboratories and offices</t>
  </si>
  <si>
    <t>Construction of laboratories and offices</t>
  </si>
  <si>
    <t>Laboratory and Field support allowances</t>
  </si>
  <si>
    <t>Refrigerator (-20°C, +4°C), Fume Hood, HVAC system, Automatic lightning systems, Analytical balance, CCTV Camera installation and security system, Geo-tagging devices, Autoclave (3)</t>
  </si>
  <si>
    <t>Construction of offices for staff, laboratories for immunological and molecular assays, cold room for venom storage, and rodent facility for preclinical research and development of antivenom.</t>
  </si>
  <si>
    <t>Printing and stationery</t>
  </si>
  <si>
    <t>Biosafety cabinet  Class II B2, Double door refrigerator (-20°C, +4°C), Liquid nitrogen tank, Centrifuge, pH meter, power supply extension, UPS, water distiller system, vortex (2), -80°C freezer, Digital camera, Refrigerated centrifuge (2), serial number printing equipment</t>
  </si>
  <si>
    <t xml:space="preserve">Staff and laboratory laptops and desktops, printers, scanners, shredders, calculators, etc… </t>
  </si>
  <si>
    <t xml:space="preserve">Calibration of laboratory and herpetarium equipment </t>
  </si>
  <si>
    <t xml:space="preserve">Service and maintenance </t>
  </si>
  <si>
    <t xml:space="preserve">Quantity </t>
  </si>
  <si>
    <t>Y1 (ksh)</t>
  </si>
  <si>
    <t>Notes</t>
  </si>
  <si>
    <t xml:space="preserve">Gel electrophoresis system, Chromatography columns, HPLC equipment, Mass spectrometry (sample processing fee in another lab), Microplate spectrophotometer, Illumina Hiseq 2500, Thermocycler, mini centrifuge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</si>
</sst>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809]* #,##0.00_-;\-[$£-809]* #,##0.00_-;_-[$£-809]* &quot;-&quot;??_-;_-@"/>
  </numFmts>
  <fonts count="8" x14ac:knownFonts="1">
    <font>
      <sz val="11"/>
      <color theme="1"/>
      <name val="Calibri"/>
      <scheme val="minor"/>
    </font>
    <font>
      <sz val="11"/>
      <color theme="1"/>
      <name val="Calibri"/>
      <family val="2"/>
      <scheme val="minor"/>
    </font>
    <font>
      <b/>
      <sz val="14"/>
      <color rgb="FFC00000"/>
      <name val="Calibri"/>
      <family val="2"/>
    </font>
    <font>
      <sz val="11"/>
      <color theme="1"/>
      <name val="Calibri"/>
      <family val="2"/>
    </font>
    <font>
      <b/>
      <sz val="11"/>
      <color theme="1"/>
      <name val="Calibri"/>
      <family val="2"/>
    </font>
    <font>
      <i/>
      <sz val="11"/>
      <color rgb="FF7F7F7F"/>
      <name val="Calibri"/>
      <family val="2"/>
    </font>
    <font>
      <sz val="11"/>
      <color theme="1"/>
      <name val="Calibri"/>
      <family val="2"/>
      <scheme val="minor"/>
    </font>
    <font>
      <b/>
      <sz val="11"/>
      <color theme="1"/>
      <name val="Calibri"/>
      <family val="2"/>
      <scheme val="minor"/>
    </font>
  </fonts>
  <fills count="15">
    <fill>
      <patternFill patternType="none"/>
    </fill>
    <fill>
      <patternFill patternType="gray125"/>
    </fill>
    <fill>
      <patternFill patternType="solid">
        <fgColor rgb="FFFBE4D5"/>
        <bgColor rgb="FFFBE4D5"/>
      </patternFill>
    </fill>
    <fill>
      <patternFill patternType="solid">
        <fgColor rgb="FFE2EFD9"/>
        <bgColor rgb="FFE2EFD9"/>
      </patternFill>
    </fill>
    <fill>
      <patternFill patternType="solid">
        <fgColor rgb="FFD9E2F3"/>
        <bgColor rgb="FFD9E2F3"/>
      </patternFill>
    </fill>
    <fill>
      <patternFill patternType="solid">
        <fgColor theme="0"/>
        <bgColor rgb="FFFBE4D5"/>
      </patternFill>
    </fill>
    <fill>
      <patternFill patternType="solid">
        <fgColor theme="0"/>
        <bgColor rgb="FFFFFF00"/>
      </patternFill>
    </fill>
    <fill>
      <patternFill patternType="solid">
        <fgColor theme="0"/>
        <bgColor rgb="FF92D050"/>
      </patternFill>
    </fill>
    <fill>
      <patternFill patternType="solid">
        <fgColor theme="0"/>
        <bgColor rgb="FFE2EFD9"/>
      </patternFill>
    </fill>
    <fill>
      <patternFill patternType="solid">
        <fgColor theme="9" tint="0.79998168889431442"/>
        <bgColor rgb="FFE2EFD9"/>
      </patternFill>
    </fill>
    <fill>
      <patternFill patternType="solid">
        <fgColor theme="9" tint="0.79998168889431442"/>
        <bgColor indexed="64"/>
      </patternFill>
    </fill>
    <fill>
      <patternFill patternType="solid">
        <fgColor theme="0"/>
        <bgColor rgb="FFFEF2CB"/>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s>
  <cellStyleXfs count="2">
    <xf numFmtId="0" fontId="0" fillId="0" borderId="0"/>
    <xf numFmtId="43" fontId="6" fillId="0" borderId="0" applyFont="0" applyFill="0" applyBorder="0" applyAlignment="0" applyProtection="0"/>
  </cellStyleXfs>
  <cellXfs count="106">
    <xf numFmtId="0" fontId="0" fillId="0" borderId="0" xfId="0"/>
    <xf numFmtId="0" fontId="2" fillId="0" borderId="0" xfId="0" applyFont="1"/>
    <xf numFmtId="164" fontId="3" fillId="0" borderId="0" xfId="0" applyNumberFormat="1" applyFont="1"/>
    <xf numFmtId="43" fontId="0" fillId="0" borderId="0" xfId="1" applyFont="1"/>
    <xf numFmtId="0" fontId="4" fillId="2" borderId="1" xfId="0" applyFont="1" applyFill="1" applyBorder="1"/>
    <xf numFmtId="43" fontId="4" fillId="2" borderId="1" xfId="1" applyFont="1" applyFill="1" applyBorder="1" applyAlignment="1">
      <alignment horizontal="center"/>
    </xf>
    <xf numFmtId="0" fontId="4" fillId="2" borderId="1" xfId="0" applyFont="1" applyFill="1" applyBorder="1" applyAlignment="1">
      <alignment horizontal="center"/>
    </xf>
    <xf numFmtId="164" fontId="4" fillId="2" borderId="1" xfId="0" applyNumberFormat="1" applyFont="1" applyFill="1" applyBorder="1" applyAlignment="1">
      <alignment horizontal="center"/>
    </xf>
    <xf numFmtId="0" fontId="3" fillId="6" borderId="1" xfId="0" applyFont="1" applyFill="1" applyBorder="1"/>
    <xf numFmtId="0" fontId="3" fillId="6" borderId="1" xfId="0" applyFont="1" applyFill="1" applyBorder="1" applyAlignment="1">
      <alignment horizontal="center"/>
    </xf>
    <xf numFmtId="43" fontId="3" fillId="6" borderId="1" xfId="1" applyFont="1" applyFill="1" applyBorder="1"/>
    <xf numFmtId="164" fontId="3" fillId="6" borderId="1" xfId="0" applyNumberFormat="1" applyFont="1" applyFill="1" applyBorder="1"/>
    <xf numFmtId="164" fontId="3" fillId="6" borderId="1" xfId="0" applyNumberFormat="1" applyFont="1" applyFill="1" applyBorder="1" applyAlignment="1">
      <alignment horizontal="center"/>
    </xf>
    <xf numFmtId="0" fontId="3" fillId="0" borderId="1" xfId="0" applyFont="1" applyBorder="1"/>
    <xf numFmtId="0" fontId="3" fillId="0" borderId="1" xfId="0" applyFont="1" applyBorder="1" applyAlignment="1">
      <alignment wrapText="1"/>
    </xf>
    <xf numFmtId="0" fontId="3" fillId="11" borderId="1" xfId="0" applyFont="1" applyFill="1" applyBorder="1" applyAlignment="1">
      <alignment horizontal="center"/>
    </xf>
    <xf numFmtId="164" fontId="3" fillId="0" borderId="1" xfId="0" applyNumberFormat="1" applyFont="1" applyBorder="1"/>
    <xf numFmtId="164" fontId="3" fillId="0" borderId="1" xfId="0" applyNumberFormat="1" applyFont="1" applyBorder="1" applyAlignment="1">
      <alignment horizontal="center"/>
    </xf>
    <xf numFmtId="43" fontId="3" fillId="0" borderId="1" xfId="1" applyFont="1" applyBorder="1"/>
    <xf numFmtId="0" fontId="4" fillId="9" borderId="1" xfId="0" applyFont="1" applyFill="1" applyBorder="1"/>
    <xf numFmtId="0" fontId="3" fillId="9" borderId="1" xfId="0" applyFont="1" applyFill="1" applyBorder="1" applyAlignment="1">
      <alignment horizontal="center"/>
    </xf>
    <xf numFmtId="164" fontId="3" fillId="9" borderId="1" xfId="0" applyNumberFormat="1" applyFont="1" applyFill="1" applyBorder="1"/>
    <xf numFmtId="164" fontId="3" fillId="10" borderId="1" xfId="0" applyNumberFormat="1" applyFont="1" applyFill="1" applyBorder="1" applyAlignment="1">
      <alignment horizontal="center"/>
    </xf>
    <xf numFmtId="0" fontId="4" fillId="8" borderId="1" xfId="0" applyFont="1" applyFill="1" applyBorder="1"/>
    <xf numFmtId="0" fontId="3" fillId="8" borderId="1" xfId="0" applyFont="1" applyFill="1" applyBorder="1" applyAlignment="1">
      <alignment horizontal="center"/>
    </xf>
    <xf numFmtId="164" fontId="3" fillId="8" borderId="1" xfId="0" applyNumberFormat="1" applyFont="1" applyFill="1" applyBorder="1"/>
    <xf numFmtId="0" fontId="4" fillId="0" borderId="1" xfId="0" applyFont="1" applyBorder="1"/>
    <xf numFmtId="164" fontId="4" fillId="0" borderId="1" xfId="0" applyNumberFormat="1" applyFont="1" applyBorder="1" applyAlignment="1">
      <alignment horizontal="center"/>
    </xf>
    <xf numFmtId="0" fontId="1" fillId="0" borderId="1" xfId="0" applyFont="1" applyBorder="1" applyAlignment="1">
      <alignment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horizontal="center" wrapText="1"/>
    </xf>
    <xf numFmtId="0" fontId="3" fillId="10" borderId="1" xfId="0" applyFont="1" applyFill="1" applyBorder="1"/>
    <xf numFmtId="164" fontId="4" fillId="10" borderId="1" xfId="0" applyNumberFormat="1" applyFont="1" applyFill="1" applyBorder="1" applyAlignment="1">
      <alignment horizontal="center"/>
    </xf>
    <xf numFmtId="0" fontId="3" fillId="10" borderId="1" xfId="0" applyFont="1" applyFill="1" applyBorder="1" applyAlignment="1">
      <alignment horizontal="center"/>
    </xf>
    <xf numFmtId="43" fontId="3" fillId="2" borderId="1" xfId="1" applyFont="1" applyFill="1" applyBorder="1"/>
    <xf numFmtId="0" fontId="3" fillId="2" borderId="1" xfId="0" applyFont="1" applyFill="1" applyBorder="1"/>
    <xf numFmtId="0" fontId="3" fillId="5" borderId="1" xfId="0" applyFont="1" applyFill="1" applyBorder="1"/>
    <xf numFmtId="0" fontId="3" fillId="5" borderId="1" xfId="0" applyFont="1" applyFill="1" applyBorder="1" applyAlignment="1">
      <alignment horizontal="center"/>
    </xf>
    <xf numFmtId="43" fontId="3" fillId="5" borderId="1" xfId="1" applyFont="1" applyFill="1" applyBorder="1"/>
    <xf numFmtId="164" fontId="4" fillId="5" borderId="1" xfId="0" applyNumberFormat="1" applyFont="1" applyFill="1" applyBorder="1" applyAlignment="1">
      <alignment horizontal="center"/>
    </xf>
    <xf numFmtId="0" fontId="4" fillId="5" borderId="1" xfId="0" applyFont="1" applyFill="1" applyBorder="1" applyAlignment="1">
      <alignment horizontal="center"/>
    </xf>
    <xf numFmtId="0" fontId="3" fillId="5" borderId="1" xfId="0" applyFont="1" applyFill="1" applyBorder="1" applyAlignment="1">
      <alignment wrapText="1"/>
    </xf>
    <xf numFmtId="0" fontId="4" fillId="3" borderId="1" xfId="0" applyFont="1" applyFill="1" applyBorder="1"/>
    <xf numFmtId="0" fontId="4" fillId="3" borderId="1" xfId="0" applyFont="1" applyFill="1" applyBorder="1" applyAlignment="1">
      <alignment horizontal="center"/>
    </xf>
    <xf numFmtId="164" fontId="3" fillId="3" borderId="1" xfId="0" applyNumberFormat="1" applyFont="1" applyFill="1" applyBorder="1" applyAlignment="1">
      <alignment horizontal="center"/>
    </xf>
    <xf numFmtId="164" fontId="4" fillId="3" borderId="1" xfId="0" applyNumberFormat="1" applyFont="1" applyFill="1" applyBorder="1" applyAlignment="1">
      <alignment horizontal="center"/>
    </xf>
    <xf numFmtId="0" fontId="4" fillId="0" borderId="1" xfId="0" applyFont="1" applyBorder="1" applyAlignment="1">
      <alignment horizontal="center"/>
    </xf>
    <xf numFmtId="43" fontId="4" fillId="0" borderId="1" xfId="1" applyFont="1" applyBorder="1" applyAlignment="1">
      <alignment horizontal="center"/>
    </xf>
    <xf numFmtId="3" fontId="3" fillId="0" borderId="1" xfId="0" applyNumberFormat="1" applyFont="1" applyBorder="1" applyAlignment="1">
      <alignment horizontal="center" wrapText="1"/>
    </xf>
    <xf numFmtId="164" fontId="3" fillId="3" borderId="1" xfId="0" applyNumberFormat="1" applyFont="1" applyFill="1" applyBorder="1"/>
    <xf numFmtId="0" fontId="4" fillId="4" borderId="1" xfId="0" applyFont="1" applyFill="1" applyBorder="1" applyAlignment="1">
      <alignment wrapText="1"/>
    </xf>
    <xf numFmtId="0" fontId="4" fillId="4" borderId="1" xfId="0" applyFont="1" applyFill="1" applyBorder="1" applyAlignment="1">
      <alignment horizontal="center" wrapText="1"/>
    </xf>
    <xf numFmtId="164" fontId="3" fillId="4" borderId="1" xfId="0" applyNumberFormat="1" applyFont="1" applyFill="1" applyBorder="1"/>
    <xf numFmtId="164" fontId="4" fillId="4" borderId="1" xfId="0" applyNumberFormat="1" applyFont="1" applyFill="1" applyBorder="1" applyAlignment="1">
      <alignment horizontal="center"/>
    </xf>
    <xf numFmtId="10" fontId="0" fillId="0" borderId="1" xfId="0" applyNumberFormat="1" applyBorder="1"/>
    <xf numFmtId="0" fontId="0" fillId="0" borderId="1" xfId="0" applyBorder="1"/>
    <xf numFmtId="43" fontId="0" fillId="0" borderId="1" xfId="1" applyFont="1" applyBorder="1"/>
    <xf numFmtId="164" fontId="5" fillId="0" borderId="1" xfId="0" applyNumberFormat="1" applyFont="1" applyBorder="1" applyAlignment="1">
      <alignment horizontal="center"/>
    </xf>
    <xf numFmtId="43" fontId="4" fillId="9" borderId="1" xfId="1" applyFont="1" applyFill="1" applyBorder="1"/>
    <xf numFmtId="43" fontId="4" fillId="10" borderId="1" xfId="1" applyFont="1" applyFill="1" applyBorder="1"/>
    <xf numFmtId="43" fontId="4" fillId="3" borderId="1" xfId="1" applyFont="1" applyFill="1" applyBorder="1" applyAlignment="1">
      <alignment horizontal="center"/>
    </xf>
    <xf numFmtId="43" fontId="4" fillId="3" borderId="1" xfId="1" applyFont="1" applyFill="1" applyBorder="1"/>
    <xf numFmtId="43" fontId="4" fillId="4" borderId="1" xfId="1" applyFont="1" applyFill="1" applyBorder="1"/>
    <xf numFmtId="0" fontId="3" fillId="13" borderId="1" xfId="0" applyFont="1" applyFill="1" applyBorder="1"/>
    <xf numFmtId="43" fontId="3" fillId="13" borderId="1" xfId="1" applyFont="1" applyFill="1" applyBorder="1"/>
    <xf numFmtId="164" fontId="4" fillId="13" borderId="1" xfId="0" applyNumberFormat="1" applyFont="1" applyFill="1" applyBorder="1" applyAlignment="1">
      <alignment horizontal="center"/>
    </xf>
    <xf numFmtId="0" fontId="4" fillId="13" borderId="1" xfId="0" applyFont="1" applyFill="1" applyBorder="1"/>
    <xf numFmtId="0" fontId="4" fillId="13" borderId="1" xfId="0" applyFont="1" applyFill="1" applyBorder="1" applyAlignment="1">
      <alignment horizontal="center"/>
    </xf>
    <xf numFmtId="43" fontId="4" fillId="13" borderId="1" xfId="1" applyFont="1" applyFill="1" applyBorder="1" applyAlignment="1">
      <alignment horizontal="center"/>
    </xf>
    <xf numFmtId="164" fontId="3" fillId="13" borderId="1" xfId="0" applyNumberFormat="1" applyFont="1" applyFill="1" applyBorder="1" applyAlignment="1">
      <alignment horizontal="center"/>
    </xf>
    <xf numFmtId="43" fontId="4" fillId="8" borderId="1" xfId="1" applyFont="1" applyFill="1" applyBorder="1"/>
    <xf numFmtId="164" fontId="3" fillId="14" borderId="1" xfId="0" applyNumberFormat="1" applyFont="1" applyFill="1" applyBorder="1" applyAlignment="1">
      <alignment horizontal="center"/>
    </xf>
    <xf numFmtId="0" fontId="0" fillId="14" borderId="0" xfId="0" applyFill="1"/>
    <xf numFmtId="0" fontId="4" fillId="13" borderId="2" xfId="0" applyFont="1" applyFill="1" applyBorder="1" applyAlignment="1">
      <alignment wrapText="1"/>
    </xf>
    <xf numFmtId="0" fontId="4" fillId="13" borderId="3" xfId="0" applyFont="1" applyFill="1" applyBorder="1" applyAlignment="1">
      <alignment horizontal="center"/>
    </xf>
    <xf numFmtId="43" fontId="4" fillId="13" borderId="3" xfId="1" applyFont="1" applyFill="1" applyBorder="1" applyAlignment="1">
      <alignment horizontal="center"/>
    </xf>
    <xf numFmtId="164" fontId="4" fillId="13" borderId="3" xfId="0" applyNumberFormat="1" applyFont="1" applyFill="1" applyBorder="1" applyAlignment="1">
      <alignment horizontal="center"/>
    </xf>
    <xf numFmtId="0" fontId="4" fillId="13" borderId="4" xfId="0" applyFont="1" applyFill="1" applyBorder="1" applyAlignment="1">
      <alignment horizontal="center"/>
    </xf>
    <xf numFmtId="0" fontId="3" fillId="0" borderId="5" xfId="0" applyFont="1" applyBorder="1"/>
    <xf numFmtId="0" fontId="3" fillId="0" borderId="6" xfId="0" applyFont="1" applyBorder="1"/>
    <xf numFmtId="0" fontId="3" fillId="0" borderId="5" xfId="0" applyFont="1" applyBorder="1" applyAlignment="1"/>
    <xf numFmtId="164" fontId="3" fillId="0" borderId="6" xfId="0" applyNumberFormat="1" applyFont="1" applyBorder="1"/>
    <xf numFmtId="0" fontId="4" fillId="10" borderId="5" xfId="0" applyFont="1" applyFill="1" applyBorder="1"/>
    <xf numFmtId="0" fontId="4" fillId="0" borderId="5" xfId="0" applyFont="1" applyBorder="1"/>
    <xf numFmtId="0" fontId="4" fillId="2" borderId="5" xfId="0" applyFont="1" applyFill="1" applyBorder="1"/>
    <xf numFmtId="0" fontId="3" fillId="5" borderId="5" xfId="0" applyFont="1" applyFill="1" applyBorder="1" applyAlignment="1">
      <alignment wrapText="1"/>
    </xf>
    <xf numFmtId="0" fontId="3" fillId="5" borderId="5" xfId="0" applyFont="1" applyFill="1" applyBorder="1"/>
    <xf numFmtId="0" fontId="4" fillId="3" borderId="5" xfId="0" applyFont="1" applyFill="1" applyBorder="1"/>
    <xf numFmtId="0" fontId="3" fillId="0" borderId="5" xfId="0" applyFont="1" applyBorder="1" applyAlignment="1">
      <alignment wrapText="1"/>
    </xf>
    <xf numFmtId="0" fontId="4" fillId="13" borderId="5" xfId="0" applyFont="1" applyFill="1" applyBorder="1"/>
    <xf numFmtId="0" fontId="3" fillId="6" borderId="5" xfId="0" applyFont="1" applyFill="1" applyBorder="1"/>
    <xf numFmtId="0" fontId="3" fillId="6" borderId="6" xfId="0" applyFont="1" applyFill="1" applyBorder="1"/>
    <xf numFmtId="0" fontId="3" fillId="7" borderId="5" xfId="0" applyFont="1" applyFill="1" applyBorder="1"/>
    <xf numFmtId="0" fontId="4" fillId="9" borderId="5" xfId="0" applyFont="1" applyFill="1" applyBorder="1"/>
    <xf numFmtId="0" fontId="4" fillId="8" borderId="5" xfId="0" applyFont="1" applyFill="1" applyBorder="1"/>
    <xf numFmtId="0" fontId="3" fillId="14" borderId="6" xfId="0" applyFont="1" applyFill="1" applyBorder="1"/>
    <xf numFmtId="0" fontId="4" fillId="4" borderId="5" xfId="0" applyFont="1" applyFill="1" applyBorder="1" applyAlignment="1">
      <alignment wrapText="1"/>
    </xf>
    <xf numFmtId="0" fontId="7" fillId="0" borderId="5" xfId="0" applyFont="1" applyBorder="1"/>
    <xf numFmtId="0" fontId="0" fillId="0" borderId="6" xfId="0" applyBorder="1"/>
    <xf numFmtId="0" fontId="0" fillId="0" borderId="5" xfId="0" applyBorder="1"/>
    <xf numFmtId="0" fontId="7" fillId="12" borderId="7" xfId="0" applyFont="1" applyFill="1" applyBorder="1"/>
    <xf numFmtId="0" fontId="0" fillId="12" borderId="8" xfId="0" applyFill="1" applyBorder="1"/>
    <xf numFmtId="43" fontId="7" fillId="12" borderId="8" xfId="1" applyFont="1" applyFill="1" applyBorder="1"/>
    <xf numFmtId="164" fontId="3" fillId="12" borderId="8" xfId="0" applyNumberFormat="1" applyFont="1" applyFill="1" applyBorder="1"/>
    <xf numFmtId="0" fontId="0" fillId="0" borderId="9" xfId="0"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enom\Programme%20Office\Grants\_New%20proposals\2022\WT%20-%20Research%20Hub_DL_YS\Budget\WT-Research%20Hub_Budget_Draft_23.01.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udget"/>
      <sheetName val="LSTM - Research Hub"/>
      <sheetName val="Nigeria (BUK) - Research Hub"/>
      <sheetName val="Kenya (IPR) - Research Hub"/>
      <sheetName val="Rwanda - Research Hub"/>
      <sheetName val="Ghana - Research Hub"/>
      <sheetName val="Eswatini (EAF) - Research Hub"/>
      <sheetName val="Payment &amp; Reporting Schedule"/>
      <sheetName val="Analytics"/>
      <sheetName val="Budget Pivot"/>
      <sheetName val="Historic Budget Summaries"/>
      <sheetName val="Config"/>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10"/>
  <sheetViews>
    <sheetView tabSelected="1" zoomScale="83" zoomScaleNormal="130" workbookViewId="0">
      <selection activeCell="G36" sqref="G36"/>
    </sheetView>
  </sheetViews>
  <sheetFormatPr defaultColWidth="14.44140625" defaultRowHeight="15" customHeight="1" x14ac:dyDescent="0.3"/>
  <cols>
    <col min="1" max="1" width="42" customWidth="1"/>
    <col min="2" max="2" width="60.33203125" customWidth="1"/>
    <col min="3" max="3" width="11" customWidth="1"/>
    <col min="4" max="4" width="17.44140625" style="3" customWidth="1"/>
    <col min="5" max="8" width="17.44140625" customWidth="1"/>
    <col min="9" max="9" width="24.109375" customWidth="1"/>
    <col min="10" max="10" width="26.33203125" customWidth="1"/>
    <col min="11" max="12" width="8.6640625" customWidth="1"/>
    <col min="13" max="13" width="13.109375" customWidth="1"/>
    <col min="14" max="14" width="8.6640625" customWidth="1"/>
    <col min="15" max="15" width="14.44140625" customWidth="1"/>
    <col min="16" max="26" width="8.6640625" customWidth="1"/>
  </cols>
  <sheetData>
    <row r="1" spans="1:10" ht="18" x14ac:dyDescent="0.35">
      <c r="A1" s="1" t="s">
        <v>0</v>
      </c>
      <c r="B1" s="1"/>
      <c r="I1" s="2"/>
    </row>
    <row r="2" spans="1:10" ht="17.25" customHeight="1" thickBot="1" x14ac:dyDescent="0.4">
      <c r="A2" s="1"/>
      <c r="B2" s="1"/>
      <c r="I2" s="2"/>
    </row>
    <row r="3" spans="1:10" ht="28.8" x14ac:dyDescent="0.3">
      <c r="A3" s="74" t="s">
        <v>72</v>
      </c>
      <c r="B3" s="75" t="s">
        <v>1</v>
      </c>
      <c r="C3" s="75" t="s">
        <v>85</v>
      </c>
      <c r="D3" s="76" t="s">
        <v>86</v>
      </c>
      <c r="E3" s="75" t="s">
        <v>2</v>
      </c>
      <c r="F3" s="75" t="s">
        <v>3</v>
      </c>
      <c r="G3" s="75" t="s">
        <v>4</v>
      </c>
      <c r="H3" s="75" t="s">
        <v>5</v>
      </c>
      <c r="I3" s="77" t="s">
        <v>12</v>
      </c>
      <c r="J3" s="78" t="s">
        <v>87</v>
      </c>
    </row>
    <row r="4" spans="1:10" ht="28.8" x14ac:dyDescent="0.3">
      <c r="A4" s="79" t="s">
        <v>21</v>
      </c>
      <c r="B4" s="28" t="s">
        <v>43</v>
      </c>
      <c r="C4" s="29">
        <v>1</v>
      </c>
      <c r="D4" s="18">
        <v>11000000</v>
      </c>
      <c r="E4" s="13"/>
      <c r="F4" s="13"/>
      <c r="G4" s="13"/>
      <c r="H4" s="13"/>
      <c r="I4" s="27"/>
      <c r="J4" s="80"/>
    </row>
    <row r="5" spans="1:10" ht="15.75" customHeight="1" x14ac:dyDescent="0.3">
      <c r="A5" s="81" t="s">
        <v>15</v>
      </c>
      <c r="B5" s="14" t="s">
        <v>28</v>
      </c>
      <c r="C5" s="31">
        <v>1</v>
      </c>
      <c r="D5" s="18">
        <v>558000</v>
      </c>
      <c r="E5" s="16"/>
      <c r="F5" s="16"/>
      <c r="G5" s="16"/>
      <c r="H5" s="16"/>
      <c r="I5" s="17"/>
      <c r="J5" s="82"/>
    </row>
    <row r="6" spans="1:10" ht="28.8" x14ac:dyDescent="0.3">
      <c r="A6" s="79" t="s">
        <v>31</v>
      </c>
      <c r="B6" s="14" t="s">
        <v>22</v>
      </c>
      <c r="C6" s="29">
        <v>30</v>
      </c>
      <c r="D6" s="18">
        <v>4000000</v>
      </c>
      <c r="E6" s="13"/>
      <c r="F6" s="13"/>
      <c r="G6" s="13"/>
      <c r="H6" s="13"/>
      <c r="I6" s="27"/>
      <c r="J6" s="80"/>
    </row>
    <row r="7" spans="1:10" ht="14.4" x14ac:dyDescent="0.3">
      <c r="A7" s="79" t="s">
        <v>44</v>
      </c>
      <c r="B7" s="13" t="s">
        <v>45</v>
      </c>
      <c r="C7" s="29">
        <v>6</v>
      </c>
      <c r="D7" s="18">
        <v>4320000</v>
      </c>
      <c r="E7" s="13"/>
      <c r="F7" s="13"/>
      <c r="G7" s="13"/>
      <c r="H7" s="13"/>
      <c r="I7" s="27"/>
      <c r="J7" s="80"/>
    </row>
    <row r="8" spans="1:10" ht="28.8" x14ac:dyDescent="0.3">
      <c r="A8" s="79" t="s">
        <v>73</v>
      </c>
      <c r="B8" s="14" t="s">
        <v>74</v>
      </c>
      <c r="C8" s="29">
        <v>1</v>
      </c>
      <c r="D8" s="18">
        <v>3500000</v>
      </c>
      <c r="E8" s="13"/>
      <c r="F8" s="13"/>
      <c r="G8" s="13"/>
      <c r="H8" s="13"/>
      <c r="I8" s="27"/>
      <c r="J8" s="80"/>
    </row>
    <row r="9" spans="1:10" ht="14.4" x14ac:dyDescent="0.3">
      <c r="A9" s="83" t="s">
        <v>8</v>
      </c>
      <c r="B9" s="32"/>
      <c r="C9" s="32"/>
      <c r="D9" s="60">
        <f>SUM(D4:D8)</f>
        <v>23378000</v>
      </c>
      <c r="E9" s="32"/>
      <c r="F9" s="32"/>
      <c r="G9" s="32"/>
      <c r="H9" s="32"/>
      <c r="I9" s="33"/>
      <c r="J9" s="80"/>
    </row>
    <row r="10" spans="1:10" ht="14.4" x14ac:dyDescent="0.3">
      <c r="A10" s="79"/>
      <c r="B10" s="13"/>
      <c r="C10" s="13"/>
      <c r="D10" s="18"/>
      <c r="E10" s="13"/>
      <c r="F10" s="13"/>
      <c r="G10" s="13"/>
      <c r="H10" s="13"/>
      <c r="I10" s="27"/>
      <c r="J10" s="80"/>
    </row>
    <row r="11" spans="1:10" ht="14.4" x14ac:dyDescent="0.3">
      <c r="A11" s="90" t="s">
        <v>76</v>
      </c>
      <c r="B11" s="64"/>
      <c r="C11" s="68" t="s">
        <v>10</v>
      </c>
      <c r="D11" s="65"/>
      <c r="E11" s="64"/>
      <c r="F11" s="64"/>
      <c r="G11" s="64"/>
      <c r="H11" s="64"/>
      <c r="I11" s="66"/>
      <c r="J11" s="80"/>
    </row>
    <row r="12" spans="1:10" ht="43.2" x14ac:dyDescent="0.3">
      <c r="A12" s="79" t="s">
        <v>75</v>
      </c>
      <c r="B12" s="14" t="s">
        <v>79</v>
      </c>
      <c r="C12" s="29">
        <v>1</v>
      </c>
      <c r="D12" s="18">
        <v>50000000</v>
      </c>
      <c r="E12" s="13"/>
      <c r="F12" s="13"/>
      <c r="G12" s="13"/>
      <c r="H12" s="13"/>
      <c r="I12" s="27"/>
      <c r="J12" s="80"/>
    </row>
    <row r="13" spans="1:10" ht="14.4" x14ac:dyDescent="0.3">
      <c r="A13" s="83" t="s">
        <v>8</v>
      </c>
      <c r="B13" s="32"/>
      <c r="C13" s="34"/>
      <c r="D13" s="60">
        <v>50000000</v>
      </c>
      <c r="E13" s="32"/>
      <c r="F13" s="32"/>
      <c r="G13" s="32"/>
      <c r="H13" s="32"/>
      <c r="I13" s="33"/>
      <c r="J13" s="80"/>
    </row>
    <row r="14" spans="1:10" ht="14.4" x14ac:dyDescent="0.3">
      <c r="A14" s="79"/>
      <c r="B14" s="13"/>
      <c r="C14" s="29"/>
      <c r="D14" s="18"/>
      <c r="E14" s="13"/>
      <c r="F14" s="13"/>
      <c r="G14" s="13"/>
      <c r="H14" s="13"/>
      <c r="I14" s="27"/>
      <c r="J14" s="80"/>
    </row>
    <row r="15" spans="1:10" ht="14.4" x14ac:dyDescent="0.3">
      <c r="A15" s="85" t="s">
        <v>7</v>
      </c>
      <c r="B15" s="4"/>
      <c r="C15" s="6" t="s">
        <v>10</v>
      </c>
      <c r="D15" s="35"/>
      <c r="E15" s="36"/>
      <c r="F15" s="36"/>
      <c r="G15" s="36"/>
      <c r="H15" s="36"/>
      <c r="I15" s="7"/>
      <c r="J15" s="80"/>
    </row>
    <row r="16" spans="1:10" ht="28.8" x14ac:dyDescent="0.3">
      <c r="A16" s="86" t="s">
        <v>46</v>
      </c>
      <c r="B16" s="42" t="s">
        <v>47</v>
      </c>
      <c r="C16" s="38"/>
      <c r="D16" s="39">
        <v>8218500</v>
      </c>
      <c r="E16" s="37"/>
      <c r="F16" s="37"/>
      <c r="G16" s="37"/>
      <c r="H16" s="37"/>
      <c r="I16" s="40"/>
      <c r="J16" s="80"/>
    </row>
    <row r="17" spans="1:10" ht="14.4" x14ac:dyDescent="0.3">
      <c r="A17" s="87" t="s">
        <v>34</v>
      </c>
      <c r="B17" s="37" t="s">
        <v>35</v>
      </c>
      <c r="C17" s="41"/>
      <c r="D17" s="39">
        <v>3116000</v>
      </c>
      <c r="E17" s="37"/>
      <c r="F17" s="37"/>
      <c r="G17" s="37"/>
      <c r="H17" s="37"/>
      <c r="I17" s="40"/>
      <c r="J17" s="80"/>
    </row>
    <row r="18" spans="1:10" ht="28.8" x14ac:dyDescent="0.3">
      <c r="A18" s="87" t="s">
        <v>29</v>
      </c>
      <c r="B18" s="42" t="s">
        <v>30</v>
      </c>
      <c r="C18" s="41"/>
      <c r="D18" s="39">
        <v>2970000</v>
      </c>
      <c r="E18" s="37"/>
      <c r="F18" s="37"/>
      <c r="G18" s="37"/>
      <c r="H18" s="37"/>
      <c r="I18" s="40"/>
      <c r="J18" s="80"/>
    </row>
    <row r="19" spans="1:10" ht="28.8" x14ac:dyDescent="0.3">
      <c r="A19" s="87" t="s">
        <v>23</v>
      </c>
      <c r="B19" s="42" t="s">
        <v>36</v>
      </c>
      <c r="C19" s="41"/>
      <c r="D19" s="39">
        <v>3077790</v>
      </c>
      <c r="E19" s="37"/>
      <c r="F19" s="37"/>
      <c r="G19" s="37"/>
      <c r="H19" s="37"/>
      <c r="I19" s="40"/>
      <c r="J19" s="80"/>
    </row>
    <row r="20" spans="1:10" ht="43.2" x14ac:dyDescent="0.3">
      <c r="A20" s="86" t="s">
        <v>48</v>
      </c>
      <c r="B20" s="42" t="s">
        <v>52</v>
      </c>
      <c r="C20" s="41"/>
      <c r="D20" s="39">
        <v>3227841</v>
      </c>
      <c r="E20" s="37"/>
      <c r="F20" s="37"/>
      <c r="G20" s="37"/>
      <c r="H20" s="37"/>
      <c r="I20" s="40"/>
      <c r="J20" s="80"/>
    </row>
    <row r="21" spans="1:10" ht="57.6" x14ac:dyDescent="0.3">
      <c r="A21" s="86" t="s">
        <v>37</v>
      </c>
      <c r="B21" s="42" t="s">
        <v>38</v>
      </c>
      <c r="C21" s="41"/>
      <c r="D21" s="39">
        <v>5453741</v>
      </c>
      <c r="E21" s="37"/>
      <c r="F21" s="37"/>
      <c r="G21" s="37"/>
      <c r="H21" s="37"/>
      <c r="I21" s="40"/>
      <c r="J21" s="80"/>
    </row>
    <row r="22" spans="1:10" ht="100.8" x14ac:dyDescent="0.3">
      <c r="A22" s="86" t="s">
        <v>39</v>
      </c>
      <c r="B22" s="42" t="s">
        <v>40</v>
      </c>
      <c r="C22" s="41"/>
      <c r="D22" s="39">
        <v>3848021</v>
      </c>
      <c r="E22" s="37"/>
      <c r="F22" s="37"/>
      <c r="G22" s="37"/>
      <c r="H22" s="37"/>
      <c r="I22" s="40"/>
      <c r="J22" s="80"/>
    </row>
    <row r="23" spans="1:10" ht="28.8" x14ac:dyDescent="0.3">
      <c r="A23" s="86" t="s">
        <v>41</v>
      </c>
      <c r="B23" s="42" t="s">
        <v>42</v>
      </c>
      <c r="C23" s="41"/>
      <c r="D23" s="39">
        <v>4896000</v>
      </c>
      <c r="E23" s="37"/>
      <c r="F23" s="37"/>
      <c r="G23" s="37"/>
      <c r="H23" s="37"/>
      <c r="I23" s="40"/>
      <c r="J23" s="80"/>
    </row>
    <row r="24" spans="1:10" ht="28.8" x14ac:dyDescent="0.3">
      <c r="A24" s="87" t="s">
        <v>24</v>
      </c>
      <c r="B24" s="42" t="s">
        <v>25</v>
      </c>
      <c r="C24" s="41"/>
      <c r="D24" s="39">
        <v>4000000</v>
      </c>
      <c r="E24" s="37"/>
      <c r="F24" s="37"/>
      <c r="G24" s="37"/>
      <c r="H24" s="37"/>
      <c r="I24" s="40"/>
      <c r="J24" s="80"/>
    </row>
    <row r="25" spans="1:10" ht="28.8" x14ac:dyDescent="0.3">
      <c r="A25" s="87" t="s">
        <v>80</v>
      </c>
      <c r="B25" s="42" t="s">
        <v>82</v>
      </c>
      <c r="C25" s="41"/>
      <c r="D25" s="39">
        <v>2060000</v>
      </c>
      <c r="E25" s="37"/>
      <c r="F25" s="37"/>
      <c r="G25" s="37"/>
      <c r="H25" s="37"/>
      <c r="I25" s="40"/>
      <c r="J25" s="80"/>
    </row>
    <row r="26" spans="1:10" ht="14.4" x14ac:dyDescent="0.3">
      <c r="A26" s="88" t="s">
        <v>8</v>
      </c>
      <c r="B26" s="43"/>
      <c r="C26" s="44"/>
      <c r="D26" s="61">
        <f>SUM(D16:D25)</f>
        <v>40867893</v>
      </c>
      <c r="E26" s="45"/>
      <c r="F26" s="45"/>
      <c r="G26" s="45"/>
      <c r="H26" s="45"/>
      <c r="I26" s="46"/>
      <c r="J26" s="80"/>
    </row>
    <row r="27" spans="1:10" ht="14.4" x14ac:dyDescent="0.3">
      <c r="A27" s="84"/>
      <c r="B27" s="26"/>
      <c r="C27" s="47"/>
      <c r="D27" s="48"/>
      <c r="E27" s="13"/>
      <c r="F27" s="13"/>
      <c r="G27" s="13"/>
      <c r="H27" s="13"/>
      <c r="I27" s="27"/>
      <c r="J27" s="80"/>
    </row>
    <row r="28" spans="1:10" ht="14.4" x14ac:dyDescent="0.3">
      <c r="A28" s="85" t="s">
        <v>9</v>
      </c>
      <c r="B28" s="4"/>
      <c r="C28" s="6" t="s">
        <v>10</v>
      </c>
      <c r="D28" s="5"/>
      <c r="E28" s="36"/>
      <c r="F28" s="36"/>
      <c r="G28" s="36"/>
      <c r="H28" s="36"/>
      <c r="I28" s="7"/>
      <c r="J28" s="80"/>
    </row>
    <row r="29" spans="1:10" ht="43.2" x14ac:dyDescent="0.3">
      <c r="A29" s="89" t="s">
        <v>49</v>
      </c>
      <c r="B29" s="14" t="s">
        <v>78</v>
      </c>
      <c r="C29" s="31"/>
      <c r="D29" s="18">
        <v>8010352</v>
      </c>
      <c r="E29" s="16"/>
      <c r="F29" s="16"/>
      <c r="G29" s="16"/>
      <c r="H29" s="16"/>
      <c r="I29" s="17"/>
      <c r="J29" s="80"/>
    </row>
    <row r="30" spans="1:10" ht="57.6" x14ac:dyDescent="0.3">
      <c r="A30" s="89" t="s">
        <v>26</v>
      </c>
      <c r="B30" s="14" t="s">
        <v>81</v>
      </c>
      <c r="C30" s="31"/>
      <c r="D30" s="18">
        <v>8247860</v>
      </c>
      <c r="E30" s="16"/>
      <c r="F30" s="16"/>
      <c r="G30" s="16"/>
      <c r="H30" s="16"/>
      <c r="I30" s="17"/>
      <c r="J30" s="80"/>
    </row>
    <row r="31" spans="1:10" ht="57.6" x14ac:dyDescent="0.3">
      <c r="A31" s="89" t="s">
        <v>50</v>
      </c>
      <c r="B31" s="14" t="s">
        <v>88</v>
      </c>
      <c r="C31" s="31"/>
      <c r="D31" s="18">
        <v>31083737</v>
      </c>
      <c r="E31" s="16"/>
      <c r="F31" s="16"/>
      <c r="G31" s="16"/>
      <c r="H31" s="16"/>
      <c r="I31" s="17"/>
      <c r="J31" s="80"/>
    </row>
    <row r="32" spans="1:10" ht="28.8" x14ac:dyDescent="0.3">
      <c r="A32" s="89" t="s">
        <v>51</v>
      </c>
      <c r="B32" s="14" t="s">
        <v>33</v>
      </c>
      <c r="C32" s="31"/>
      <c r="D32" s="18">
        <v>15995158</v>
      </c>
      <c r="E32" s="16"/>
      <c r="F32" s="16"/>
      <c r="G32" s="16"/>
      <c r="H32" s="16"/>
      <c r="I32" s="17"/>
      <c r="J32" s="80"/>
    </row>
    <row r="33" spans="1:15" ht="43.2" x14ac:dyDescent="0.3">
      <c r="A33" s="89" t="s">
        <v>53</v>
      </c>
      <c r="B33" s="14" t="s">
        <v>27</v>
      </c>
      <c r="C33" s="49"/>
      <c r="D33" s="18">
        <v>2000000</v>
      </c>
      <c r="E33" s="16"/>
      <c r="F33" s="16"/>
      <c r="G33" s="16"/>
      <c r="H33" s="16"/>
      <c r="I33" s="17"/>
      <c r="J33" s="80"/>
    </row>
    <row r="34" spans="1:15" ht="28.8" x14ac:dyDescent="0.3">
      <c r="A34" s="89" t="s">
        <v>14</v>
      </c>
      <c r="B34" s="14" t="s">
        <v>54</v>
      </c>
      <c r="C34" s="31"/>
      <c r="D34" s="18">
        <v>8000000</v>
      </c>
      <c r="E34" s="16"/>
      <c r="F34" s="16"/>
      <c r="G34" s="16"/>
      <c r="H34" s="16"/>
      <c r="I34" s="17"/>
      <c r="J34" s="80"/>
    </row>
    <row r="35" spans="1:15" ht="14.4" x14ac:dyDescent="0.3">
      <c r="A35" s="89" t="s">
        <v>84</v>
      </c>
      <c r="B35" s="14" t="s">
        <v>83</v>
      </c>
      <c r="C35" s="31"/>
      <c r="D35" s="18">
        <v>4000000</v>
      </c>
      <c r="E35" s="16"/>
      <c r="F35" s="16"/>
      <c r="G35" s="16"/>
      <c r="H35" s="16"/>
      <c r="I35" s="17"/>
      <c r="J35" s="80"/>
    </row>
    <row r="36" spans="1:15" ht="15.75" customHeight="1" x14ac:dyDescent="0.3">
      <c r="A36" s="88" t="s">
        <v>8</v>
      </c>
      <c r="B36" s="43"/>
      <c r="C36" s="44"/>
      <c r="D36" s="62">
        <f>SUM(D29:D35)</f>
        <v>77337107</v>
      </c>
      <c r="E36" s="50"/>
      <c r="F36" s="50"/>
      <c r="G36" s="50"/>
      <c r="H36" s="50"/>
      <c r="I36" s="22"/>
      <c r="J36" s="80"/>
    </row>
    <row r="37" spans="1:15" ht="15.75" customHeight="1" x14ac:dyDescent="0.3">
      <c r="A37" s="84"/>
      <c r="B37" s="26"/>
      <c r="C37" s="47"/>
      <c r="D37" s="48"/>
      <c r="E37" s="13"/>
      <c r="F37" s="13"/>
      <c r="G37" s="13"/>
      <c r="H37" s="13"/>
      <c r="I37" s="17"/>
      <c r="J37" s="80"/>
      <c r="M37" s="2"/>
    </row>
    <row r="38" spans="1:15" ht="15.75" customHeight="1" x14ac:dyDescent="0.3">
      <c r="A38" s="90" t="s">
        <v>77</v>
      </c>
      <c r="B38" s="67"/>
      <c r="C38" s="68" t="s">
        <v>10</v>
      </c>
      <c r="D38" s="69"/>
      <c r="E38" s="64"/>
      <c r="F38" s="64"/>
      <c r="G38" s="64"/>
      <c r="H38" s="64"/>
      <c r="I38" s="70"/>
      <c r="J38" s="96"/>
      <c r="M38" s="2"/>
    </row>
    <row r="39" spans="1:15" ht="14.4" x14ac:dyDescent="0.3">
      <c r="A39" s="91" t="s">
        <v>64</v>
      </c>
      <c r="B39" s="8" t="s">
        <v>63</v>
      </c>
      <c r="C39" s="9">
        <v>1</v>
      </c>
      <c r="D39" s="10">
        <f>100000*1*12</f>
        <v>1200000</v>
      </c>
      <c r="E39" s="11"/>
      <c r="F39" s="11"/>
      <c r="G39" s="11"/>
      <c r="H39" s="11"/>
      <c r="I39" s="12"/>
      <c r="J39" s="92"/>
    </row>
    <row r="40" spans="1:15" ht="14.4" x14ac:dyDescent="0.3">
      <c r="A40" s="93" t="s">
        <v>65</v>
      </c>
      <c r="B40" s="13" t="s">
        <v>17</v>
      </c>
      <c r="C40" s="15">
        <v>1</v>
      </c>
      <c r="D40" s="10">
        <f>100000*1*12</f>
        <v>1200000</v>
      </c>
      <c r="E40" s="16"/>
      <c r="F40" s="16"/>
      <c r="G40" s="16"/>
      <c r="H40" s="16"/>
      <c r="I40" s="17"/>
      <c r="J40" s="80"/>
    </row>
    <row r="41" spans="1:15" ht="14.4" x14ac:dyDescent="0.3">
      <c r="A41" s="93" t="s">
        <v>66</v>
      </c>
      <c r="B41" s="13" t="s">
        <v>16</v>
      </c>
      <c r="C41" s="15">
        <v>1</v>
      </c>
      <c r="D41" s="18">
        <f>80000*1*12</f>
        <v>960000</v>
      </c>
      <c r="E41" s="16"/>
      <c r="F41" s="16"/>
      <c r="G41" s="16"/>
      <c r="H41" s="16"/>
      <c r="I41" s="17"/>
      <c r="J41" s="80"/>
    </row>
    <row r="42" spans="1:15" ht="14.4" x14ac:dyDescent="0.3">
      <c r="A42" s="79" t="s">
        <v>67</v>
      </c>
      <c r="B42" s="13" t="s">
        <v>18</v>
      </c>
      <c r="C42" s="15">
        <v>1</v>
      </c>
      <c r="D42" s="18">
        <f>75000*1*12</f>
        <v>900000</v>
      </c>
      <c r="E42" s="16"/>
      <c r="F42" s="16"/>
      <c r="G42" s="16"/>
      <c r="H42" s="16"/>
      <c r="I42" s="17"/>
      <c r="J42" s="80"/>
      <c r="O42" s="2"/>
    </row>
    <row r="43" spans="1:15" ht="14.4" x14ac:dyDescent="0.3">
      <c r="A43" s="79" t="s">
        <v>68</v>
      </c>
      <c r="B43" s="13" t="s">
        <v>20</v>
      </c>
      <c r="C43" s="15">
        <v>2</v>
      </c>
      <c r="D43" s="18">
        <f>65000*2*12</f>
        <v>1560000</v>
      </c>
      <c r="E43" s="16"/>
      <c r="F43" s="16"/>
      <c r="G43" s="16"/>
      <c r="H43" s="16"/>
      <c r="I43" s="17"/>
      <c r="J43" s="80"/>
      <c r="O43" s="2"/>
    </row>
    <row r="44" spans="1:15" ht="14.4" x14ac:dyDescent="0.3">
      <c r="A44" s="79" t="s">
        <v>69</v>
      </c>
      <c r="B44" s="13" t="s">
        <v>19</v>
      </c>
      <c r="C44" s="15">
        <v>2</v>
      </c>
      <c r="D44" s="18">
        <f>60000*2*12</f>
        <v>1440000</v>
      </c>
      <c r="E44" s="16"/>
      <c r="F44" s="16"/>
      <c r="G44" s="16"/>
      <c r="H44" s="16"/>
      <c r="I44" s="17"/>
      <c r="J44" s="80"/>
      <c r="O44" s="2"/>
    </row>
    <row r="45" spans="1:15" ht="14.4" x14ac:dyDescent="0.3">
      <c r="A45" s="79" t="s">
        <v>70</v>
      </c>
      <c r="B45" s="13" t="s">
        <v>19</v>
      </c>
      <c r="C45" s="15">
        <v>4</v>
      </c>
      <c r="D45" s="18">
        <f>40000*4*12</f>
        <v>1920000</v>
      </c>
      <c r="E45" s="16"/>
      <c r="F45" s="16"/>
      <c r="G45" s="16"/>
      <c r="H45" s="16"/>
      <c r="I45" s="17"/>
      <c r="J45" s="80"/>
      <c r="O45" s="2"/>
    </row>
    <row r="46" spans="1:15" ht="14.4" x14ac:dyDescent="0.3">
      <c r="A46" s="79" t="s">
        <v>71</v>
      </c>
      <c r="B46" s="8" t="s">
        <v>32</v>
      </c>
      <c r="C46" s="15">
        <v>6</v>
      </c>
      <c r="D46" s="18">
        <f>20000*6*12</f>
        <v>1440000</v>
      </c>
      <c r="E46" s="16"/>
      <c r="F46" s="16"/>
      <c r="G46" s="16"/>
      <c r="H46" s="16"/>
      <c r="I46" s="17"/>
      <c r="J46" s="80"/>
      <c r="O46" s="2"/>
    </row>
    <row r="47" spans="1:15" ht="14.4" x14ac:dyDescent="0.3">
      <c r="A47" s="94" t="s">
        <v>8</v>
      </c>
      <c r="B47" s="19"/>
      <c r="C47" s="20"/>
      <c r="D47" s="59">
        <f>SUM(D39:D46)</f>
        <v>10620000</v>
      </c>
      <c r="E47" s="21"/>
      <c r="F47" s="21"/>
      <c r="G47" s="21"/>
      <c r="H47" s="21"/>
      <c r="I47" s="22"/>
      <c r="J47" s="80"/>
    </row>
    <row r="48" spans="1:15" s="73" customFormat="1" ht="14.4" x14ac:dyDescent="0.3">
      <c r="A48" s="95"/>
      <c r="B48" s="23"/>
      <c r="C48" s="24"/>
      <c r="D48" s="71"/>
      <c r="E48" s="25"/>
      <c r="F48" s="25"/>
      <c r="G48" s="25"/>
      <c r="H48" s="25"/>
      <c r="I48" s="72"/>
      <c r="J48" s="96"/>
    </row>
    <row r="49" spans="1:10" ht="15.75" customHeight="1" x14ac:dyDescent="0.3">
      <c r="A49" s="85" t="s">
        <v>11</v>
      </c>
      <c r="B49" s="4"/>
      <c r="C49" s="6" t="s">
        <v>10</v>
      </c>
      <c r="D49" s="5"/>
      <c r="E49" s="36"/>
      <c r="F49" s="36"/>
      <c r="G49" s="36"/>
      <c r="H49" s="36"/>
      <c r="I49" s="7"/>
      <c r="J49" s="80"/>
    </row>
    <row r="50" spans="1:10" ht="15.75" customHeight="1" x14ac:dyDescent="0.3">
      <c r="A50" s="79" t="s">
        <v>62</v>
      </c>
      <c r="B50" s="30" t="s">
        <v>59</v>
      </c>
      <c r="C50" s="29">
        <v>30</v>
      </c>
      <c r="D50" s="18">
        <v>17079000</v>
      </c>
      <c r="E50" s="16"/>
      <c r="F50" s="16"/>
      <c r="G50" s="16"/>
      <c r="H50" s="16"/>
      <c r="I50" s="17"/>
      <c r="J50" s="80"/>
    </row>
    <row r="51" spans="1:10" ht="15.75" customHeight="1" x14ac:dyDescent="0.3">
      <c r="A51" s="79" t="s">
        <v>55</v>
      </c>
      <c r="B51" s="30" t="s">
        <v>60</v>
      </c>
      <c r="C51" s="29">
        <v>1</v>
      </c>
      <c r="D51" s="18">
        <v>12700000</v>
      </c>
      <c r="E51" s="16"/>
      <c r="F51" s="16"/>
      <c r="G51" s="16"/>
      <c r="H51" s="16"/>
      <c r="I51" s="17"/>
      <c r="J51" s="80"/>
    </row>
    <row r="52" spans="1:10" ht="15.75" customHeight="1" x14ac:dyDescent="0.3">
      <c r="A52" s="79" t="s">
        <v>56</v>
      </c>
      <c r="B52" s="13" t="s">
        <v>61</v>
      </c>
      <c r="C52" s="29">
        <v>1</v>
      </c>
      <c r="D52" s="18">
        <v>2500000</v>
      </c>
      <c r="E52" s="16"/>
      <c r="F52" s="16"/>
      <c r="G52" s="16"/>
      <c r="H52" s="16"/>
      <c r="I52" s="17"/>
      <c r="J52" s="80"/>
    </row>
    <row r="53" spans="1:10" ht="15.75" customHeight="1" x14ac:dyDescent="0.3">
      <c r="A53" s="79" t="s">
        <v>57</v>
      </c>
      <c r="B53" s="30" t="s">
        <v>58</v>
      </c>
      <c r="C53" s="29">
        <v>30</v>
      </c>
      <c r="D53" s="18">
        <v>28018000</v>
      </c>
      <c r="E53" s="16"/>
      <c r="F53" s="16"/>
      <c r="G53" s="16"/>
      <c r="H53" s="16"/>
      <c r="I53" s="17"/>
      <c r="J53" s="80"/>
    </row>
    <row r="54" spans="1:10" ht="15.75" customHeight="1" x14ac:dyDescent="0.3">
      <c r="A54" s="88" t="s">
        <v>8</v>
      </c>
      <c r="B54" s="43"/>
      <c r="C54" s="44"/>
      <c r="D54" s="62">
        <f>SUM(D50:D53)</f>
        <v>60297000</v>
      </c>
      <c r="E54" s="50"/>
      <c r="F54" s="50"/>
      <c r="G54" s="50"/>
      <c r="H54" s="50"/>
      <c r="I54" s="46"/>
      <c r="J54" s="80"/>
    </row>
    <row r="55" spans="1:10" ht="15.75" customHeight="1" x14ac:dyDescent="0.3">
      <c r="A55" s="84"/>
      <c r="B55" s="26"/>
      <c r="C55" s="47"/>
      <c r="D55" s="18"/>
      <c r="E55" s="16"/>
      <c r="F55" s="16"/>
      <c r="G55" s="16"/>
      <c r="H55" s="16"/>
      <c r="I55" s="27"/>
      <c r="J55" s="80"/>
    </row>
    <row r="56" spans="1:10" ht="15.75" customHeight="1" x14ac:dyDescent="0.3">
      <c r="A56" s="97" t="s">
        <v>12</v>
      </c>
      <c r="B56" s="51"/>
      <c r="C56" s="52"/>
      <c r="D56" s="63">
        <f>SUM(D47,D9,D13,D26,D36,D54)</f>
        <v>262500000</v>
      </c>
      <c r="E56" s="53"/>
      <c r="F56" s="53"/>
      <c r="G56" s="53"/>
      <c r="H56" s="53"/>
      <c r="I56" s="54"/>
      <c r="J56" s="80"/>
    </row>
    <row r="57" spans="1:10" ht="15.75" customHeight="1" x14ac:dyDescent="0.3">
      <c r="A57" s="79"/>
      <c r="B57" s="13"/>
      <c r="C57" s="29"/>
      <c r="D57" s="18"/>
      <c r="E57" s="13"/>
      <c r="F57" s="13"/>
      <c r="G57" s="13"/>
      <c r="H57" s="13"/>
      <c r="I57" s="27"/>
      <c r="J57" s="80"/>
    </row>
    <row r="58" spans="1:10" ht="15.75" customHeight="1" x14ac:dyDescent="0.3">
      <c r="A58" s="98" t="s">
        <v>13</v>
      </c>
      <c r="B58" s="55">
        <v>0.125</v>
      </c>
      <c r="C58" s="56"/>
      <c r="D58" s="57">
        <v>37500000</v>
      </c>
      <c r="E58" s="56"/>
      <c r="F58" s="56"/>
      <c r="G58" s="56"/>
      <c r="H58" s="56"/>
      <c r="I58" s="58"/>
      <c r="J58" s="99"/>
    </row>
    <row r="59" spans="1:10" ht="15.75" customHeight="1" x14ac:dyDescent="0.3">
      <c r="A59" s="100"/>
      <c r="B59" s="56"/>
      <c r="C59" s="56"/>
      <c r="D59" s="57"/>
      <c r="E59" s="56"/>
      <c r="F59" s="56"/>
      <c r="G59" s="56"/>
      <c r="H59" s="56"/>
      <c r="I59" s="16"/>
      <c r="J59" s="99"/>
    </row>
    <row r="60" spans="1:10" ht="15.75" customHeight="1" thickBot="1" x14ac:dyDescent="0.35">
      <c r="A60" s="101" t="s">
        <v>6</v>
      </c>
      <c r="B60" s="102"/>
      <c r="C60" s="102"/>
      <c r="D60" s="103">
        <f>SUM(D56:D58)</f>
        <v>300000000</v>
      </c>
      <c r="E60" s="102"/>
      <c r="F60" s="102"/>
      <c r="G60" s="102"/>
      <c r="H60" s="102"/>
      <c r="I60" s="104"/>
      <c r="J60" s="105"/>
    </row>
    <row r="61" spans="1:10" ht="15.75" customHeight="1" x14ac:dyDescent="0.3">
      <c r="I61" s="2"/>
    </row>
    <row r="62" spans="1:10" ht="15.75" customHeight="1" x14ac:dyDescent="0.3">
      <c r="I62" s="2"/>
    </row>
    <row r="63" spans="1:10" ht="15.75" customHeight="1" x14ac:dyDescent="0.3">
      <c r="I63" s="2"/>
    </row>
    <row r="64" spans="1:10" ht="15.75" customHeight="1" x14ac:dyDescent="0.3">
      <c r="I64" s="2"/>
    </row>
    <row r="65" spans="9:9" ht="15.75" customHeight="1" x14ac:dyDescent="0.3">
      <c r="I65" s="2"/>
    </row>
    <row r="66" spans="9:9" ht="15.75" customHeight="1" x14ac:dyDescent="0.3">
      <c r="I66" s="2"/>
    </row>
    <row r="67" spans="9:9" ht="15.75" customHeight="1" x14ac:dyDescent="0.3">
      <c r="I67" s="2"/>
    </row>
    <row r="68" spans="9:9" ht="15.75" customHeight="1" x14ac:dyDescent="0.3">
      <c r="I68" s="2"/>
    </row>
    <row r="69" spans="9:9" ht="15.75" customHeight="1" x14ac:dyDescent="0.3">
      <c r="I69" s="2"/>
    </row>
    <row r="70" spans="9:9" ht="15.75" customHeight="1" x14ac:dyDescent="0.3">
      <c r="I70" s="2"/>
    </row>
    <row r="71" spans="9:9" ht="15.75" customHeight="1" x14ac:dyDescent="0.3">
      <c r="I71" s="2"/>
    </row>
    <row r="72" spans="9:9" ht="15.75" customHeight="1" x14ac:dyDescent="0.3">
      <c r="I72" s="2"/>
    </row>
    <row r="73" spans="9:9" ht="15.75" customHeight="1" x14ac:dyDescent="0.3">
      <c r="I73" s="2"/>
    </row>
    <row r="74" spans="9:9" ht="15.75" customHeight="1" x14ac:dyDescent="0.3">
      <c r="I74" s="2"/>
    </row>
    <row r="75" spans="9:9" ht="15.75" customHeight="1" x14ac:dyDescent="0.3">
      <c r="I75" s="2"/>
    </row>
    <row r="76" spans="9:9" ht="15.75" customHeight="1" x14ac:dyDescent="0.3">
      <c r="I76" s="2"/>
    </row>
    <row r="77" spans="9:9" ht="15.75" customHeight="1" x14ac:dyDescent="0.3">
      <c r="I77" s="2"/>
    </row>
    <row r="78" spans="9:9" ht="15.75" customHeight="1" x14ac:dyDescent="0.3">
      <c r="I78" s="2"/>
    </row>
    <row r="79" spans="9:9" ht="15.75" customHeight="1" x14ac:dyDescent="0.3">
      <c r="I79" s="2"/>
    </row>
    <row r="80" spans="9:9" ht="15.75" customHeight="1" x14ac:dyDescent="0.3">
      <c r="I80" s="2"/>
    </row>
    <row r="81" spans="9:9" ht="15.75" customHeight="1" x14ac:dyDescent="0.3">
      <c r="I81" s="2"/>
    </row>
    <row r="82" spans="9:9" ht="15.75" customHeight="1" x14ac:dyDescent="0.3">
      <c r="I82" s="2"/>
    </row>
    <row r="83" spans="9:9" ht="15.75" customHeight="1" x14ac:dyDescent="0.3">
      <c r="I83" s="2"/>
    </row>
    <row r="84" spans="9:9" ht="15.75" customHeight="1" x14ac:dyDescent="0.3">
      <c r="I84" s="2"/>
    </row>
    <row r="85" spans="9:9" ht="15.75" customHeight="1" x14ac:dyDescent="0.3">
      <c r="I85" s="2"/>
    </row>
    <row r="86" spans="9:9" ht="15.75" customHeight="1" x14ac:dyDescent="0.3">
      <c r="I86" s="2"/>
    </row>
    <row r="87" spans="9:9" ht="15.75" customHeight="1" x14ac:dyDescent="0.3">
      <c r="I87" s="2"/>
    </row>
    <row r="88" spans="9:9" ht="15.75" customHeight="1" x14ac:dyDescent="0.3">
      <c r="I88" s="2"/>
    </row>
    <row r="89" spans="9:9" ht="15.75" customHeight="1" x14ac:dyDescent="0.3">
      <c r="I89" s="2"/>
    </row>
    <row r="90" spans="9:9" ht="15.75" customHeight="1" x14ac:dyDescent="0.3">
      <c r="I90" s="2"/>
    </row>
    <row r="91" spans="9:9" ht="15.75" customHeight="1" x14ac:dyDescent="0.3">
      <c r="I91" s="2"/>
    </row>
    <row r="92" spans="9:9" ht="15.75" customHeight="1" x14ac:dyDescent="0.3">
      <c r="I92" s="2"/>
    </row>
    <row r="93" spans="9:9" ht="15.75" customHeight="1" x14ac:dyDescent="0.3">
      <c r="I93" s="2"/>
    </row>
    <row r="94" spans="9:9" ht="15.75" customHeight="1" x14ac:dyDescent="0.3">
      <c r="I94" s="2"/>
    </row>
    <row r="95" spans="9:9" ht="15.75" customHeight="1" x14ac:dyDescent="0.3">
      <c r="I95" s="2"/>
    </row>
    <row r="96" spans="9:9" ht="15.75" customHeight="1" x14ac:dyDescent="0.3">
      <c r="I96" s="2"/>
    </row>
    <row r="97" spans="9:9" ht="15.75" customHeight="1" x14ac:dyDescent="0.3">
      <c r="I97" s="2"/>
    </row>
    <row r="98" spans="9:9" ht="15.75" customHeight="1" x14ac:dyDescent="0.3">
      <c r="I98" s="2"/>
    </row>
    <row r="99" spans="9:9" ht="15.75" customHeight="1" x14ac:dyDescent="0.3">
      <c r="I99" s="2"/>
    </row>
    <row r="100" spans="9:9" ht="15.75" customHeight="1" x14ac:dyDescent="0.3">
      <c r="I100" s="2"/>
    </row>
    <row r="101" spans="9:9" ht="15.75" customHeight="1" x14ac:dyDescent="0.3">
      <c r="I101" s="2"/>
    </row>
    <row r="102" spans="9:9" ht="15.75" customHeight="1" x14ac:dyDescent="0.3">
      <c r="I102" s="2"/>
    </row>
    <row r="103" spans="9:9" ht="15.75" customHeight="1" x14ac:dyDescent="0.3">
      <c r="I103" s="2"/>
    </row>
    <row r="104" spans="9:9" ht="15.75" customHeight="1" x14ac:dyDescent="0.3">
      <c r="I104" s="2"/>
    </row>
    <row r="105" spans="9:9" ht="15.75" customHeight="1" x14ac:dyDescent="0.3">
      <c r="I105" s="2"/>
    </row>
    <row r="106" spans="9:9" ht="15.75" customHeight="1" x14ac:dyDescent="0.3">
      <c r="I106" s="2"/>
    </row>
    <row r="107" spans="9:9" ht="15.75" customHeight="1" x14ac:dyDescent="0.3">
      <c r="I107" s="2"/>
    </row>
    <row r="108" spans="9:9" ht="15.75" customHeight="1" x14ac:dyDescent="0.3">
      <c r="I108" s="2"/>
    </row>
    <row r="109" spans="9:9" ht="15.75" customHeight="1" x14ac:dyDescent="0.3">
      <c r="I109" s="2"/>
    </row>
    <row r="110" spans="9:9" ht="15.75" customHeight="1" x14ac:dyDescent="0.3">
      <c r="I110" s="2"/>
    </row>
    <row r="111" spans="9:9" ht="15.75" customHeight="1" x14ac:dyDescent="0.3">
      <c r="I111" s="2"/>
    </row>
    <row r="112" spans="9:9" ht="15.75" customHeight="1" x14ac:dyDescent="0.3">
      <c r="I112" s="2"/>
    </row>
    <row r="113" spans="9:9" ht="15.75" customHeight="1" x14ac:dyDescent="0.3">
      <c r="I113" s="2"/>
    </row>
    <row r="114" spans="9:9" ht="15.75" customHeight="1" x14ac:dyDescent="0.3">
      <c r="I114" s="2"/>
    </row>
    <row r="115" spans="9:9" ht="15.75" customHeight="1" x14ac:dyDescent="0.3">
      <c r="I115" s="2"/>
    </row>
    <row r="116" spans="9:9" ht="15.75" customHeight="1" x14ac:dyDescent="0.3">
      <c r="I116" s="2"/>
    </row>
    <row r="117" spans="9:9" ht="15.75" customHeight="1" x14ac:dyDescent="0.3">
      <c r="I117" s="2"/>
    </row>
    <row r="118" spans="9:9" ht="15.75" customHeight="1" x14ac:dyDescent="0.3">
      <c r="I118" s="2"/>
    </row>
    <row r="119" spans="9:9" ht="15.75" customHeight="1" x14ac:dyDescent="0.3">
      <c r="I119" s="2"/>
    </row>
    <row r="120" spans="9:9" ht="15.75" customHeight="1" x14ac:dyDescent="0.3">
      <c r="I120" s="2"/>
    </row>
    <row r="121" spans="9:9" ht="15.75" customHeight="1" x14ac:dyDescent="0.3">
      <c r="I121" s="2"/>
    </row>
    <row r="122" spans="9:9" ht="15.75" customHeight="1" x14ac:dyDescent="0.3">
      <c r="I122" s="2"/>
    </row>
    <row r="123" spans="9:9" ht="15.75" customHeight="1" x14ac:dyDescent="0.3">
      <c r="I123" s="2"/>
    </row>
    <row r="124" spans="9:9" ht="15.75" customHeight="1" x14ac:dyDescent="0.3">
      <c r="I124" s="2"/>
    </row>
    <row r="125" spans="9:9" ht="15.75" customHeight="1" x14ac:dyDescent="0.3">
      <c r="I125" s="2"/>
    </row>
    <row r="126" spans="9:9" ht="15.75" customHeight="1" x14ac:dyDescent="0.3">
      <c r="I126" s="2"/>
    </row>
    <row r="127" spans="9:9" ht="15.75" customHeight="1" x14ac:dyDescent="0.3">
      <c r="I127" s="2"/>
    </row>
    <row r="128" spans="9:9" ht="15.75" customHeight="1" x14ac:dyDescent="0.3">
      <c r="I128" s="2"/>
    </row>
    <row r="129" spans="9:9" ht="15.75" customHeight="1" x14ac:dyDescent="0.3">
      <c r="I129" s="2"/>
    </row>
    <row r="130" spans="9:9" ht="15.75" customHeight="1" x14ac:dyDescent="0.3">
      <c r="I130" s="2"/>
    </row>
    <row r="131" spans="9:9" ht="15.75" customHeight="1" x14ac:dyDescent="0.3">
      <c r="I131" s="2"/>
    </row>
    <row r="132" spans="9:9" ht="15.75" customHeight="1" x14ac:dyDescent="0.3">
      <c r="I132" s="2"/>
    </row>
    <row r="133" spans="9:9" ht="15.75" customHeight="1" x14ac:dyDescent="0.3">
      <c r="I133" s="2"/>
    </row>
    <row r="134" spans="9:9" ht="15.75" customHeight="1" x14ac:dyDescent="0.3">
      <c r="I134" s="2"/>
    </row>
    <row r="135" spans="9:9" ht="15.75" customHeight="1" x14ac:dyDescent="0.3">
      <c r="I135" s="2"/>
    </row>
    <row r="136" spans="9:9" ht="15.75" customHeight="1" x14ac:dyDescent="0.3">
      <c r="I136" s="2"/>
    </row>
    <row r="137" spans="9:9" ht="15.75" customHeight="1" x14ac:dyDescent="0.3">
      <c r="I137" s="2"/>
    </row>
    <row r="138" spans="9:9" ht="15.75" customHeight="1" x14ac:dyDescent="0.3">
      <c r="I138" s="2"/>
    </row>
    <row r="139" spans="9:9" ht="15.75" customHeight="1" x14ac:dyDescent="0.3">
      <c r="I139" s="2"/>
    </row>
    <row r="140" spans="9:9" ht="15.75" customHeight="1" x14ac:dyDescent="0.3">
      <c r="I140" s="2"/>
    </row>
    <row r="141" spans="9:9" ht="15.75" customHeight="1" x14ac:dyDescent="0.3">
      <c r="I141" s="2"/>
    </row>
    <row r="142" spans="9:9" ht="15.75" customHeight="1" x14ac:dyDescent="0.3">
      <c r="I142" s="2"/>
    </row>
    <row r="143" spans="9:9" ht="15.75" customHeight="1" x14ac:dyDescent="0.3">
      <c r="I143" s="2"/>
    </row>
    <row r="144" spans="9:9" ht="15.75" customHeight="1" x14ac:dyDescent="0.3">
      <c r="I144" s="2"/>
    </row>
    <row r="145" spans="9:9" ht="15.75" customHeight="1" x14ac:dyDescent="0.3">
      <c r="I145" s="2"/>
    </row>
    <row r="146" spans="9:9" ht="15.75" customHeight="1" x14ac:dyDescent="0.3">
      <c r="I146" s="2"/>
    </row>
    <row r="147" spans="9:9" ht="15.75" customHeight="1" x14ac:dyDescent="0.3">
      <c r="I147" s="2"/>
    </row>
    <row r="148" spans="9:9" ht="15.75" customHeight="1" x14ac:dyDescent="0.3">
      <c r="I148" s="2"/>
    </row>
    <row r="149" spans="9:9" ht="15.75" customHeight="1" x14ac:dyDescent="0.3">
      <c r="I149" s="2"/>
    </row>
    <row r="150" spans="9:9" ht="15.75" customHeight="1" x14ac:dyDescent="0.3">
      <c r="I150" s="2"/>
    </row>
    <row r="151" spans="9:9" ht="15.75" customHeight="1" x14ac:dyDescent="0.3">
      <c r="I151" s="2"/>
    </row>
    <row r="152" spans="9:9" ht="15.75" customHeight="1" x14ac:dyDescent="0.3">
      <c r="I152" s="2"/>
    </row>
    <row r="153" spans="9:9" ht="15.75" customHeight="1" x14ac:dyDescent="0.3">
      <c r="I153" s="2"/>
    </row>
    <row r="154" spans="9:9" ht="15.75" customHeight="1" x14ac:dyDescent="0.3">
      <c r="I154" s="2"/>
    </row>
    <row r="155" spans="9:9" ht="15.75" customHeight="1" x14ac:dyDescent="0.3">
      <c r="I155" s="2"/>
    </row>
    <row r="156" spans="9:9" ht="15.75" customHeight="1" x14ac:dyDescent="0.3">
      <c r="I156" s="2"/>
    </row>
    <row r="157" spans="9:9" ht="15.75" customHeight="1" x14ac:dyDescent="0.3">
      <c r="I157" s="2"/>
    </row>
    <row r="158" spans="9:9" ht="15.75" customHeight="1" x14ac:dyDescent="0.3">
      <c r="I158" s="2"/>
    </row>
    <row r="159" spans="9:9" ht="15.75" customHeight="1" x14ac:dyDescent="0.3">
      <c r="I159" s="2"/>
    </row>
    <row r="160" spans="9:9" ht="15.75" customHeight="1" x14ac:dyDescent="0.3">
      <c r="I160" s="2"/>
    </row>
    <row r="161" spans="9:9" ht="15.75" customHeight="1" x14ac:dyDescent="0.3">
      <c r="I161" s="2"/>
    </row>
    <row r="162" spans="9:9" ht="15.75" customHeight="1" x14ac:dyDescent="0.3">
      <c r="I162" s="2"/>
    </row>
    <row r="163" spans="9:9" ht="15.75" customHeight="1" x14ac:dyDescent="0.3">
      <c r="I163" s="2"/>
    </row>
    <row r="164" spans="9:9" ht="15.75" customHeight="1" x14ac:dyDescent="0.3">
      <c r="I164" s="2"/>
    </row>
    <row r="165" spans="9:9" ht="15.75" customHeight="1" x14ac:dyDescent="0.3">
      <c r="I165" s="2"/>
    </row>
    <row r="166" spans="9:9" ht="15.75" customHeight="1" x14ac:dyDescent="0.3">
      <c r="I166" s="2"/>
    </row>
    <row r="167" spans="9:9" ht="15.75" customHeight="1" x14ac:dyDescent="0.3">
      <c r="I167" s="2"/>
    </row>
    <row r="168" spans="9:9" ht="15.75" customHeight="1" x14ac:dyDescent="0.3">
      <c r="I168" s="2"/>
    </row>
    <row r="169" spans="9:9" ht="15.75" customHeight="1" x14ac:dyDescent="0.3">
      <c r="I169" s="2"/>
    </row>
    <row r="170" spans="9:9" ht="15.75" customHeight="1" x14ac:dyDescent="0.3">
      <c r="I170" s="2"/>
    </row>
    <row r="171" spans="9:9" ht="15.75" customHeight="1" x14ac:dyDescent="0.3">
      <c r="I171" s="2"/>
    </row>
    <row r="172" spans="9:9" ht="15.75" customHeight="1" x14ac:dyDescent="0.3">
      <c r="I172" s="2"/>
    </row>
    <row r="173" spans="9:9" ht="15.75" customHeight="1" x14ac:dyDescent="0.3">
      <c r="I173" s="2"/>
    </row>
    <row r="174" spans="9:9" ht="15.75" customHeight="1" x14ac:dyDescent="0.3">
      <c r="I174" s="2"/>
    </row>
    <row r="175" spans="9:9" ht="15.75" customHeight="1" x14ac:dyDescent="0.3">
      <c r="I175" s="2"/>
    </row>
    <row r="176" spans="9:9" ht="15.75" customHeight="1" x14ac:dyDescent="0.3">
      <c r="I176" s="2"/>
    </row>
    <row r="177" spans="9:9" ht="15.75" customHeight="1" x14ac:dyDescent="0.3">
      <c r="I177" s="2"/>
    </row>
    <row r="178" spans="9:9" ht="15.75" customHeight="1" x14ac:dyDescent="0.3">
      <c r="I178" s="2"/>
    </row>
    <row r="179" spans="9:9" ht="15.75" customHeight="1" x14ac:dyDescent="0.3">
      <c r="I179" s="2"/>
    </row>
    <row r="180" spans="9:9" ht="15.75" customHeight="1" x14ac:dyDescent="0.3">
      <c r="I180" s="2"/>
    </row>
    <row r="181" spans="9:9" ht="15.75" customHeight="1" x14ac:dyDescent="0.3">
      <c r="I181" s="2"/>
    </row>
    <row r="182" spans="9:9" ht="15.75" customHeight="1" x14ac:dyDescent="0.3">
      <c r="I182" s="2"/>
    </row>
    <row r="183" spans="9:9" ht="15.75" customHeight="1" x14ac:dyDescent="0.3">
      <c r="I183" s="2"/>
    </row>
    <row r="184" spans="9:9" ht="15.75" customHeight="1" x14ac:dyDescent="0.3">
      <c r="I184" s="2"/>
    </row>
    <row r="185" spans="9:9" ht="15.75" customHeight="1" x14ac:dyDescent="0.3">
      <c r="I185" s="2"/>
    </row>
    <row r="186" spans="9:9" ht="15.75" customHeight="1" x14ac:dyDescent="0.3">
      <c r="I186" s="2"/>
    </row>
    <row r="187" spans="9:9" ht="15.75" customHeight="1" x14ac:dyDescent="0.3">
      <c r="I187" s="2"/>
    </row>
    <row r="188" spans="9:9" ht="15.75" customHeight="1" x14ac:dyDescent="0.3">
      <c r="I188" s="2"/>
    </row>
    <row r="189" spans="9:9" ht="15.75" customHeight="1" x14ac:dyDescent="0.3">
      <c r="I189" s="2"/>
    </row>
    <row r="190" spans="9:9" ht="15.75" customHeight="1" x14ac:dyDescent="0.3">
      <c r="I190" s="2"/>
    </row>
    <row r="191" spans="9:9" ht="15.75" customHeight="1" x14ac:dyDescent="0.3">
      <c r="I191" s="2"/>
    </row>
    <row r="192" spans="9:9" ht="15.75" customHeight="1" x14ac:dyDescent="0.3">
      <c r="I192" s="2"/>
    </row>
    <row r="193" spans="9:9" ht="15.75" customHeight="1" x14ac:dyDescent="0.3">
      <c r="I193" s="2"/>
    </row>
    <row r="194" spans="9:9" ht="15.75" customHeight="1" x14ac:dyDescent="0.3">
      <c r="I194" s="2"/>
    </row>
    <row r="195" spans="9:9" ht="15.75" customHeight="1" x14ac:dyDescent="0.3">
      <c r="I195" s="2"/>
    </row>
    <row r="196" spans="9:9" ht="15.75" customHeight="1" x14ac:dyDescent="0.3">
      <c r="I196" s="2"/>
    </row>
    <row r="197" spans="9:9" ht="15.75" customHeight="1" x14ac:dyDescent="0.3">
      <c r="I197" s="2"/>
    </row>
    <row r="198" spans="9:9" ht="15.75" customHeight="1" x14ac:dyDescent="0.3">
      <c r="I198" s="2"/>
    </row>
    <row r="199" spans="9:9" ht="15.75" customHeight="1" x14ac:dyDescent="0.3">
      <c r="I199" s="2"/>
    </row>
    <row r="200" spans="9:9" ht="15.75" customHeight="1" x14ac:dyDescent="0.3">
      <c r="I200" s="2"/>
    </row>
    <row r="201" spans="9:9" ht="15.75" customHeight="1" x14ac:dyDescent="0.3">
      <c r="I201" s="2"/>
    </row>
    <row r="202" spans="9:9" ht="15.75" customHeight="1" x14ac:dyDescent="0.3">
      <c r="I202" s="2"/>
    </row>
    <row r="203" spans="9:9" ht="15.75" customHeight="1" x14ac:dyDescent="0.3">
      <c r="I203" s="2"/>
    </row>
    <row r="204" spans="9:9" ht="15.75" customHeight="1" x14ac:dyDescent="0.3">
      <c r="I204" s="2"/>
    </row>
    <row r="205" spans="9:9" ht="15.75" customHeight="1" x14ac:dyDescent="0.3">
      <c r="I205" s="2"/>
    </row>
    <row r="206" spans="9:9" ht="15.75" customHeight="1" x14ac:dyDescent="0.3">
      <c r="I206" s="2"/>
    </row>
    <row r="207" spans="9:9" ht="15.75" customHeight="1" x14ac:dyDescent="0.3">
      <c r="I207" s="2"/>
    </row>
    <row r="208" spans="9:9" ht="15.75" customHeight="1" x14ac:dyDescent="0.3">
      <c r="I208" s="2"/>
    </row>
    <row r="209" spans="9:9" ht="15.75" customHeight="1" x14ac:dyDescent="0.3">
      <c r="I209" s="2"/>
    </row>
    <row r="210" spans="9:9" ht="15.75" customHeight="1" x14ac:dyDescent="0.3">
      <c r="I210" s="2"/>
    </row>
    <row r="211" spans="9:9" ht="15.75" customHeight="1" x14ac:dyDescent="0.3">
      <c r="I211" s="2"/>
    </row>
    <row r="212" spans="9:9" ht="15.75" customHeight="1" x14ac:dyDescent="0.3">
      <c r="I212" s="2"/>
    </row>
    <row r="213" spans="9:9" ht="15.75" customHeight="1" x14ac:dyDescent="0.3">
      <c r="I213" s="2"/>
    </row>
    <row r="214" spans="9:9" ht="15.75" customHeight="1" x14ac:dyDescent="0.3">
      <c r="I214" s="2"/>
    </row>
    <row r="215" spans="9:9" ht="15.75" customHeight="1" x14ac:dyDescent="0.3">
      <c r="I215" s="2"/>
    </row>
    <row r="216" spans="9:9" ht="15.75" customHeight="1" x14ac:dyDescent="0.3">
      <c r="I216" s="2"/>
    </row>
    <row r="217" spans="9:9" ht="15.75" customHeight="1" x14ac:dyDescent="0.3">
      <c r="I217" s="2"/>
    </row>
    <row r="218" spans="9:9" ht="15.75" customHeight="1" x14ac:dyDescent="0.3">
      <c r="I218" s="2"/>
    </row>
    <row r="219" spans="9:9" ht="15.75" customHeight="1" x14ac:dyDescent="0.3">
      <c r="I219" s="2"/>
    </row>
    <row r="220" spans="9:9" ht="15.75" customHeight="1" x14ac:dyDescent="0.3">
      <c r="I220" s="2"/>
    </row>
    <row r="221" spans="9:9" ht="15.75" customHeight="1" x14ac:dyDescent="0.3">
      <c r="I221" s="2"/>
    </row>
    <row r="222" spans="9:9" ht="15.75" customHeight="1" x14ac:dyDescent="0.3">
      <c r="I222" s="2"/>
    </row>
    <row r="223" spans="9:9" ht="15.75" customHeight="1" x14ac:dyDescent="0.3">
      <c r="I223" s="2"/>
    </row>
    <row r="224" spans="9:9" ht="15.75" customHeight="1" x14ac:dyDescent="0.3">
      <c r="I224" s="2"/>
    </row>
    <row r="225" spans="9:9" ht="15.75" customHeight="1" x14ac:dyDescent="0.3">
      <c r="I225" s="2"/>
    </row>
    <row r="226" spans="9:9" ht="15.75" customHeight="1" x14ac:dyDescent="0.3">
      <c r="I226" s="2"/>
    </row>
    <row r="227" spans="9:9" ht="15.75" customHeight="1" x14ac:dyDescent="0.3">
      <c r="I227" s="2"/>
    </row>
    <row r="228" spans="9:9" ht="15.75" customHeight="1" x14ac:dyDescent="0.3">
      <c r="I228" s="2"/>
    </row>
    <row r="229" spans="9:9" ht="15.75" customHeight="1" x14ac:dyDescent="0.3">
      <c r="I229" s="2"/>
    </row>
    <row r="230" spans="9:9" ht="15.75" customHeight="1" x14ac:dyDescent="0.3">
      <c r="I230" s="2"/>
    </row>
    <row r="231" spans="9:9" ht="15.75" customHeight="1" x14ac:dyDescent="0.3">
      <c r="I231" s="2"/>
    </row>
    <row r="232" spans="9:9" ht="15.75" customHeight="1" x14ac:dyDescent="0.3">
      <c r="I232" s="2"/>
    </row>
    <row r="233" spans="9:9" ht="15.75" customHeight="1" x14ac:dyDescent="0.3">
      <c r="I233" s="2"/>
    </row>
    <row r="234" spans="9:9" ht="15.75" customHeight="1" x14ac:dyDescent="0.3">
      <c r="I234" s="2"/>
    </row>
    <row r="235" spans="9:9" ht="15.75" customHeight="1" x14ac:dyDescent="0.3">
      <c r="I235" s="2"/>
    </row>
    <row r="236" spans="9:9" ht="15.75" customHeight="1" x14ac:dyDescent="0.3">
      <c r="I236" s="2"/>
    </row>
    <row r="237" spans="9:9" ht="15.75" customHeight="1" x14ac:dyDescent="0.3">
      <c r="I237" s="2"/>
    </row>
    <row r="238" spans="9:9" ht="15.75" customHeight="1" x14ac:dyDescent="0.3">
      <c r="I238" s="2"/>
    </row>
    <row r="239" spans="9:9" ht="15.75" customHeight="1" x14ac:dyDescent="0.3">
      <c r="I239" s="2"/>
    </row>
    <row r="240" spans="9:9" ht="15.75" customHeight="1" x14ac:dyDescent="0.3">
      <c r="I240" s="2"/>
    </row>
    <row r="241" spans="9:9" ht="15.75" customHeight="1" x14ac:dyDescent="0.3">
      <c r="I241" s="2"/>
    </row>
    <row r="242" spans="9:9" ht="15.75" customHeight="1" x14ac:dyDescent="0.3">
      <c r="I242" s="2"/>
    </row>
    <row r="243" spans="9:9" ht="15.75" customHeight="1" x14ac:dyDescent="0.3">
      <c r="I243" s="2"/>
    </row>
    <row r="244" spans="9:9" ht="15.75" customHeight="1" x14ac:dyDescent="0.3">
      <c r="I244" s="2"/>
    </row>
    <row r="245" spans="9:9" ht="15.75" customHeight="1" x14ac:dyDescent="0.3">
      <c r="I245" s="2"/>
    </row>
    <row r="246" spans="9:9" ht="15.75" customHeight="1" x14ac:dyDescent="0.3">
      <c r="I246" s="2"/>
    </row>
    <row r="247" spans="9:9" ht="15.75" customHeight="1" x14ac:dyDescent="0.3">
      <c r="I247" s="2"/>
    </row>
    <row r="248" spans="9:9" ht="15.75" customHeight="1" x14ac:dyDescent="0.3">
      <c r="I248" s="2"/>
    </row>
    <row r="249" spans="9:9" ht="15.75" customHeight="1" x14ac:dyDescent="0.3">
      <c r="I249" s="2"/>
    </row>
    <row r="250" spans="9:9" ht="15.75" customHeight="1" x14ac:dyDescent="0.3">
      <c r="I250" s="2"/>
    </row>
    <row r="251" spans="9:9" ht="15.75" customHeight="1" x14ac:dyDescent="0.3">
      <c r="I251" s="2"/>
    </row>
    <row r="252" spans="9:9" ht="15.75" customHeight="1" x14ac:dyDescent="0.3">
      <c r="I252" s="2"/>
    </row>
    <row r="253" spans="9:9" ht="15.75" customHeight="1" x14ac:dyDescent="0.3">
      <c r="I253" s="2"/>
    </row>
    <row r="254" spans="9:9" ht="15.75" customHeight="1" x14ac:dyDescent="0.3">
      <c r="I254" s="2"/>
    </row>
    <row r="255" spans="9:9" ht="15.75" customHeight="1" x14ac:dyDescent="0.3">
      <c r="I255" s="2"/>
    </row>
    <row r="256" spans="9:9" ht="15.75" customHeight="1" x14ac:dyDescent="0.3">
      <c r="I256" s="2"/>
    </row>
    <row r="257" spans="9:9" ht="15.75" customHeight="1" x14ac:dyDescent="0.3">
      <c r="I257" s="2"/>
    </row>
    <row r="258" spans="9:9" ht="15.75" customHeight="1" x14ac:dyDescent="0.3">
      <c r="I258" s="2"/>
    </row>
    <row r="259" spans="9:9" ht="15.75" customHeight="1" x14ac:dyDescent="0.3">
      <c r="I259" s="2"/>
    </row>
    <row r="260" spans="9:9" ht="15.75" customHeight="1" x14ac:dyDescent="0.3">
      <c r="I260" s="2"/>
    </row>
    <row r="261" spans="9:9" ht="15.75" customHeight="1" x14ac:dyDescent="0.3">
      <c r="I261" s="2"/>
    </row>
    <row r="262" spans="9:9" ht="15.75" customHeight="1" x14ac:dyDescent="0.3">
      <c r="I262" s="2"/>
    </row>
    <row r="263" spans="9:9" ht="15.75" customHeight="1" x14ac:dyDescent="0.3">
      <c r="I263" s="2"/>
    </row>
    <row r="264" spans="9:9" ht="15.75" customHeight="1" x14ac:dyDescent="0.3">
      <c r="I264" s="2"/>
    </row>
    <row r="265" spans="9:9" ht="15.75" customHeight="1" x14ac:dyDescent="0.3">
      <c r="I265" s="2"/>
    </row>
    <row r="266" spans="9:9" ht="15.75" customHeight="1" x14ac:dyDescent="0.3">
      <c r="I266" s="2"/>
    </row>
    <row r="267" spans="9:9" ht="15.75" customHeight="1" x14ac:dyDescent="0.3">
      <c r="I267" s="2"/>
    </row>
    <row r="268" spans="9:9" ht="15.75" customHeight="1" x14ac:dyDescent="0.3">
      <c r="I268" s="2"/>
    </row>
    <row r="269" spans="9:9" ht="15.75" customHeight="1" x14ac:dyDescent="0.3">
      <c r="I269" s="2"/>
    </row>
    <row r="270" spans="9:9" ht="15.75" customHeight="1" x14ac:dyDescent="0.3">
      <c r="I270" s="2"/>
    </row>
    <row r="271" spans="9:9" ht="15.75" customHeight="1" x14ac:dyDescent="0.3">
      <c r="I271" s="2"/>
    </row>
    <row r="272" spans="9:9" ht="15.75" customHeight="1" x14ac:dyDescent="0.3">
      <c r="I272" s="2"/>
    </row>
    <row r="273" spans="9:9" ht="15.75" customHeight="1" x14ac:dyDescent="0.3">
      <c r="I273" s="2"/>
    </row>
    <row r="274" spans="9:9" ht="15.75" customHeight="1" x14ac:dyDescent="0.3">
      <c r="I274" s="2"/>
    </row>
    <row r="275" spans="9:9" ht="15.75" customHeight="1" x14ac:dyDescent="0.3">
      <c r="I275" s="2"/>
    </row>
    <row r="276" spans="9:9" ht="15.75" customHeight="1" x14ac:dyDescent="0.3">
      <c r="I276" s="2"/>
    </row>
    <row r="277" spans="9:9" ht="15.75" customHeight="1" x14ac:dyDescent="0.3">
      <c r="I277" s="2"/>
    </row>
    <row r="278" spans="9:9" ht="15.75" customHeight="1" x14ac:dyDescent="0.3">
      <c r="I278" s="2"/>
    </row>
    <row r="279" spans="9:9" ht="15.75" customHeight="1" x14ac:dyDescent="0.3">
      <c r="I279" s="2"/>
    </row>
    <row r="280" spans="9:9" ht="15.75" customHeight="1" x14ac:dyDescent="0.3">
      <c r="I280" s="2"/>
    </row>
    <row r="281" spans="9:9" ht="15.75" customHeight="1" x14ac:dyDescent="0.3">
      <c r="I281" s="2"/>
    </row>
    <row r="282" spans="9:9" ht="15.75" customHeight="1" x14ac:dyDescent="0.3">
      <c r="I282" s="2"/>
    </row>
    <row r="283" spans="9:9" ht="15.75" customHeight="1" x14ac:dyDescent="0.3">
      <c r="I283" s="2"/>
    </row>
    <row r="284" spans="9:9" ht="15.75" customHeight="1" x14ac:dyDescent="0.3">
      <c r="I284" s="2"/>
    </row>
    <row r="285" spans="9:9" ht="15.75" customHeight="1" x14ac:dyDescent="0.3">
      <c r="I285" s="2"/>
    </row>
    <row r="286" spans="9:9" ht="15.75" customHeight="1" x14ac:dyDescent="0.3">
      <c r="I286" s="2"/>
    </row>
    <row r="287" spans="9:9" ht="15.75" customHeight="1" x14ac:dyDescent="0.3">
      <c r="I287" s="2"/>
    </row>
    <row r="288" spans="9:9" ht="15.75" customHeight="1" x14ac:dyDescent="0.3">
      <c r="I288" s="2"/>
    </row>
    <row r="289" spans="9:9" ht="15.75" customHeight="1" x14ac:dyDescent="0.3">
      <c r="I289" s="2"/>
    </row>
    <row r="290" spans="9:9" ht="15.75" customHeight="1" x14ac:dyDescent="0.3">
      <c r="I290" s="2"/>
    </row>
    <row r="291" spans="9:9" ht="15.75" customHeight="1" x14ac:dyDescent="0.3">
      <c r="I291" s="2"/>
    </row>
    <row r="292" spans="9:9" ht="15.75" customHeight="1" x14ac:dyDescent="0.3">
      <c r="I292" s="2"/>
    </row>
    <row r="293" spans="9:9" ht="15.75" customHeight="1" x14ac:dyDescent="0.3">
      <c r="I293" s="2"/>
    </row>
    <row r="294" spans="9:9" ht="15.75" customHeight="1" x14ac:dyDescent="0.3">
      <c r="I294" s="2"/>
    </row>
    <row r="295" spans="9:9" ht="15.75" customHeight="1" x14ac:dyDescent="0.3">
      <c r="I295" s="2"/>
    </row>
    <row r="296" spans="9:9" ht="15.75" customHeight="1" x14ac:dyDescent="0.3">
      <c r="I296" s="2"/>
    </row>
    <row r="297" spans="9:9" ht="15.75" customHeight="1" x14ac:dyDescent="0.3">
      <c r="I297" s="2"/>
    </row>
    <row r="298" spans="9:9" ht="15.75" customHeight="1" x14ac:dyDescent="0.3">
      <c r="I298" s="2"/>
    </row>
    <row r="299" spans="9:9" ht="15.75" customHeight="1" x14ac:dyDescent="0.3">
      <c r="I299" s="2"/>
    </row>
    <row r="300" spans="9:9" ht="15.75" customHeight="1" x14ac:dyDescent="0.3">
      <c r="I300" s="2"/>
    </row>
    <row r="301" spans="9:9" ht="15.75" customHeight="1" x14ac:dyDescent="0.3">
      <c r="I301" s="2"/>
    </row>
    <row r="302" spans="9:9" ht="15.75" customHeight="1" x14ac:dyDescent="0.3">
      <c r="I302" s="2"/>
    </row>
    <row r="303" spans="9:9" ht="15.75" customHeight="1" x14ac:dyDescent="0.3">
      <c r="I303" s="2"/>
    </row>
    <row r="304" spans="9:9" ht="15.75" customHeight="1" x14ac:dyDescent="0.3">
      <c r="I304" s="2"/>
    </row>
    <row r="305" spans="9:9" ht="15.75" customHeight="1" x14ac:dyDescent="0.3">
      <c r="I305" s="2"/>
    </row>
    <row r="306" spans="9:9" ht="15.75" customHeight="1" x14ac:dyDescent="0.3">
      <c r="I306" s="2"/>
    </row>
    <row r="307" spans="9:9" ht="15.75" customHeight="1" x14ac:dyDescent="0.3">
      <c r="I307" s="2"/>
    </row>
    <row r="308" spans="9:9" ht="15.75" customHeight="1" x14ac:dyDescent="0.3">
      <c r="I308" s="2"/>
    </row>
    <row r="309" spans="9:9" ht="15.75" customHeight="1" x14ac:dyDescent="0.3">
      <c r="I309" s="2"/>
    </row>
    <row r="310" spans="9:9" ht="15.75" customHeight="1" x14ac:dyDescent="0.3">
      <c r="I310" s="2"/>
    </row>
    <row r="311" spans="9:9" ht="15.75" customHeight="1" x14ac:dyDescent="0.3">
      <c r="I311" s="2"/>
    </row>
    <row r="312" spans="9:9" ht="15.75" customHeight="1" x14ac:dyDescent="0.3">
      <c r="I312" s="2"/>
    </row>
    <row r="313" spans="9:9" ht="15.75" customHeight="1" x14ac:dyDescent="0.3">
      <c r="I313" s="2"/>
    </row>
    <row r="314" spans="9:9" ht="15.75" customHeight="1" x14ac:dyDescent="0.3">
      <c r="I314" s="2"/>
    </row>
    <row r="315" spans="9:9" ht="15.75" customHeight="1" x14ac:dyDescent="0.3">
      <c r="I315" s="2"/>
    </row>
    <row r="316" spans="9:9" ht="15.75" customHeight="1" x14ac:dyDescent="0.3">
      <c r="I316" s="2"/>
    </row>
    <row r="317" spans="9:9" ht="15.75" customHeight="1" x14ac:dyDescent="0.3">
      <c r="I317" s="2"/>
    </row>
    <row r="318" spans="9:9" ht="15.75" customHeight="1" x14ac:dyDescent="0.3">
      <c r="I318" s="2"/>
    </row>
    <row r="319" spans="9:9" ht="15.75" customHeight="1" x14ac:dyDescent="0.3">
      <c r="I319" s="2"/>
    </row>
    <row r="320" spans="9:9" ht="15.75" customHeight="1" x14ac:dyDescent="0.3">
      <c r="I320" s="2"/>
    </row>
    <row r="321" spans="9:9" ht="15.75" customHeight="1" x14ac:dyDescent="0.3">
      <c r="I321" s="2"/>
    </row>
    <row r="322" spans="9:9" ht="15.75" customHeight="1" x14ac:dyDescent="0.3">
      <c r="I322" s="2"/>
    </row>
    <row r="323" spans="9:9" ht="15.75" customHeight="1" x14ac:dyDescent="0.3">
      <c r="I323" s="2"/>
    </row>
    <row r="324" spans="9:9" ht="15.75" customHeight="1" x14ac:dyDescent="0.3">
      <c r="I324" s="2"/>
    </row>
    <row r="325" spans="9:9" ht="15.75" customHeight="1" x14ac:dyDescent="0.3">
      <c r="I325" s="2"/>
    </row>
    <row r="326" spans="9:9" ht="15.75" customHeight="1" x14ac:dyDescent="0.3">
      <c r="I326" s="2"/>
    </row>
    <row r="327" spans="9:9" ht="15.75" customHeight="1" x14ac:dyDescent="0.3">
      <c r="I327" s="2"/>
    </row>
    <row r="328" spans="9:9" ht="15.75" customHeight="1" x14ac:dyDescent="0.3">
      <c r="I328" s="2"/>
    </row>
    <row r="329" spans="9:9" ht="15.75" customHeight="1" x14ac:dyDescent="0.3">
      <c r="I329" s="2"/>
    </row>
    <row r="330" spans="9:9" ht="15.75" customHeight="1" x14ac:dyDescent="0.3">
      <c r="I330" s="2"/>
    </row>
    <row r="331" spans="9:9" ht="15.75" customHeight="1" x14ac:dyDescent="0.3">
      <c r="I331" s="2"/>
    </row>
    <row r="332" spans="9:9" ht="15.75" customHeight="1" x14ac:dyDescent="0.3">
      <c r="I332" s="2"/>
    </row>
    <row r="333" spans="9:9" ht="15.75" customHeight="1" x14ac:dyDescent="0.3">
      <c r="I333" s="2"/>
    </row>
    <row r="334" spans="9:9" ht="15.75" customHeight="1" x14ac:dyDescent="0.3">
      <c r="I334" s="2"/>
    </row>
    <row r="335" spans="9:9" ht="15.75" customHeight="1" x14ac:dyDescent="0.3">
      <c r="I335" s="2"/>
    </row>
    <row r="336" spans="9:9" ht="15.75" customHeight="1" x14ac:dyDescent="0.3">
      <c r="I336" s="2"/>
    </row>
    <row r="337" spans="9:9" ht="15.75" customHeight="1" x14ac:dyDescent="0.3">
      <c r="I337" s="2"/>
    </row>
    <row r="338" spans="9:9" ht="15.75" customHeight="1" x14ac:dyDescent="0.3">
      <c r="I338" s="2"/>
    </row>
    <row r="339" spans="9:9" ht="15.75" customHeight="1" x14ac:dyDescent="0.3">
      <c r="I339" s="2"/>
    </row>
    <row r="340" spans="9:9" ht="15.75" customHeight="1" x14ac:dyDescent="0.3">
      <c r="I340" s="2"/>
    </row>
    <row r="341" spans="9:9" ht="15.75" customHeight="1" x14ac:dyDescent="0.3">
      <c r="I341" s="2"/>
    </row>
    <row r="342" spans="9:9" ht="15.75" customHeight="1" x14ac:dyDescent="0.3">
      <c r="I342" s="2"/>
    </row>
    <row r="343" spans="9:9" ht="15.75" customHeight="1" x14ac:dyDescent="0.3">
      <c r="I343" s="2"/>
    </row>
    <row r="344" spans="9:9" ht="15.75" customHeight="1" x14ac:dyDescent="0.3">
      <c r="I344" s="2"/>
    </row>
    <row r="345" spans="9:9" ht="15.75" customHeight="1" x14ac:dyDescent="0.3">
      <c r="I345" s="2"/>
    </row>
    <row r="346" spans="9:9" ht="15.75" customHeight="1" x14ac:dyDescent="0.3">
      <c r="I346" s="2"/>
    </row>
    <row r="347" spans="9:9" ht="15.75" customHeight="1" x14ac:dyDescent="0.3">
      <c r="I347" s="2"/>
    </row>
    <row r="348" spans="9:9" ht="15.75" customHeight="1" x14ac:dyDescent="0.3">
      <c r="I348" s="2"/>
    </row>
    <row r="349" spans="9:9" ht="15.75" customHeight="1" x14ac:dyDescent="0.3">
      <c r="I349" s="2"/>
    </row>
    <row r="350" spans="9:9" ht="15.75" customHeight="1" x14ac:dyDescent="0.3">
      <c r="I350" s="2"/>
    </row>
    <row r="351" spans="9:9" ht="15.75" customHeight="1" x14ac:dyDescent="0.3">
      <c r="I351" s="2"/>
    </row>
    <row r="352" spans="9:9" ht="15.75" customHeight="1" x14ac:dyDescent="0.3">
      <c r="I352" s="2"/>
    </row>
    <row r="353" spans="9:9" ht="15.75" customHeight="1" x14ac:dyDescent="0.3">
      <c r="I353" s="2"/>
    </row>
    <row r="354" spans="9:9" ht="15.75" customHeight="1" x14ac:dyDescent="0.3">
      <c r="I354" s="2"/>
    </row>
    <row r="355" spans="9:9" ht="15.75" customHeight="1" x14ac:dyDescent="0.3">
      <c r="I355" s="2"/>
    </row>
    <row r="356" spans="9:9" ht="15.75" customHeight="1" x14ac:dyDescent="0.3">
      <c r="I356" s="2"/>
    </row>
    <row r="357" spans="9:9" ht="15.75" customHeight="1" x14ac:dyDescent="0.3">
      <c r="I357" s="2"/>
    </row>
    <row r="358" spans="9:9" ht="15.75" customHeight="1" x14ac:dyDescent="0.3">
      <c r="I358" s="2"/>
    </row>
    <row r="359" spans="9:9" ht="15.75" customHeight="1" x14ac:dyDescent="0.3">
      <c r="I359" s="2"/>
    </row>
    <row r="360" spans="9:9" ht="15.75" customHeight="1" x14ac:dyDescent="0.3">
      <c r="I360" s="2"/>
    </row>
    <row r="361" spans="9:9" ht="15.75" customHeight="1" x14ac:dyDescent="0.3">
      <c r="I361" s="2"/>
    </row>
    <row r="362" spans="9:9" ht="15.75" customHeight="1" x14ac:dyDescent="0.3">
      <c r="I362" s="2"/>
    </row>
    <row r="363" spans="9:9" ht="15.75" customHeight="1" x14ac:dyDescent="0.3">
      <c r="I363" s="2"/>
    </row>
    <row r="364" spans="9:9" ht="15.75" customHeight="1" x14ac:dyDescent="0.3">
      <c r="I364" s="2"/>
    </row>
    <row r="365" spans="9:9" ht="15.75" customHeight="1" x14ac:dyDescent="0.3">
      <c r="I365" s="2"/>
    </row>
    <row r="366" spans="9:9" ht="15.75" customHeight="1" x14ac:dyDescent="0.3">
      <c r="I366" s="2"/>
    </row>
    <row r="367" spans="9:9" ht="15.75" customHeight="1" x14ac:dyDescent="0.3">
      <c r="I367" s="2"/>
    </row>
    <row r="368" spans="9:9" ht="15.75" customHeight="1" x14ac:dyDescent="0.3">
      <c r="I368" s="2"/>
    </row>
    <row r="369" spans="9:9" ht="15.75" customHeight="1" x14ac:dyDescent="0.3">
      <c r="I369" s="2"/>
    </row>
    <row r="370" spans="9:9" ht="15.75" customHeight="1" x14ac:dyDescent="0.3">
      <c r="I370" s="2"/>
    </row>
    <row r="371" spans="9:9" ht="15.75" customHeight="1" x14ac:dyDescent="0.3">
      <c r="I371" s="2"/>
    </row>
    <row r="372" spans="9:9" ht="15.75" customHeight="1" x14ac:dyDescent="0.3">
      <c r="I372" s="2"/>
    </row>
    <row r="373" spans="9:9" ht="15.75" customHeight="1" x14ac:dyDescent="0.3">
      <c r="I373" s="2"/>
    </row>
    <row r="374" spans="9:9" ht="15.75" customHeight="1" x14ac:dyDescent="0.3">
      <c r="I374" s="2"/>
    </row>
    <row r="375" spans="9:9" ht="15.75" customHeight="1" x14ac:dyDescent="0.3">
      <c r="I375" s="2"/>
    </row>
    <row r="376" spans="9:9" ht="15.75" customHeight="1" x14ac:dyDescent="0.3">
      <c r="I376" s="2"/>
    </row>
    <row r="377" spans="9:9" ht="15.75" customHeight="1" x14ac:dyDescent="0.3">
      <c r="I377" s="2"/>
    </row>
    <row r="378" spans="9:9" ht="15.75" customHeight="1" x14ac:dyDescent="0.3">
      <c r="I378" s="2"/>
    </row>
    <row r="379" spans="9:9" ht="15.75" customHeight="1" x14ac:dyDescent="0.3">
      <c r="I379" s="2"/>
    </row>
    <row r="380" spans="9:9" ht="15.75" customHeight="1" x14ac:dyDescent="0.3">
      <c r="I380" s="2"/>
    </row>
    <row r="381" spans="9:9" ht="15.75" customHeight="1" x14ac:dyDescent="0.3">
      <c r="I381" s="2"/>
    </row>
    <row r="382" spans="9:9" ht="15.75" customHeight="1" x14ac:dyDescent="0.3">
      <c r="I382" s="2"/>
    </row>
    <row r="383" spans="9:9" ht="15.75" customHeight="1" x14ac:dyDescent="0.3">
      <c r="I383" s="2"/>
    </row>
    <row r="384" spans="9:9" ht="15.75" customHeight="1" x14ac:dyDescent="0.3">
      <c r="I384" s="2"/>
    </row>
    <row r="385" spans="9:9" ht="15.75" customHeight="1" x14ac:dyDescent="0.3">
      <c r="I385" s="2"/>
    </row>
    <row r="386" spans="9:9" ht="15.75" customHeight="1" x14ac:dyDescent="0.3">
      <c r="I386" s="2"/>
    </row>
    <row r="387" spans="9:9" ht="15.75" customHeight="1" x14ac:dyDescent="0.3">
      <c r="I387" s="2"/>
    </row>
    <row r="388" spans="9:9" ht="15.75" customHeight="1" x14ac:dyDescent="0.3">
      <c r="I388" s="2"/>
    </row>
    <row r="389" spans="9:9" ht="15.75" customHeight="1" x14ac:dyDescent="0.3">
      <c r="I389" s="2"/>
    </row>
    <row r="390" spans="9:9" ht="15.75" customHeight="1" x14ac:dyDescent="0.3">
      <c r="I390" s="2"/>
    </row>
    <row r="391" spans="9:9" ht="15.75" customHeight="1" x14ac:dyDescent="0.3">
      <c r="I391" s="2"/>
    </row>
    <row r="392" spans="9:9" ht="15.75" customHeight="1" x14ac:dyDescent="0.3">
      <c r="I392" s="2"/>
    </row>
    <row r="393" spans="9:9" ht="15.75" customHeight="1" x14ac:dyDescent="0.3">
      <c r="I393" s="2"/>
    </row>
    <row r="394" spans="9:9" ht="15.75" customHeight="1" x14ac:dyDescent="0.3">
      <c r="I394" s="2"/>
    </row>
    <row r="395" spans="9:9" ht="15.75" customHeight="1" x14ac:dyDescent="0.3">
      <c r="I395" s="2"/>
    </row>
    <row r="396" spans="9:9" ht="15.75" customHeight="1" x14ac:dyDescent="0.3">
      <c r="I396" s="2"/>
    </row>
    <row r="397" spans="9:9" ht="15.75" customHeight="1" x14ac:dyDescent="0.3">
      <c r="I397" s="2"/>
    </row>
    <row r="398" spans="9:9" ht="15.75" customHeight="1" x14ac:dyDescent="0.3">
      <c r="I398" s="2"/>
    </row>
    <row r="399" spans="9:9" ht="15.75" customHeight="1" x14ac:dyDescent="0.3">
      <c r="I399" s="2"/>
    </row>
    <row r="400" spans="9:9" ht="15.75" customHeight="1" x14ac:dyDescent="0.3">
      <c r="I400" s="2"/>
    </row>
    <row r="401" spans="9:9" ht="15.75" customHeight="1" x14ac:dyDescent="0.3">
      <c r="I401" s="2"/>
    </row>
    <row r="402" spans="9:9" ht="15.75" customHeight="1" x14ac:dyDescent="0.3">
      <c r="I402" s="2"/>
    </row>
    <row r="403" spans="9:9" ht="15.75" customHeight="1" x14ac:dyDescent="0.3">
      <c r="I403" s="2"/>
    </row>
    <row r="404" spans="9:9" ht="15.75" customHeight="1" x14ac:dyDescent="0.3">
      <c r="I404" s="2"/>
    </row>
    <row r="405" spans="9:9" ht="15.75" customHeight="1" x14ac:dyDescent="0.3">
      <c r="I405" s="2"/>
    </row>
    <row r="406" spans="9:9" ht="15.75" customHeight="1" x14ac:dyDescent="0.3">
      <c r="I406" s="2"/>
    </row>
    <row r="407" spans="9:9" ht="15.75" customHeight="1" x14ac:dyDescent="0.3">
      <c r="I407" s="2"/>
    </row>
    <row r="408" spans="9:9" ht="15.75" customHeight="1" x14ac:dyDescent="0.3">
      <c r="I408" s="2"/>
    </row>
    <row r="409" spans="9:9" ht="15.75" customHeight="1" x14ac:dyDescent="0.3">
      <c r="I409" s="2"/>
    </row>
    <row r="410" spans="9:9" ht="15.75" customHeight="1" x14ac:dyDescent="0.3">
      <c r="I410" s="2"/>
    </row>
    <row r="411" spans="9:9" ht="15.75" customHeight="1" x14ac:dyDescent="0.3">
      <c r="I411" s="2"/>
    </row>
    <row r="412" spans="9:9" ht="15.75" customHeight="1" x14ac:dyDescent="0.3">
      <c r="I412" s="2"/>
    </row>
    <row r="413" spans="9:9" ht="15.75" customHeight="1" x14ac:dyDescent="0.3">
      <c r="I413" s="2"/>
    </row>
    <row r="414" spans="9:9" ht="15.75" customHeight="1" x14ac:dyDescent="0.3">
      <c r="I414" s="2"/>
    </row>
    <row r="415" spans="9:9" ht="15.75" customHeight="1" x14ac:dyDescent="0.3">
      <c r="I415" s="2"/>
    </row>
    <row r="416" spans="9:9" ht="15.75" customHeight="1" x14ac:dyDescent="0.3">
      <c r="I416" s="2"/>
    </row>
    <row r="417" spans="9:9" ht="15.75" customHeight="1" x14ac:dyDescent="0.3">
      <c r="I417" s="2"/>
    </row>
    <row r="418" spans="9:9" ht="15.75" customHeight="1" x14ac:dyDescent="0.3">
      <c r="I418" s="2"/>
    </row>
    <row r="419" spans="9:9" ht="15.75" customHeight="1" x14ac:dyDescent="0.3">
      <c r="I419" s="2"/>
    </row>
    <row r="420" spans="9:9" ht="15.75" customHeight="1" x14ac:dyDescent="0.3">
      <c r="I420" s="2"/>
    </row>
    <row r="421" spans="9:9" ht="15.75" customHeight="1" x14ac:dyDescent="0.3">
      <c r="I421" s="2"/>
    </row>
    <row r="422" spans="9:9" ht="15.75" customHeight="1" x14ac:dyDescent="0.3">
      <c r="I422" s="2"/>
    </row>
    <row r="423" spans="9:9" ht="15.75" customHeight="1" x14ac:dyDescent="0.3">
      <c r="I423" s="2"/>
    </row>
    <row r="424" spans="9:9" ht="15.75" customHeight="1" x14ac:dyDescent="0.3">
      <c r="I424" s="2"/>
    </row>
    <row r="425" spans="9:9" ht="15.75" customHeight="1" x14ac:dyDescent="0.3">
      <c r="I425" s="2"/>
    </row>
    <row r="426" spans="9:9" ht="15.75" customHeight="1" x14ac:dyDescent="0.3">
      <c r="I426" s="2"/>
    </row>
    <row r="427" spans="9:9" ht="15.75" customHeight="1" x14ac:dyDescent="0.3">
      <c r="I427" s="2"/>
    </row>
    <row r="428" spans="9:9" ht="15.75" customHeight="1" x14ac:dyDescent="0.3">
      <c r="I428" s="2"/>
    </row>
    <row r="429" spans="9:9" ht="15.75" customHeight="1" x14ac:dyDescent="0.3">
      <c r="I429" s="2"/>
    </row>
    <row r="430" spans="9:9" ht="15.75" customHeight="1" x14ac:dyDescent="0.3">
      <c r="I430" s="2"/>
    </row>
    <row r="431" spans="9:9" ht="15.75" customHeight="1" x14ac:dyDescent="0.3">
      <c r="I431" s="2"/>
    </row>
    <row r="432" spans="9:9" ht="15.75" customHeight="1" x14ac:dyDescent="0.3">
      <c r="I432" s="2"/>
    </row>
    <row r="433" spans="9:9" ht="15.75" customHeight="1" x14ac:dyDescent="0.3">
      <c r="I433" s="2"/>
    </row>
    <row r="434" spans="9:9" ht="15.75" customHeight="1" x14ac:dyDescent="0.3">
      <c r="I434" s="2"/>
    </row>
    <row r="435" spans="9:9" ht="15.75" customHeight="1" x14ac:dyDescent="0.3">
      <c r="I435" s="2"/>
    </row>
    <row r="436" spans="9:9" ht="15.75" customHeight="1" x14ac:dyDescent="0.3">
      <c r="I436" s="2"/>
    </row>
    <row r="437" spans="9:9" ht="15.75" customHeight="1" x14ac:dyDescent="0.3">
      <c r="I437" s="2"/>
    </row>
    <row r="438" spans="9:9" ht="15.75" customHeight="1" x14ac:dyDescent="0.3">
      <c r="I438" s="2"/>
    </row>
    <row r="439" spans="9:9" ht="15.75" customHeight="1" x14ac:dyDescent="0.3">
      <c r="I439" s="2"/>
    </row>
    <row r="440" spans="9:9" ht="15.75" customHeight="1" x14ac:dyDescent="0.3">
      <c r="I440" s="2"/>
    </row>
    <row r="441" spans="9:9" ht="15.75" customHeight="1" x14ac:dyDescent="0.3">
      <c r="I441" s="2"/>
    </row>
    <row r="442" spans="9:9" ht="15.75" customHeight="1" x14ac:dyDescent="0.3">
      <c r="I442" s="2"/>
    </row>
    <row r="443" spans="9:9" ht="15.75" customHeight="1" x14ac:dyDescent="0.3">
      <c r="I443" s="2"/>
    </row>
    <row r="444" spans="9:9" ht="15.75" customHeight="1" x14ac:dyDescent="0.3">
      <c r="I444" s="2"/>
    </row>
    <row r="445" spans="9:9" ht="15.75" customHeight="1" x14ac:dyDescent="0.3">
      <c r="I445" s="2"/>
    </row>
    <row r="446" spans="9:9" ht="15.75" customHeight="1" x14ac:dyDescent="0.3">
      <c r="I446" s="2"/>
    </row>
    <row r="447" spans="9:9" ht="15.75" customHeight="1" x14ac:dyDescent="0.3">
      <c r="I447" s="2"/>
    </row>
    <row r="448" spans="9:9" ht="15.75" customHeight="1" x14ac:dyDescent="0.3">
      <c r="I448" s="2"/>
    </row>
    <row r="449" spans="9:9" ht="15.75" customHeight="1" x14ac:dyDescent="0.3">
      <c r="I449" s="2"/>
    </row>
    <row r="450" spans="9:9" ht="15.75" customHeight="1" x14ac:dyDescent="0.3">
      <c r="I450" s="2"/>
    </row>
    <row r="451" spans="9:9" ht="15.75" customHeight="1" x14ac:dyDescent="0.3">
      <c r="I451" s="2"/>
    </row>
    <row r="452" spans="9:9" ht="15.75" customHeight="1" x14ac:dyDescent="0.3">
      <c r="I452" s="2"/>
    </row>
    <row r="453" spans="9:9" ht="15.75" customHeight="1" x14ac:dyDescent="0.3">
      <c r="I453" s="2"/>
    </row>
    <row r="454" spans="9:9" ht="15.75" customHeight="1" x14ac:dyDescent="0.3">
      <c r="I454" s="2"/>
    </row>
    <row r="455" spans="9:9" ht="15.75" customHeight="1" x14ac:dyDescent="0.3">
      <c r="I455" s="2"/>
    </row>
    <row r="456" spans="9:9" ht="15.75" customHeight="1" x14ac:dyDescent="0.3">
      <c r="I456" s="2"/>
    </row>
    <row r="457" spans="9:9" ht="15.75" customHeight="1" x14ac:dyDescent="0.3">
      <c r="I457" s="2"/>
    </row>
    <row r="458" spans="9:9" ht="15.75" customHeight="1" x14ac:dyDescent="0.3">
      <c r="I458" s="2"/>
    </row>
    <row r="459" spans="9:9" ht="15.75" customHeight="1" x14ac:dyDescent="0.3">
      <c r="I459" s="2"/>
    </row>
    <row r="460" spans="9:9" ht="15.75" customHeight="1" x14ac:dyDescent="0.3">
      <c r="I460" s="2"/>
    </row>
    <row r="461" spans="9:9" ht="15.75" customHeight="1" x14ac:dyDescent="0.3">
      <c r="I461" s="2"/>
    </row>
    <row r="462" spans="9:9" ht="15.75" customHeight="1" x14ac:dyDescent="0.3">
      <c r="I462" s="2"/>
    </row>
    <row r="463" spans="9:9" ht="15.75" customHeight="1" x14ac:dyDescent="0.3">
      <c r="I463" s="2"/>
    </row>
    <row r="464" spans="9:9" ht="15.75" customHeight="1" x14ac:dyDescent="0.3">
      <c r="I464" s="2"/>
    </row>
    <row r="465" spans="9:9" ht="15.75" customHeight="1" x14ac:dyDescent="0.3">
      <c r="I465" s="2"/>
    </row>
    <row r="466" spans="9:9" ht="15.75" customHeight="1" x14ac:dyDescent="0.3">
      <c r="I466" s="2"/>
    </row>
    <row r="467" spans="9:9" ht="15.75" customHeight="1" x14ac:dyDescent="0.3">
      <c r="I467" s="2"/>
    </row>
    <row r="468" spans="9:9" ht="15.75" customHeight="1" x14ac:dyDescent="0.3">
      <c r="I468" s="2"/>
    </row>
    <row r="469" spans="9:9" ht="15.75" customHeight="1" x14ac:dyDescent="0.3">
      <c r="I469" s="2"/>
    </row>
    <row r="470" spans="9:9" ht="15.75" customHeight="1" x14ac:dyDescent="0.3">
      <c r="I470" s="2"/>
    </row>
    <row r="471" spans="9:9" ht="15.75" customHeight="1" x14ac:dyDescent="0.3">
      <c r="I471" s="2"/>
    </row>
    <row r="472" spans="9:9" ht="15.75" customHeight="1" x14ac:dyDescent="0.3">
      <c r="I472" s="2"/>
    </row>
    <row r="473" spans="9:9" ht="15.75" customHeight="1" x14ac:dyDescent="0.3">
      <c r="I473" s="2"/>
    </row>
    <row r="474" spans="9:9" ht="15.75" customHeight="1" x14ac:dyDescent="0.3">
      <c r="I474" s="2"/>
    </row>
    <row r="475" spans="9:9" ht="15.75" customHeight="1" x14ac:dyDescent="0.3">
      <c r="I475" s="2"/>
    </row>
    <row r="476" spans="9:9" ht="15.75" customHeight="1" x14ac:dyDescent="0.3">
      <c r="I476" s="2"/>
    </row>
    <row r="477" spans="9:9" ht="15.75" customHeight="1" x14ac:dyDescent="0.3">
      <c r="I477" s="2"/>
    </row>
    <row r="478" spans="9:9" ht="15.75" customHeight="1" x14ac:dyDescent="0.3">
      <c r="I478" s="2"/>
    </row>
    <row r="479" spans="9:9" ht="15.75" customHeight="1" x14ac:dyDescent="0.3">
      <c r="I479" s="2"/>
    </row>
    <row r="480" spans="9:9" ht="15.75" customHeight="1" x14ac:dyDescent="0.3">
      <c r="I480" s="2"/>
    </row>
    <row r="481" spans="9:9" ht="15.75" customHeight="1" x14ac:dyDescent="0.3">
      <c r="I481" s="2"/>
    </row>
    <row r="482" spans="9:9" ht="15.75" customHeight="1" x14ac:dyDescent="0.3">
      <c r="I482" s="2"/>
    </row>
    <row r="483" spans="9:9" ht="15.75" customHeight="1" x14ac:dyDescent="0.3">
      <c r="I483" s="2"/>
    </row>
    <row r="484" spans="9:9" ht="15.75" customHeight="1" x14ac:dyDescent="0.3">
      <c r="I484" s="2"/>
    </row>
    <row r="485" spans="9:9" ht="15.75" customHeight="1" x14ac:dyDescent="0.3">
      <c r="I485" s="2"/>
    </row>
    <row r="486" spans="9:9" ht="15.75" customHeight="1" x14ac:dyDescent="0.3">
      <c r="I486" s="2"/>
    </row>
    <row r="487" spans="9:9" ht="15.75" customHeight="1" x14ac:dyDescent="0.3">
      <c r="I487" s="2"/>
    </row>
    <row r="488" spans="9:9" ht="15.75" customHeight="1" x14ac:dyDescent="0.3">
      <c r="I488" s="2"/>
    </row>
    <row r="489" spans="9:9" ht="15.75" customHeight="1" x14ac:dyDescent="0.3">
      <c r="I489" s="2"/>
    </row>
    <row r="490" spans="9:9" ht="15.75" customHeight="1" x14ac:dyDescent="0.3">
      <c r="I490" s="2"/>
    </row>
    <row r="491" spans="9:9" ht="15.75" customHeight="1" x14ac:dyDescent="0.3">
      <c r="I491" s="2"/>
    </row>
    <row r="492" spans="9:9" ht="15.75" customHeight="1" x14ac:dyDescent="0.3">
      <c r="I492" s="2"/>
    </row>
    <row r="493" spans="9:9" ht="15.75" customHeight="1" x14ac:dyDescent="0.3">
      <c r="I493" s="2"/>
    </row>
    <row r="494" spans="9:9" ht="15.75" customHeight="1" x14ac:dyDescent="0.3">
      <c r="I494" s="2"/>
    </row>
    <row r="495" spans="9:9" ht="15.75" customHeight="1" x14ac:dyDescent="0.3">
      <c r="I495" s="2"/>
    </row>
    <row r="496" spans="9:9" ht="15.75" customHeight="1" x14ac:dyDescent="0.3">
      <c r="I496" s="2"/>
    </row>
    <row r="497" spans="9:9" ht="15.75" customHeight="1" x14ac:dyDescent="0.3">
      <c r="I497" s="2"/>
    </row>
    <row r="498" spans="9:9" ht="15.75" customHeight="1" x14ac:dyDescent="0.3">
      <c r="I498" s="2"/>
    </row>
    <row r="499" spans="9:9" ht="15.75" customHeight="1" x14ac:dyDescent="0.3">
      <c r="I499" s="2"/>
    </row>
    <row r="500" spans="9:9" ht="15.75" customHeight="1" x14ac:dyDescent="0.3">
      <c r="I500" s="2"/>
    </row>
    <row r="501" spans="9:9" ht="15.75" customHeight="1" x14ac:dyDescent="0.3">
      <c r="I501" s="2"/>
    </row>
    <row r="502" spans="9:9" ht="15.75" customHeight="1" x14ac:dyDescent="0.3">
      <c r="I502" s="2"/>
    </row>
    <row r="503" spans="9:9" ht="15.75" customHeight="1" x14ac:dyDescent="0.3">
      <c r="I503" s="2"/>
    </row>
    <row r="504" spans="9:9" ht="15.75" customHeight="1" x14ac:dyDescent="0.3">
      <c r="I504" s="2"/>
    </row>
    <row r="505" spans="9:9" ht="15.75" customHeight="1" x14ac:dyDescent="0.3">
      <c r="I505" s="2"/>
    </row>
    <row r="506" spans="9:9" ht="15.75" customHeight="1" x14ac:dyDescent="0.3">
      <c r="I506" s="2"/>
    </row>
    <row r="507" spans="9:9" ht="15.75" customHeight="1" x14ac:dyDescent="0.3">
      <c r="I507" s="2"/>
    </row>
    <row r="508" spans="9:9" ht="15.75" customHeight="1" x14ac:dyDescent="0.3">
      <c r="I508" s="2"/>
    </row>
    <row r="509" spans="9:9" ht="15.75" customHeight="1" x14ac:dyDescent="0.3">
      <c r="I509" s="2"/>
    </row>
    <row r="510" spans="9:9" ht="15.75" customHeight="1" x14ac:dyDescent="0.3">
      <c r="I510" s="2"/>
    </row>
    <row r="511" spans="9:9" ht="15.75" customHeight="1" x14ac:dyDescent="0.3">
      <c r="I511" s="2"/>
    </row>
    <row r="512" spans="9:9" ht="15.75" customHeight="1" x14ac:dyDescent="0.3">
      <c r="I512" s="2"/>
    </row>
    <row r="513" spans="9:9" ht="15.75" customHeight="1" x14ac:dyDescent="0.3">
      <c r="I513" s="2"/>
    </row>
    <row r="514" spans="9:9" ht="15.75" customHeight="1" x14ac:dyDescent="0.3">
      <c r="I514" s="2"/>
    </row>
    <row r="515" spans="9:9" ht="15.75" customHeight="1" x14ac:dyDescent="0.3">
      <c r="I515" s="2"/>
    </row>
    <row r="516" spans="9:9" ht="15.75" customHeight="1" x14ac:dyDescent="0.3">
      <c r="I516" s="2"/>
    </row>
    <row r="517" spans="9:9" ht="15.75" customHeight="1" x14ac:dyDescent="0.3">
      <c r="I517" s="2"/>
    </row>
    <row r="518" spans="9:9" ht="15.75" customHeight="1" x14ac:dyDescent="0.3">
      <c r="I518" s="2"/>
    </row>
    <row r="519" spans="9:9" ht="15.75" customHeight="1" x14ac:dyDescent="0.3">
      <c r="I519" s="2"/>
    </row>
    <row r="520" spans="9:9" ht="15.75" customHeight="1" x14ac:dyDescent="0.3">
      <c r="I520" s="2"/>
    </row>
    <row r="521" spans="9:9" ht="15.75" customHeight="1" x14ac:dyDescent="0.3">
      <c r="I521" s="2"/>
    </row>
    <row r="522" spans="9:9" ht="15.75" customHeight="1" x14ac:dyDescent="0.3">
      <c r="I522" s="2"/>
    </row>
    <row r="523" spans="9:9" ht="15.75" customHeight="1" x14ac:dyDescent="0.3">
      <c r="I523" s="2"/>
    </row>
    <row r="524" spans="9:9" ht="15.75" customHeight="1" x14ac:dyDescent="0.3">
      <c r="I524" s="2"/>
    </row>
    <row r="525" spans="9:9" ht="15.75" customHeight="1" x14ac:dyDescent="0.3">
      <c r="I525" s="2"/>
    </row>
    <row r="526" spans="9:9" ht="15.75" customHeight="1" x14ac:dyDescent="0.3">
      <c r="I526" s="2"/>
    </row>
    <row r="527" spans="9:9" ht="15.75" customHeight="1" x14ac:dyDescent="0.3">
      <c r="I527" s="2"/>
    </row>
    <row r="528" spans="9:9" ht="15.75" customHeight="1" x14ac:dyDescent="0.3">
      <c r="I528" s="2"/>
    </row>
    <row r="529" spans="9:9" ht="15.75" customHeight="1" x14ac:dyDescent="0.3">
      <c r="I529" s="2"/>
    </row>
    <row r="530" spans="9:9" ht="15.75" customHeight="1" x14ac:dyDescent="0.3">
      <c r="I530" s="2"/>
    </row>
    <row r="531" spans="9:9" ht="15.75" customHeight="1" x14ac:dyDescent="0.3">
      <c r="I531" s="2"/>
    </row>
    <row r="532" spans="9:9" ht="15.75" customHeight="1" x14ac:dyDescent="0.3">
      <c r="I532" s="2"/>
    </row>
    <row r="533" spans="9:9" ht="15.75" customHeight="1" x14ac:dyDescent="0.3">
      <c r="I533" s="2"/>
    </row>
    <row r="534" spans="9:9" ht="15.75" customHeight="1" x14ac:dyDescent="0.3">
      <c r="I534" s="2"/>
    </row>
    <row r="535" spans="9:9" ht="15.75" customHeight="1" x14ac:dyDescent="0.3">
      <c r="I535" s="2"/>
    </row>
    <row r="536" spans="9:9" ht="15.75" customHeight="1" x14ac:dyDescent="0.3">
      <c r="I536" s="2"/>
    </row>
    <row r="537" spans="9:9" ht="15.75" customHeight="1" x14ac:dyDescent="0.3">
      <c r="I537" s="2"/>
    </row>
    <row r="538" spans="9:9" ht="15.75" customHeight="1" x14ac:dyDescent="0.3">
      <c r="I538" s="2"/>
    </row>
    <row r="539" spans="9:9" ht="15.75" customHeight="1" x14ac:dyDescent="0.3">
      <c r="I539" s="2"/>
    </row>
    <row r="540" spans="9:9" ht="15.75" customHeight="1" x14ac:dyDescent="0.3">
      <c r="I540" s="2"/>
    </row>
    <row r="541" spans="9:9" ht="15.75" customHeight="1" x14ac:dyDescent="0.3">
      <c r="I541" s="2"/>
    </row>
    <row r="542" spans="9:9" ht="15.75" customHeight="1" x14ac:dyDescent="0.3">
      <c r="I542" s="2"/>
    </row>
    <row r="543" spans="9:9" ht="15.75" customHeight="1" x14ac:dyDescent="0.3">
      <c r="I543" s="2"/>
    </row>
    <row r="544" spans="9:9" ht="15.75" customHeight="1" x14ac:dyDescent="0.3">
      <c r="I544" s="2"/>
    </row>
    <row r="545" spans="9:9" ht="15.75" customHeight="1" x14ac:dyDescent="0.3">
      <c r="I545" s="2"/>
    </row>
    <row r="546" spans="9:9" ht="15.75" customHeight="1" x14ac:dyDescent="0.3">
      <c r="I546" s="2"/>
    </row>
    <row r="547" spans="9:9" ht="15.75" customHeight="1" x14ac:dyDescent="0.3">
      <c r="I547" s="2"/>
    </row>
    <row r="548" spans="9:9" ht="15.75" customHeight="1" x14ac:dyDescent="0.3">
      <c r="I548" s="2"/>
    </row>
    <row r="549" spans="9:9" ht="15.75" customHeight="1" x14ac:dyDescent="0.3">
      <c r="I549" s="2"/>
    </row>
    <row r="550" spans="9:9" ht="15.75" customHeight="1" x14ac:dyDescent="0.3">
      <c r="I550" s="2"/>
    </row>
    <row r="551" spans="9:9" ht="15.75" customHeight="1" x14ac:dyDescent="0.3">
      <c r="I551" s="2"/>
    </row>
    <row r="552" spans="9:9" ht="15.75" customHeight="1" x14ac:dyDescent="0.3">
      <c r="I552" s="2"/>
    </row>
    <row r="553" spans="9:9" ht="15.75" customHeight="1" x14ac:dyDescent="0.3">
      <c r="I553" s="2"/>
    </row>
    <row r="554" spans="9:9" ht="15.75" customHeight="1" x14ac:dyDescent="0.3">
      <c r="I554" s="2"/>
    </row>
    <row r="555" spans="9:9" ht="15.75" customHeight="1" x14ac:dyDescent="0.3">
      <c r="I555" s="2"/>
    </row>
    <row r="556" spans="9:9" ht="15.75" customHeight="1" x14ac:dyDescent="0.3">
      <c r="I556" s="2"/>
    </row>
    <row r="557" spans="9:9" ht="15.75" customHeight="1" x14ac:dyDescent="0.3">
      <c r="I557" s="2"/>
    </row>
    <row r="558" spans="9:9" ht="15.75" customHeight="1" x14ac:dyDescent="0.3">
      <c r="I558" s="2"/>
    </row>
    <row r="559" spans="9:9" ht="15.75" customHeight="1" x14ac:dyDescent="0.3">
      <c r="I559" s="2"/>
    </row>
    <row r="560" spans="9:9" ht="15.75" customHeight="1" x14ac:dyDescent="0.3">
      <c r="I560" s="2"/>
    </row>
    <row r="561" spans="9:9" ht="15.75" customHeight="1" x14ac:dyDescent="0.3">
      <c r="I561" s="2"/>
    </row>
    <row r="562" spans="9:9" ht="15.75" customHeight="1" x14ac:dyDescent="0.3">
      <c r="I562" s="2"/>
    </row>
    <row r="563" spans="9:9" ht="15.75" customHeight="1" x14ac:dyDescent="0.3">
      <c r="I563" s="2"/>
    </row>
    <row r="564" spans="9:9" ht="15.75" customHeight="1" x14ac:dyDescent="0.3">
      <c r="I564" s="2"/>
    </row>
    <row r="565" spans="9:9" ht="15.75" customHeight="1" x14ac:dyDescent="0.3">
      <c r="I565" s="2"/>
    </row>
    <row r="566" spans="9:9" ht="15.75" customHeight="1" x14ac:dyDescent="0.3">
      <c r="I566" s="2"/>
    </row>
    <row r="567" spans="9:9" ht="15.75" customHeight="1" x14ac:dyDescent="0.3">
      <c r="I567" s="2"/>
    </row>
    <row r="568" spans="9:9" ht="15.75" customHeight="1" x14ac:dyDescent="0.3">
      <c r="I568" s="2"/>
    </row>
    <row r="569" spans="9:9" ht="15.75" customHeight="1" x14ac:dyDescent="0.3">
      <c r="I569" s="2"/>
    </row>
    <row r="570" spans="9:9" ht="15.75" customHeight="1" x14ac:dyDescent="0.3">
      <c r="I570" s="2"/>
    </row>
    <row r="571" spans="9:9" ht="15.75" customHeight="1" x14ac:dyDescent="0.3">
      <c r="I571" s="2"/>
    </row>
    <row r="572" spans="9:9" ht="15.75" customHeight="1" x14ac:dyDescent="0.3">
      <c r="I572" s="2"/>
    </row>
    <row r="573" spans="9:9" ht="15.75" customHeight="1" x14ac:dyDescent="0.3">
      <c r="I573" s="2"/>
    </row>
    <row r="574" spans="9:9" ht="15.75" customHeight="1" x14ac:dyDescent="0.3">
      <c r="I574" s="2"/>
    </row>
    <row r="575" spans="9:9" ht="15.75" customHeight="1" x14ac:dyDescent="0.3">
      <c r="I575" s="2"/>
    </row>
    <row r="576" spans="9:9" ht="15.75" customHeight="1" x14ac:dyDescent="0.3">
      <c r="I576" s="2"/>
    </row>
    <row r="577" spans="9:9" ht="15.75" customHeight="1" x14ac:dyDescent="0.3">
      <c r="I577" s="2"/>
    </row>
    <row r="578" spans="9:9" ht="15.75" customHeight="1" x14ac:dyDescent="0.3">
      <c r="I578" s="2"/>
    </row>
    <row r="579" spans="9:9" ht="15.75" customHeight="1" x14ac:dyDescent="0.3">
      <c r="I579" s="2"/>
    </row>
    <row r="580" spans="9:9" ht="15.75" customHeight="1" x14ac:dyDescent="0.3">
      <c r="I580" s="2"/>
    </row>
    <row r="581" spans="9:9" ht="15.75" customHeight="1" x14ac:dyDescent="0.3">
      <c r="I581" s="2"/>
    </row>
    <row r="582" spans="9:9" ht="15.75" customHeight="1" x14ac:dyDescent="0.3">
      <c r="I582" s="2"/>
    </row>
    <row r="583" spans="9:9" ht="15.75" customHeight="1" x14ac:dyDescent="0.3">
      <c r="I583" s="2"/>
    </row>
    <row r="584" spans="9:9" ht="15.75" customHeight="1" x14ac:dyDescent="0.3">
      <c r="I584" s="2"/>
    </row>
    <row r="585" spans="9:9" ht="15.75" customHeight="1" x14ac:dyDescent="0.3">
      <c r="I585" s="2"/>
    </row>
    <row r="586" spans="9:9" ht="15.75" customHeight="1" x14ac:dyDescent="0.3">
      <c r="I586" s="2"/>
    </row>
    <row r="587" spans="9:9" ht="15.75" customHeight="1" x14ac:dyDescent="0.3">
      <c r="I587" s="2"/>
    </row>
    <row r="588" spans="9:9" ht="15.75" customHeight="1" x14ac:dyDescent="0.3">
      <c r="I588" s="2"/>
    </row>
    <row r="589" spans="9:9" ht="15.75" customHeight="1" x14ac:dyDescent="0.3">
      <c r="I589" s="2"/>
    </row>
    <row r="590" spans="9:9" ht="15.75" customHeight="1" x14ac:dyDescent="0.3">
      <c r="I590" s="2"/>
    </row>
    <row r="591" spans="9:9" ht="15.75" customHeight="1" x14ac:dyDescent="0.3">
      <c r="I591" s="2"/>
    </row>
    <row r="592" spans="9:9" ht="15.75" customHeight="1" x14ac:dyDescent="0.3">
      <c r="I592" s="2"/>
    </row>
    <row r="593" spans="9:9" ht="15.75" customHeight="1" x14ac:dyDescent="0.3">
      <c r="I593" s="2"/>
    </row>
    <row r="594" spans="9:9" ht="15.75" customHeight="1" x14ac:dyDescent="0.3">
      <c r="I594" s="2"/>
    </row>
    <row r="595" spans="9:9" ht="15.75" customHeight="1" x14ac:dyDescent="0.3">
      <c r="I595" s="2"/>
    </row>
    <row r="596" spans="9:9" ht="15.75" customHeight="1" x14ac:dyDescent="0.3">
      <c r="I596" s="2"/>
    </row>
    <row r="597" spans="9:9" ht="15.75" customHeight="1" x14ac:dyDescent="0.3">
      <c r="I597" s="2"/>
    </row>
    <row r="598" spans="9:9" ht="15.75" customHeight="1" x14ac:dyDescent="0.3">
      <c r="I598" s="2"/>
    </row>
    <row r="599" spans="9:9" ht="15.75" customHeight="1" x14ac:dyDescent="0.3">
      <c r="I599" s="2"/>
    </row>
    <row r="600" spans="9:9" ht="15.75" customHeight="1" x14ac:dyDescent="0.3">
      <c r="I600" s="2"/>
    </row>
    <row r="601" spans="9:9" ht="15.75" customHeight="1" x14ac:dyDescent="0.3">
      <c r="I601" s="2"/>
    </row>
    <row r="602" spans="9:9" ht="15.75" customHeight="1" x14ac:dyDescent="0.3">
      <c r="I602" s="2"/>
    </row>
    <row r="603" spans="9:9" ht="15.75" customHeight="1" x14ac:dyDescent="0.3">
      <c r="I603" s="2"/>
    </row>
    <row r="604" spans="9:9" ht="15.75" customHeight="1" x14ac:dyDescent="0.3">
      <c r="I604" s="2"/>
    </row>
    <row r="605" spans="9:9" ht="15.75" customHeight="1" x14ac:dyDescent="0.3">
      <c r="I605" s="2"/>
    </row>
    <row r="606" spans="9:9" ht="15.75" customHeight="1" x14ac:dyDescent="0.3">
      <c r="I606" s="2"/>
    </row>
    <row r="607" spans="9:9" ht="15.75" customHeight="1" x14ac:dyDescent="0.3">
      <c r="I607" s="2"/>
    </row>
    <row r="608" spans="9:9" ht="15.75" customHeight="1" x14ac:dyDescent="0.3">
      <c r="I608" s="2"/>
    </row>
    <row r="609" spans="9:9" ht="15.75" customHeight="1" x14ac:dyDescent="0.3">
      <c r="I609" s="2"/>
    </row>
    <row r="610" spans="9:9" ht="15.75" customHeight="1" x14ac:dyDescent="0.3">
      <c r="I610" s="2"/>
    </row>
    <row r="611" spans="9:9" ht="15.75" customHeight="1" x14ac:dyDescent="0.3">
      <c r="I611" s="2"/>
    </row>
    <row r="612" spans="9:9" ht="15.75" customHeight="1" x14ac:dyDescent="0.3">
      <c r="I612" s="2"/>
    </row>
    <row r="613" spans="9:9" ht="15.75" customHeight="1" x14ac:dyDescent="0.3">
      <c r="I613" s="2"/>
    </row>
    <row r="614" spans="9:9" ht="15.75" customHeight="1" x14ac:dyDescent="0.3">
      <c r="I614" s="2"/>
    </row>
    <row r="615" spans="9:9" ht="15.75" customHeight="1" x14ac:dyDescent="0.3">
      <c r="I615" s="2"/>
    </row>
    <row r="616" spans="9:9" ht="15.75" customHeight="1" x14ac:dyDescent="0.3">
      <c r="I616" s="2"/>
    </row>
    <row r="617" spans="9:9" ht="15.75" customHeight="1" x14ac:dyDescent="0.3">
      <c r="I617" s="2"/>
    </row>
    <row r="618" spans="9:9" ht="15.75" customHeight="1" x14ac:dyDescent="0.3">
      <c r="I618" s="2"/>
    </row>
    <row r="619" spans="9:9" ht="15.75" customHeight="1" x14ac:dyDescent="0.3">
      <c r="I619" s="2"/>
    </row>
    <row r="620" spans="9:9" ht="15.75" customHeight="1" x14ac:dyDescent="0.3">
      <c r="I620" s="2"/>
    </row>
    <row r="621" spans="9:9" ht="15.75" customHeight="1" x14ac:dyDescent="0.3">
      <c r="I621" s="2"/>
    </row>
    <row r="622" spans="9:9" ht="15.75" customHeight="1" x14ac:dyDescent="0.3">
      <c r="I622" s="2"/>
    </row>
    <row r="623" spans="9:9" ht="15.75" customHeight="1" x14ac:dyDescent="0.3">
      <c r="I623" s="2"/>
    </row>
    <row r="624" spans="9:9" ht="15.75" customHeight="1" x14ac:dyDescent="0.3">
      <c r="I624" s="2"/>
    </row>
    <row r="625" spans="9:9" ht="15.75" customHeight="1" x14ac:dyDescent="0.3">
      <c r="I625" s="2"/>
    </row>
    <row r="626" spans="9:9" ht="15.75" customHeight="1" x14ac:dyDescent="0.3">
      <c r="I626" s="2"/>
    </row>
    <row r="627" spans="9:9" ht="15.75" customHeight="1" x14ac:dyDescent="0.3">
      <c r="I627" s="2"/>
    </row>
    <row r="628" spans="9:9" ht="15.75" customHeight="1" x14ac:dyDescent="0.3">
      <c r="I628" s="2"/>
    </row>
    <row r="629" spans="9:9" ht="15.75" customHeight="1" x14ac:dyDescent="0.3">
      <c r="I629" s="2"/>
    </row>
    <row r="630" spans="9:9" ht="15.75" customHeight="1" x14ac:dyDescent="0.3">
      <c r="I630" s="2"/>
    </row>
    <row r="631" spans="9:9" ht="15.75" customHeight="1" x14ac:dyDescent="0.3">
      <c r="I631" s="2"/>
    </row>
    <row r="632" spans="9:9" ht="15.75" customHeight="1" x14ac:dyDescent="0.3">
      <c r="I632" s="2"/>
    </row>
    <row r="633" spans="9:9" ht="15.75" customHeight="1" x14ac:dyDescent="0.3">
      <c r="I633" s="2"/>
    </row>
    <row r="634" spans="9:9" ht="15.75" customHeight="1" x14ac:dyDescent="0.3">
      <c r="I634" s="2"/>
    </row>
    <row r="635" spans="9:9" ht="15.75" customHeight="1" x14ac:dyDescent="0.3">
      <c r="I635" s="2"/>
    </row>
    <row r="636" spans="9:9" ht="15.75" customHeight="1" x14ac:dyDescent="0.3">
      <c r="I636" s="2"/>
    </row>
    <row r="637" spans="9:9" ht="15.75" customHeight="1" x14ac:dyDescent="0.3">
      <c r="I637" s="2"/>
    </row>
    <row r="638" spans="9:9" ht="15.75" customHeight="1" x14ac:dyDescent="0.3">
      <c r="I638" s="2"/>
    </row>
    <row r="639" spans="9:9" ht="15.75" customHeight="1" x14ac:dyDescent="0.3">
      <c r="I639" s="2"/>
    </row>
    <row r="640" spans="9:9" ht="15.75" customHeight="1" x14ac:dyDescent="0.3">
      <c r="I640" s="2"/>
    </row>
    <row r="641" spans="9:9" ht="15.75" customHeight="1" x14ac:dyDescent="0.3">
      <c r="I641" s="2"/>
    </row>
    <row r="642" spans="9:9" ht="15.75" customHeight="1" x14ac:dyDescent="0.3">
      <c r="I642" s="2"/>
    </row>
    <row r="643" spans="9:9" ht="15.75" customHeight="1" x14ac:dyDescent="0.3">
      <c r="I643" s="2"/>
    </row>
    <row r="644" spans="9:9" ht="15.75" customHeight="1" x14ac:dyDescent="0.3">
      <c r="I644" s="2"/>
    </row>
    <row r="645" spans="9:9" ht="15.75" customHeight="1" x14ac:dyDescent="0.3">
      <c r="I645" s="2"/>
    </row>
    <row r="646" spans="9:9" ht="15.75" customHeight="1" x14ac:dyDescent="0.3">
      <c r="I646" s="2"/>
    </row>
    <row r="647" spans="9:9" ht="15.75" customHeight="1" x14ac:dyDescent="0.3">
      <c r="I647" s="2"/>
    </row>
    <row r="648" spans="9:9" ht="15.75" customHeight="1" x14ac:dyDescent="0.3">
      <c r="I648" s="2"/>
    </row>
    <row r="649" spans="9:9" ht="15.75" customHeight="1" x14ac:dyDescent="0.3">
      <c r="I649" s="2"/>
    </row>
    <row r="650" spans="9:9" ht="15.75" customHeight="1" x14ac:dyDescent="0.3">
      <c r="I650" s="2"/>
    </row>
    <row r="651" spans="9:9" ht="15.75" customHeight="1" x14ac:dyDescent="0.3">
      <c r="I651" s="2"/>
    </row>
    <row r="652" spans="9:9" ht="15.75" customHeight="1" x14ac:dyDescent="0.3">
      <c r="I652" s="2"/>
    </row>
    <row r="653" spans="9:9" ht="15.75" customHeight="1" x14ac:dyDescent="0.3">
      <c r="I653" s="2"/>
    </row>
    <row r="654" spans="9:9" ht="15.75" customHeight="1" x14ac:dyDescent="0.3">
      <c r="I654" s="2"/>
    </row>
    <row r="655" spans="9:9" ht="15.75" customHeight="1" x14ac:dyDescent="0.3">
      <c r="I655" s="2"/>
    </row>
    <row r="656" spans="9:9" ht="15.75" customHeight="1" x14ac:dyDescent="0.3">
      <c r="I656" s="2"/>
    </row>
    <row r="657" spans="9:9" ht="15.75" customHeight="1" x14ac:dyDescent="0.3">
      <c r="I657" s="2"/>
    </row>
    <row r="658" spans="9:9" ht="15.75" customHeight="1" x14ac:dyDescent="0.3">
      <c r="I658" s="2"/>
    </row>
    <row r="659" spans="9:9" ht="15.75" customHeight="1" x14ac:dyDescent="0.3">
      <c r="I659" s="2"/>
    </row>
    <row r="660" spans="9:9" ht="15.75" customHeight="1" x14ac:dyDescent="0.3">
      <c r="I660" s="2"/>
    </row>
    <row r="661" spans="9:9" ht="15.75" customHeight="1" x14ac:dyDescent="0.3">
      <c r="I661" s="2"/>
    </row>
    <row r="662" spans="9:9" ht="15.75" customHeight="1" x14ac:dyDescent="0.3">
      <c r="I662" s="2"/>
    </row>
    <row r="663" spans="9:9" ht="15.75" customHeight="1" x14ac:dyDescent="0.3">
      <c r="I663" s="2"/>
    </row>
    <row r="664" spans="9:9" ht="15.75" customHeight="1" x14ac:dyDescent="0.3">
      <c r="I664" s="2"/>
    </row>
    <row r="665" spans="9:9" ht="15.75" customHeight="1" x14ac:dyDescent="0.3">
      <c r="I665" s="2"/>
    </row>
    <row r="666" spans="9:9" ht="15.75" customHeight="1" x14ac:dyDescent="0.3">
      <c r="I666" s="2"/>
    </row>
    <row r="667" spans="9:9" ht="15.75" customHeight="1" x14ac:dyDescent="0.3">
      <c r="I667" s="2"/>
    </row>
    <row r="668" spans="9:9" ht="15.75" customHeight="1" x14ac:dyDescent="0.3">
      <c r="I668" s="2"/>
    </row>
    <row r="669" spans="9:9" ht="15.75" customHeight="1" x14ac:dyDescent="0.3">
      <c r="I669" s="2"/>
    </row>
    <row r="670" spans="9:9" ht="15.75" customHeight="1" x14ac:dyDescent="0.3">
      <c r="I670" s="2"/>
    </row>
    <row r="671" spans="9:9" ht="15.75" customHeight="1" x14ac:dyDescent="0.3">
      <c r="I671" s="2"/>
    </row>
    <row r="672" spans="9:9" ht="15.75" customHeight="1" x14ac:dyDescent="0.3">
      <c r="I672" s="2"/>
    </row>
    <row r="673" spans="9:9" ht="15.75" customHeight="1" x14ac:dyDescent="0.3">
      <c r="I673" s="2"/>
    </row>
    <row r="674" spans="9:9" ht="15.75" customHeight="1" x14ac:dyDescent="0.3">
      <c r="I674" s="2"/>
    </row>
    <row r="675" spans="9:9" ht="15.75" customHeight="1" x14ac:dyDescent="0.3">
      <c r="I675" s="2"/>
    </row>
    <row r="676" spans="9:9" ht="15.75" customHeight="1" x14ac:dyDescent="0.3">
      <c r="I676" s="2"/>
    </row>
    <row r="677" spans="9:9" ht="15.75" customHeight="1" x14ac:dyDescent="0.3">
      <c r="I677" s="2"/>
    </row>
    <row r="678" spans="9:9" ht="15.75" customHeight="1" x14ac:dyDescent="0.3">
      <c r="I678" s="2"/>
    </row>
    <row r="679" spans="9:9" ht="15.75" customHeight="1" x14ac:dyDescent="0.3">
      <c r="I679" s="2"/>
    </row>
    <row r="680" spans="9:9" ht="15.75" customHeight="1" x14ac:dyDescent="0.3">
      <c r="I680" s="2"/>
    </row>
    <row r="681" spans="9:9" ht="15.75" customHeight="1" x14ac:dyDescent="0.3">
      <c r="I681" s="2"/>
    </row>
    <row r="682" spans="9:9" ht="15.75" customHeight="1" x14ac:dyDescent="0.3">
      <c r="I682" s="2"/>
    </row>
    <row r="683" spans="9:9" ht="15.75" customHeight="1" x14ac:dyDescent="0.3">
      <c r="I683" s="2"/>
    </row>
    <row r="684" spans="9:9" ht="15.75" customHeight="1" x14ac:dyDescent="0.3">
      <c r="I684" s="2"/>
    </row>
    <row r="685" spans="9:9" ht="15.75" customHeight="1" x14ac:dyDescent="0.3">
      <c r="I685" s="2"/>
    </row>
    <row r="686" spans="9:9" ht="15.75" customHeight="1" x14ac:dyDescent="0.3">
      <c r="I686" s="2"/>
    </row>
    <row r="687" spans="9:9" ht="15.75" customHeight="1" x14ac:dyDescent="0.3">
      <c r="I687" s="2"/>
    </row>
    <row r="688" spans="9:9" ht="15.75" customHeight="1" x14ac:dyDescent="0.3">
      <c r="I688" s="2"/>
    </row>
    <row r="689" spans="9:9" ht="15.75" customHeight="1" x14ac:dyDescent="0.3">
      <c r="I689" s="2"/>
    </row>
    <row r="690" spans="9:9" ht="15.75" customHeight="1" x14ac:dyDescent="0.3">
      <c r="I690" s="2"/>
    </row>
    <row r="691" spans="9:9" ht="15.75" customHeight="1" x14ac:dyDescent="0.3">
      <c r="I691" s="2"/>
    </row>
    <row r="692" spans="9:9" ht="15.75" customHeight="1" x14ac:dyDescent="0.3">
      <c r="I692" s="2"/>
    </row>
    <row r="693" spans="9:9" ht="15.75" customHeight="1" x14ac:dyDescent="0.3">
      <c r="I693" s="2"/>
    </row>
    <row r="694" spans="9:9" ht="15.75" customHeight="1" x14ac:dyDescent="0.3">
      <c r="I694" s="2"/>
    </row>
    <row r="695" spans="9:9" ht="15.75" customHeight="1" x14ac:dyDescent="0.3">
      <c r="I695" s="2"/>
    </row>
    <row r="696" spans="9:9" ht="15.75" customHeight="1" x14ac:dyDescent="0.3">
      <c r="I696" s="2"/>
    </row>
    <row r="697" spans="9:9" ht="15.75" customHeight="1" x14ac:dyDescent="0.3">
      <c r="I697" s="2"/>
    </row>
    <row r="698" spans="9:9" ht="15.75" customHeight="1" x14ac:dyDescent="0.3">
      <c r="I698" s="2"/>
    </row>
    <row r="699" spans="9:9" ht="15.75" customHeight="1" x14ac:dyDescent="0.3">
      <c r="I699" s="2"/>
    </row>
    <row r="700" spans="9:9" ht="15.75" customHeight="1" x14ac:dyDescent="0.3">
      <c r="I700" s="2"/>
    </row>
    <row r="701" spans="9:9" ht="15.75" customHeight="1" x14ac:dyDescent="0.3">
      <c r="I701" s="2"/>
    </row>
    <row r="702" spans="9:9" ht="15.75" customHeight="1" x14ac:dyDescent="0.3">
      <c r="I702" s="2"/>
    </row>
    <row r="703" spans="9:9" ht="15.75" customHeight="1" x14ac:dyDescent="0.3">
      <c r="I703" s="2"/>
    </row>
    <row r="704" spans="9:9" ht="15.75" customHeight="1" x14ac:dyDescent="0.3">
      <c r="I704" s="2"/>
    </row>
    <row r="705" spans="9:9" ht="15.75" customHeight="1" x14ac:dyDescent="0.3">
      <c r="I705" s="2"/>
    </row>
    <row r="706" spans="9:9" ht="15.75" customHeight="1" x14ac:dyDescent="0.3">
      <c r="I706" s="2"/>
    </row>
    <row r="707" spans="9:9" ht="15.75" customHeight="1" x14ac:dyDescent="0.3">
      <c r="I707" s="2"/>
    </row>
    <row r="708" spans="9:9" ht="15.75" customHeight="1" x14ac:dyDescent="0.3">
      <c r="I708" s="2"/>
    </row>
    <row r="709" spans="9:9" ht="15.75" customHeight="1" x14ac:dyDescent="0.3">
      <c r="I709" s="2"/>
    </row>
    <row r="710" spans="9:9" ht="15.75" customHeight="1" x14ac:dyDescent="0.3">
      <c r="I710" s="2"/>
    </row>
    <row r="711" spans="9:9" ht="15.75" customHeight="1" x14ac:dyDescent="0.3">
      <c r="I711" s="2"/>
    </row>
    <row r="712" spans="9:9" ht="15.75" customHeight="1" x14ac:dyDescent="0.3">
      <c r="I712" s="2"/>
    </row>
    <row r="713" spans="9:9" ht="15.75" customHeight="1" x14ac:dyDescent="0.3">
      <c r="I713" s="2"/>
    </row>
    <row r="714" spans="9:9" ht="15.75" customHeight="1" x14ac:dyDescent="0.3">
      <c r="I714" s="2"/>
    </row>
    <row r="715" spans="9:9" ht="15.75" customHeight="1" x14ac:dyDescent="0.3">
      <c r="I715" s="2"/>
    </row>
    <row r="716" spans="9:9" ht="15.75" customHeight="1" x14ac:dyDescent="0.3">
      <c r="I716" s="2"/>
    </row>
    <row r="717" spans="9:9" ht="15.75" customHeight="1" x14ac:dyDescent="0.3">
      <c r="I717" s="2"/>
    </row>
    <row r="718" spans="9:9" ht="15.75" customHeight="1" x14ac:dyDescent="0.3">
      <c r="I718" s="2"/>
    </row>
    <row r="719" spans="9:9" ht="15.75" customHeight="1" x14ac:dyDescent="0.3">
      <c r="I719" s="2"/>
    </row>
    <row r="720" spans="9:9" ht="15.75" customHeight="1" x14ac:dyDescent="0.3">
      <c r="I720" s="2"/>
    </row>
    <row r="721" spans="9:9" ht="15.75" customHeight="1" x14ac:dyDescent="0.3">
      <c r="I721" s="2"/>
    </row>
    <row r="722" spans="9:9" ht="15.75" customHeight="1" x14ac:dyDescent="0.3">
      <c r="I722" s="2"/>
    </row>
    <row r="723" spans="9:9" ht="15.75" customHeight="1" x14ac:dyDescent="0.3">
      <c r="I723" s="2"/>
    </row>
    <row r="724" spans="9:9" ht="15.75" customHeight="1" x14ac:dyDescent="0.3">
      <c r="I724" s="2"/>
    </row>
    <row r="725" spans="9:9" ht="15.75" customHeight="1" x14ac:dyDescent="0.3">
      <c r="I725" s="2"/>
    </row>
    <row r="726" spans="9:9" ht="15.75" customHeight="1" x14ac:dyDescent="0.3">
      <c r="I726" s="2"/>
    </row>
    <row r="727" spans="9:9" ht="15.75" customHeight="1" x14ac:dyDescent="0.3">
      <c r="I727" s="2"/>
    </row>
    <row r="728" spans="9:9" ht="15.75" customHeight="1" x14ac:dyDescent="0.3">
      <c r="I728" s="2"/>
    </row>
    <row r="729" spans="9:9" ht="15.75" customHeight="1" x14ac:dyDescent="0.3">
      <c r="I729" s="2"/>
    </row>
    <row r="730" spans="9:9" ht="15.75" customHeight="1" x14ac:dyDescent="0.3">
      <c r="I730" s="2"/>
    </row>
    <row r="731" spans="9:9" ht="15.75" customHeight="1" x14ac:dyDescent="0.3">
      <c r="I731" s="2"/>
    </row>
    <row r="732" spans="9:9" ht="15.75" customHeight="1" x14ac:dyDescent="0.3">
      <c r="I732" s="2"/>
    </row>
    <row r="733" spans="9:9" ht="15.75" customHeight="1" x14ac:dyDescent="0.3">
      <c r="I733" s="2"/>
    </row>
    <row r="734" spans="9:9" ht="15.75" customHeight="1" x14ac:dyDescent="0.3">
      <c r="I734" s="2"/>
    </row>
    <row r="735" spans="9:9" ht="15.75" customHeight="1" x14ac:dyDescent="0.3">
      <c r="I735" s="2"/>
    </row>
    <row r="736" spans="9:9" ht="15.75" customHeight="1" x14ac:dyDescent="0.3">
      <c r="I736" s="2"/>
    </row>
    <row r="737" spans="9:9" ht="15.75" customHeight="1" x14ac:dyDescent="0.3">
      <c r="I737" s="2"/>
    </row>
    <row r="738" spans="9:9" ht="15.75" customHeight="1" x14ac:dyDescent="0.3">
      <c r="I738" s="2"/>
    </row>
    <row r="739" spans="9:9" ht="15.75" customHeight="1" x14ac:dyDescent="0.3">
      <c r="I739" s="2"/>
    </row>
    <row r="740" spans="9:9" ht="15.75" customHeight="1" x14ac:dyDescent="0.3">
      <c r="I740" s="2"/>
    </row>
    <row r="741" spans="9:9" ht="15.75" customHeight="1" x14ac:dyDescent="0.3">
      <c r="I741" s="2"/>
    </row>
    <row r="742" spans="9:9" ht="15.75" customHeight="1" x14ac:dyDescent="0.3">
      <c r="I742" s="2"/>
    </row>
    <row r="743" spans="9:9" ht="15.75" customHeight="1" x14ac:dyDescent="0.3">
      <c r="I743" s="2"/>
    </row>
    <row r="744" spans="9:9" ht="15.75" customHeight="1" x14ac:dyDescent="0.3">
      <c r="I744" s="2"/>
    </row>
    <row r="745" spans="9:9" ht="15.75" customHeight="1" x14ac:dyDescent="0.3">
      <c r="I745" s="2"/>
    </row>
    <row r="746" spans="9:9" ht="15.75" customHeight="1" x14ac:dyDescent="0.3">
      <c r="I746" s="2"/>
    </row>
    <row r="747" spans="9:9" ht="15.75" customHeight="1" x14ac:dyDescent="0.3">
      <c r="I747" s="2"/>
    </row>
    <row r="748" spans="9:9" ht="15.75" customHeight="1" x14ac:dyDescent="0.3">
      <c r="I748" s="2"/>
    </row>
    <row r="749" spans="9:9" ht="15.75" customHeight="1" x14ac:dyDescent="0.3">
      <c r="I749" s="2"/>
    </row>
    <row r="750" spans="9:9" ht="15.75" customHeight="1" x14ac:dyDescent="0.3">
      <c r="I750" s="2"/>
    </row>
    <row r="751" spans="9:9" ht="15.75" customHeight="1" x14ac:dyDescent="0.3">
      <c r="I751" s="2"/>
    </row>
    <row r="752" spans="9:9" ht="15.75" customHeight="1" x14ac:dyDescent="0.3">
      <c r="I752" s="2"/>
    </row>
    <row r="753" spans="9:9" ht="15.75" customHeight="1" x14ac:dyDescent="0.3">
      <c r="I753" s="2"/>
    </row>
    <row r="754" spans="9:9" ht="15.75" customHeight="1" x14ac:dyDescent="0.3">
      <c r="I754" s="2"/>
    </row>
    <row r="755" spans="9:9" ht="15.75" customHeight="1" x14ac:dyDescent="0.3">
      <c r="I755" s="2"/>
    </row>
    <row r="756" spans="9:9" ht="15.75" customHeight="1" x14ac:dyDescent="0.3">
      <c r="I756" s="2"/>
    </row>
    <row r="757" spans="9:9" ht="15.75" customHeight="1" x14ac:dyDescent="0.3">
      <c r="I757" s="2"/>
    </row>
    <row r="758" spans="9:9" ht="15.75" customHeight="1" x14ac:dyDescent="0.3">
      <c r="I758" s="2"/>
    </row>
    <row r="759" spans="9:9" ht="15.75" customHeight="1" x14ac:dyDescent="0.3">
      <c r="I759" s="2"/>
    </row>
    <row r="760" spans="9:9" ht="15.75" customHeight="1" x14ac:dyDescent="0.3">
      <c r="I760" s="2"/>
    </row>
    <row r="761" spans="9:9" ht="15.75" customHeight="1" x14ac:dyDescent="0.3">
      <c r="I761" s="2"/>
    </row>
    <row r="762" spans="9:9" ht="15.75" customHeight="1" x14ac:dyDescent="0.3">
      <c r="I762" s="2"/>
    </row>
    <row r="763" spans="9:9" ht="15.75" customHeight="1" x14ac:dyDescent="0.3">
      <c r="I763" s="2"/>
    </row>
    <row r="764" spans="9:9" ht="15.75" customHeight="1" x14ac:dyDescent="0.3">
      <c r="I764" s="2"/>
    </row>
    <row r="765" spans="9:9" ht="15.75" customHeight="1" x14ac:dyDescent="0.3">
      <c r="I765" s="2"/>
    </row>
    <row r="766" spans="9:9" ht="15.75" customHeight="1" x14ac:dyDescent="0.3">
      <c r="I766" s="2"/>
    </row>
    <row r="767" spans="9:9" ht="15.75" customHeight="1" x14ac:dyDescent="0.3">
      <c r="I767" s="2"/>
    </row>
    <row r="768" spans="9:9" ht="15.75" customHeight="1" x14ac:dyDescent="0.3">
      <c r="I768" s="2"/>
    </row>
    <row r="769" spans="9:9" ht="15.75" customHeight="1" x14ac:dyDescent="0.3">
      <c r="I769" s="2"/>
    </row>
    <row r="770" spans="9:9" ht="15.75" customHeight="1" x14ac:dyDescent="0.3">
      <c r="I770" s="2"/>
    </row>
    <row r="771" spans="9:9" ht="15.75" customHeight="1" x14ac:dyDescent="0.3">
      <c r="I771" s="2"/>
    </row>
    <row r="772" spans="9:9" ht="15.75" customHeight="1" x14ac:dyDescent="0.3">
      <c r="I772" s="2"/>
    </row>
    <row r="773" spans="9:9" ht="15.75" customHeight="1" x14ac:dyDescent="0.3">
      <c r="I773" s="2"/>
    </row>
    <row r="774" spans="9:9" ht="15.75" customHeight="1" x14ac:dyDescent="0.3">
      <c r="I774" s="2"/>
    </row>
    <row r="775" spans="9:9" ht="15.75" customHeight="1" x14ac:dyDescent="0.3">
      <c r="I775" s="2"/>
    </row>
    <row r="776" spans="9:9" ht="15.75" customHeight="1" x14ac:dyDescent="0.3">
      <c r="I776" s="2"/>
    </row>
    <row r="777" spans="9:9" ht="15.75" customHeight="1" x14ac:dyDescent="0.3">
      <c r="I777" s="2"/>
    </row>
    <row r="778" spans="9:9" ht="15.75" customHeight="1" x14ac:dyDescent="0.3">
      <c r="I778" s="2"/>
    </row>
    <row r="779" spans="9:9" ht="15.75" customHeight="1" x14ac:dyDescent="0.3">
      <c r="I779" s="2"/>
    </row>
    <row r="780" spans="9:9" ht="15.75" customHeight="1" x14ac:dyDescent="0.3">
      <c r="I780" s="2"/>
    </row>
    <row r="781" spans="9:9" ht="15.75" customHeight="1" x14ac:dyDescent="0.3">
      <c r="I781" s="2"/>
    </row>
    <row r="782" spans="9:9" ht="15.75" customHeight="1" x14ac:dyDescent="0.3">
      <c r="I782" s="2"/>
    </row>
    <row r="783" spans="9:9" ht="15.75" customHeight="1" x14ac:dyDescent="0.3">
      <c r="I783" s="2"/>
    </row>
    <row r="784" spans="9:9" ht="15.75" customHeight="1" x14ac:dyDescent="0.3">
      <c r="I784" s="2"/>
    </row>
    <row r="785" spans="9:9" ht="15.75" customHeight="1" x14ac:dyDescent="0.3">
      <c r="I785" s="2"/>
    </row>
    <row r="786" spans="9:9" ht="15.75" customHeight="1" x14ac:dyDescent="0.3">
      <c r="I786" s="2"/>
    </row>
    <row r="787" spans="9:9" ht="15.75" customHeight="1" x14ac:dyDescent="0.3">
      <c r="I787" s="2"/>
    </row>
    <row r="788" spans="9:9" ht="15.75" customHeight="1" x14ac:dyDescent="0.3">
      <c r="I788" s="2"/>
    </row>
    <row r="789" spans="9:9" ht="15.75" customHeight="1" x14ac:dyDescent="0.3">
      <c r="I789" s="2"/>
    </row>
    <row r="790" spans="9:9" ht="15.75" customHeight="1" x14ac:dyDescent="0.3">
      <c r="I790" s="2"/>
    </row>
    <row r="791" spans="9:9" ht="15.75" customHeight="1" x14ac:dyDescent="0.3">
      <c r="I791" s="2"/>
    </row>
    <row r="792" spans="9:9" ht="15.75" customHeight="1" x14ac:dyDescent="0.3">
      <c r="I792" s="2"/>
    </row>
    <row r="793" spans="9:9" ht="15.75" customHeight="1" x14ac:dyDescent="0.3">
      <c r="I793" s="2"/>
    </row>
    <row r="794" spans="9:9" ht="15.75" customHeight="1" x14ac:dyDescent="0.3">
      <c r="I794" s="2"/>
    </row>
    <row r="795" spans="9:9" ht="15.75" customHeight="1" x14ac:dyDescent="0.3">
      <c r="I795" s="2"/>
    </row>
    <row r="796" spans="9:9" ht="15.75" customHeight="1" x14ac:dyDescent="0.3">
      <c r="I796" s="2"/>
    </row>
    <row r="797" spans="9:9" ht="15.75" customHeight="1" x14ac:dyDescent="0.3">
      <c r="I797" s="2"/>
    </row>
    <row r="798" spans="9:9" ht="15.75" customHeight="1" x14ac:dyDescent="0.3">
      <c r="I798" s="2"/>
    </row>
    <row r="799" spans="9:9" ht="15.75" customHeight="1" x14ac:dyDescent="0.3">
      <c r="I799" s="2"/>
    </row>
    <row r="800" spans="9:9" ht="15.75" customHeight="1" x14ac:dyDescent="0.3">
      <c r="I800" s="2"/>
    </row>
    <row r="801" spans="9:9" ht="15.75" customHeight="1" x14ac:dyDescent="0.3">
      <c r="I801" s="2"/>
    </row>
    <row r="802" spans="9:9" ht="15.75" customHeight="1" x14ac:dyDescent="0.3">
      <c r="I802" s="2"/>
    </row>
    <row r="803" spans="9:9" ht="15.75" customHeight="1" x14ac:dyDescent="0.3">
      <c r="I803" s="2"/>
    </row>
    <row r="804" spans="9:9" ht="15.75" customHeight="1" x14ac:dyDescent="0.3">
      <c r="I804" s="2"/>
    </row>
    <row r="805" spans="9:9" ht="15.75" customHeight="1" x14ac:dyDescent="0.3">
      <c r="I805" s="2"/>
    </row>
    <row r="806" spans="9:9" ht="15.75" customHeight="1" x14ac:dyDescent="0.3">
      <c r="I806" s="2"/>
    </row>
    <row r="807" spans="9:9" ht="15.75" customHeight="1" x14ac:dyDescent="0.3">
      <c r="I807" s="2"/>
    </row>
    <row r="808" spans="9:9" ht="15.75" customHeight="1" x14ac:dyDescent="0.3">
      <c r="I808" s="2"/>
    </row>
    <row r="809" spans="9:9" ht="15.75" customHeight="1" x14ac:dyDescent="0.3">
      <c r="I809" s="2"/>
    </row>
    <row r="810" spans="9:9" ht="15.75" customHeight="1" x14ac:dyDescent="0.3">
      <c r="I810" s="2"/>
    </row>
    <row r="811" spans="9:9" ht="15.75" customHeight="1" x14ac:dyDescent="0.3">
      <c r="I811" s="2"/>
    </row>
    <row r="812" spans="9:9" ht="15.75" customHeight="1" x14ac:dyDescent="0.3">
      <c r="I812" s="2"/>
    </row>
    <row r="813" spans="9:9" ht="15.75" customHeight="1" x14ac:dyDescent="0.3">
      <c r="I813" s="2"/>
    </row>
    <row r="814" spans="9:9" ht="15.75" customHeight="1" x14ac:dyDescent="0.3">
      <c r="I814" s="2"/>
    </row>
    <row r="815" spans="9:9" ht="15.75" customHeight="1" x14ac:dyDescent="0.3">
      <c r="I815" s="2"/>
    </row>
    <row r="816" spans="9:9" ht="15.75" customHeight="1" x14ac:dyDescent="0.3">
      <c r="I816" s="2"/>
    </row>
    <row r="817" spans="9:9" ht="15.75" customHeight="1" x14ac:dyDescent="0.3">
      <c r="I817" s="2"/>
    </row>
    <row r="818" spans="9:9" ht="15.75" customHeight="1" x14ac:dyDescent="0.3">
      <c r="I818" s="2"/>
    </row>
    <row r="819" spans="9:9" ht="15.75" customHeight="1" x14ac:dyDescent="0.3">
      <c r="I819" s="2"/>
    </row>
    <row r="820" spans="9:9" ht="15.75" customHeight="1" x14ac:dyDescent="0.3">
      <c r="I820" s="2"/>
    </row>
    <row r="821" spans="9:9" ht="15.75" customHeight="1" x14ac:dyDescent="0.3">
      <c r="I821" s="2"/>
    </row>
    <row r="822" spans="9:9" ht="15.75" customHeight="1" x14ac:dyDescent="0.3">
      <c r="I822" s="2"/>
    </row>
    <row r="823" spans="9:9" ht="15.75" customHeight="1" x14ac:dyDescent="0.3">
      <c r="I823" s="2"/>
    </row>
    <row r="824" spans="9:9" ht="15.75" customHeight="1" x14ac:dyDescent="0.3">
      <c r="I824" s="2"/>
    </row>
    <row r="825" spans="9:9" ht="15.75" customHeight="1" x14ac:dyDescent="0.3">
      <c r="I825" s="2"/>
    </row>
    <row r="826" spans="9:9" ht="15.75" customHeight="1" x14ac:dyDescent="0.3">
      <c r="I826" s="2"/>
    </row>
    <row r="827" spans="9:9" ht="15.75" customHeight="1" x14ac:dyDescent="0.3">
      <c r="I827" s="2"/>
    </row>
    <row r="828" spans="9:9" ht="15.75" customHeight="1" x14ac:dyDescent="0.3">
      <c r="I828" s="2"/>
    </row>
    <row r="829" spans="9:9" ht="15.75" customHeight="1" x14ac:dyDescent="0.3">
      <c r="I829" s="2"/>
    </row>
    <row r="830" spans="9:9" ht="15.75" customHeight="1" x14ac:dyDescent="0.3">
      <c r="I830" s="2"/>
    </row>
    <row r="831" spans="9:9" ht="15.75" customHeight="1" x14ac:dyDescent="0.3">
      <c r="I831" s="2"/>
    </row>
    <row r="832" spans="9:9" ht="15.75" customHeight="1" x14ac:dyDescent="0.3">
      <c r="I832" s="2"/>
    </row>
    <row r="833" spans="9:9" ht="15.75" customHeight="1" x14ac:dyDescent="0.3">
      <c r="I833" s="2"/>
    </row>
    <row r="834" spans="9:9" ht="15.75" customHeight="1" x14ac:dyDescent="0.3">
      <c r="I834" s="2"/>
    </row>
    <row r="835" spans="9:9" ht="15.75" customHeight="1" x14ac:dyDescent="0.3">
      <c r="I835" s="2"/>
    </row>
    <row r="836" spans="9:9" ht="15.75" customHeight="1" x14ac:dyDescent="0.3">
      <c r="I836" s="2"/>
    </row>
    <row r="837" spans="9:9" ht="15.75" customHeight="1" x14ac:dyDescent="0.3">
      <c r="I837" s="2"/>
    </row>
    <row r="838" spans="9:9" ht="15.75" customHeight="1" x14ac:dyDescent="0.3">
      <c r="I838" s="2"/>
    </row>
    <row r="839" spans="9:9" ht="15.75" customHeight="1" x14ac:dyDescent="0.3">
      <c r="I839" s="2"/>
    </row>
    <row r="840" spans="9:9" ht="15.75" customHeight="1" x14ac:dyDescent="0.3">
      <c r="I840" s="2"/>
    </row>
    <row r="841" spans="9:9" ht="15.75" customHeight="1" x14ac:dyDescent="0.3">
      <c r="I841" s="2"/>
    </row>
    <row r="842" spans="9:9" ht="15.75" customHeight="1" x14ac:dyDescent="0.3">
      <c r="I842" s="2"/>
    </row>
    <row r="843" spans="9:9" ht="15.75" customHeight="1" x14ac:dyDescent="0.3">
      <c r="I843" s="2"/>
    </row>
    <row r="844" spans="9:9" ht="15.75" customHeight="1" x14ac:dyDescent="0.3">
      <c r="I844" s="2"/>
    </row>
    <row r="845" spans="9:9" ht="15.75" customHeight="1" x14ac:dyDescent="0.3">
      <c r="I845" s="2"/>
    </row>
    <row r="846" spans="9:9" ht="15.75" customHeight="1" x14ac:dyDescent="0.3">
      <c r="I846" s="2"/>
    </row>
    <row r="847" spans="9:9" ht="15.75" customHeight="1" x14ac:dyDescent="0.3">
      <c r="I847" s="2"/>
    </row>
    <row r="848" spans="9:9" ht="15.75" customHeight="1" x14ac:dyDescent="0.3">
      <c r="I848" s="2"/>
    </row>
    <row r="849" spans="9:9" ht="15.75" customHeight="1" x14ac:dyDescent="0.3">
      <c r="I849" s="2"/>
    </row>
    <row r="850" spans="9:9" ht="15.75" customHeight="1" x14ac:dyDescent="0.3">
      <c r="I850" s="2"/>
    </row>
    <row r="851" spans="9:9" ht="15.75" customHeight="1" x14ac:dyDescent="0.3">
      <c r="I851" s="2"/>
    </row>
    <row r="852" spans="9:9" ht="15.75" customHeight="1" x14ac:dyDescent="0.3">
      <c r="I852" s="2"/>
    </row>
    <row r="853" spans="9:9" ht="15.75" customHeight="1" x14ac:dyDescent="0.3">
      <c r="I853" s="2"/>
    </row>
    <row r="854" spans="9:9" ht="15.75" customHeight="1" x14ac:dyDescent="0.3">
      <c r="I854" s="2"/>
    </row>
    <row r="855" spans="9:9" ht="15.75" customHeight="1" x14ac:dyDescent="0.3">
      <c r="I855" s="2"/>
    </row>
    <row r="856" spans="9:9" ht="15.75" customHeight="1" x14ac:dyDescent="0.3">
      <c r="I856" s="2"/>
    </row>
    <row r="857" spans="9:9" ht="15.75" customHeight="1" x14ac:dyDescent="0.3">
      <c r="I857" s="2"/>
    </row>
    <row r="858" spans="9:9" ht="15.75" customHeight="1" x14ac:dyDescent="0.3">
      <c r="I858" s="2"/>
    </row>
    <row r="859" spans="9:9" ht="15.75" customHeight="1" x14ac:dyDescent="0.3">
      <c r="I859" s="2"/>
    </row>
    <row r="860" spans="9:9" ht="15.75" customHeight="1" x14ac:dyDescent="0.3">
      <c r="I860" s="2"/>
    </row>
    <row r="861" spans="9:9" ht="15.75" customHeight="1" x14ac:dyDescent="0.3">
      <c r="I861" s="2"/>
    </row>
    <row r="862" spans="9:9" ht="15.75" customHeight="1" x14ac:dyDescent="0.3">
      <c r="I862" s="2"/>
    </row>
    <row r="863" spans="9:9" ht="15.75" customHeight="1" x14ac:dyDescent="0.3">
      <c r="I863" s="2"/>
    </row>
    <row r="864" spans="9:9" ht="15.75" customHeight="1" x14ac:dyDescent="0.3">
      <c r="I864" s="2"/>
    </row>
    <row r="865" spans="9:9" ht="15.75" customHeight="1" x14ac:dyDescent="0.3">
      <c r="I865" s="2"/>
    </row>
    <row r="866" spans="9:9" ht="15.75" customHeight="1" x14ac:dyDescent="0.3">
      <c r="I866" s="2"/>
    </row>
    <row r="867" spans="9:9" ht="15.75" customHeight="1" x14ac:dyDescent="0.3">
      <c r="I867" s="2"/>
    </row>
    <row r="868" spans="9:9" ht="15.75" customHeight="1" x14ac:dyDescent="0.3">
      <c r="I868" s="2"/>
    </row>
    <row r="869" spans="9:9" ht="15.75" customHeight="1" x14ac:dyDescent="0.3">
      <c r="I869" s="2"/>
    </row>
    <row r="870" spans="9:9" ht="15.75" customHeight="1" x14ac:dyDescent="0.3">
      <c r="I870" s="2"/>
    </row>
    <row r="871" spans="9:9" ht="15.75" customHeight="1" x14ac:dyDescent="0.3">
      <c r="I871" s="2"/>
    </row>
    <row r="872" spans="9:9" ht="15.75" customHeight="1" x14ac:dyDescent="0.3">
      <c r="I872" s="2"/>
    </row>
    <row r="873" spans="9:9" ht="15.75" customHeight="1" x14ac:dyDescent="0.3">
      <c r="I873" s="2"/>
    </row>
    <row r="874" spans="9:9" ht="15.75" customHeight="1" x14ac:dyDescent="0.3">
      <c r="I874" s="2"/>
    </row>
    <row r="875" spans="9:9" ht="15.75" customHeight="1" x14ac:dyDescent="0.3">
      <c r="I875" s="2"/>
    </row>
    <row r="876" spans="9:9" ht="15.75" customHeight="1" x14ac:dyDescent="0.3">
      <c r="I876" s="2"/>
    </row>
    <row r="877" spans="9:9" ht="15.75" customHeight="1" x14ac:dyDescent="0.3">
      <c r="I877" s="2"/>
    </row>
    <row r="878" spans="9:9" ht="15.75" customHeight="1" x14ac:dyDescent="0.3">
      <c r="I878" s="2"/>
    </row>
    <row r="879" spans="9:9" ht="15.75" customHeight="1" x14ac:dyDescent="0.3">
      <c r="I879" s="2"/>
    </row>
    <row r="880" spans="9:9" ht="15.75" customHeight="1" x14ac:dyDescent="0.3">
      <c r="I880" s="2"/>
    </row>
    <row r="881" spans="9:9" ht="15.75" customHeight="1" x14ac:dyDescent="0.3">
      <c r="I881" s="2"/>
    </row>
    <row r="882" spans="9:9" ht="15.75" customHeight="1" x14ac:dyDescent="0.3">
      <c r="I882" s="2"/>
    </row>
    <row r="883" spans="9:9" ht="15.75" customHeight="1" x14ac:dyDescent="0.3">
      <c r="I883" s="2"/>
    </row>
    <row r="884" spans="9:9" ht="15.75" customHeight="1" x14ac:dyDescent="0.3">
      <c r="I884" s="2"/>
    </row>
    <row r="885" spans="9:9" ht="15.75" customHeight="1" x14ac:dyDescent="0.3">
      <c r="I885" s="2"/>
    </row>
    <row r="886" spans="9:9" ht="15.75" customHeight="1" x14ac:dyDescent="0.3">
      <c r="I886" s="2"/>
    </row>
    <row r="887" spans="9:9" ht="15.75" customHeight="1" x14ac:dyDescent="0.3">
      <c r="I887" s="2"/>
    </row>
    <row r="888" spans="9:9" ht="15.75" customHeight="1" x14ac:dyDescent="0.3">
      <c r="I888" s="2"/>
    </row>
    <row r="889" spans="9:9" ht="15.75" customHeight="1" x14ac:dyDescent="0.3">
      <c r="I889" s="2"/>
    </row>
    <row r="890" spans="9:9" ht="15.75" customHeight="1" x14ac:dyDescent="0.3">
      <c r="I890" s="2"/>
    </row>
    <row r="891" spans="9:9" ht="15.75" customHeight="1" x14ac:dyDescent="0.3">
      <c r="I891" s="2"/>
    </row>
    <row r="892" spans="9:9" ht="15.75" customHeight="1" x14ac:dyDescent="0.3">
      <c r="I892" s="2"/>
    </row>
    <row r="893" spans="9:9" ht="15.75" customHeight="1" x14ac:dyDescent="0.3">
      <c r="I893" s="2"/>
    </row>
    <row r="894" spans="9:9" ht="15.75" customHeight="1" x14ac:dyDescent="0.3">
      <c r="I894" s="2"/>
    </row>
    <row r="895" spans="9:9" ht="15.75" customHeight="1" x14ac:dyDescent="0.3">
      <c r="I895" s="2"/>
    </row>
    <row r="896" spans="9:9" ht="15.75" customHeight="1" x14ac:dyDescent="0.3">
      <c r="I896" s="2"/>
    </row>
    <row r="897" spans="9:9" ht="15.75" customHeight="1" x14ac:dyDescent="0.3">
      <c r="I897" s="2"/>
    </row>
    <row r="898" spans="9:9" ht="15.75" customHeight="1" x14ac:dyDescent="0.3">
      <c r="I898" s="2"/>
    </row>
    <row r="899" spans="9:9" ht="15.75" customHeight="1" x14ac:dyDescent="0.3">
      <c r="I899" s="2"/>
    </row>
    <row r="900" spans="9:9" ht="15.75" customHeight="1" x14ac:dyDescent="0.3">
      <c r="I900" s="2"/>
    </row>
    <row r="901" spans="9:9" ht="15.75" customHeight="1" x14ac:dyDescent="0.3">
      <c r="I901" s="2"/>
    </row>
    <row r="902" spans="9:9" ht="15.75" customHeight="1" x14ac:dyDescent="0.3">
      <c r="I902" s="2"/>
    </row>
    <row r="903" spans="9:9" ht="15.75" customHeight="1" x14ac:dyDescent="0.3">
      <c r="I903" s="2"/>
    </row>
    <row r="904" spans="9:9" ht="15.75" customHeight="1" x14ac:dyDescent="0.3">
      <c r="I904" s="2"/>
    </row>
    <row r="905" spans="9:9" ht="15.75" customHeight="1" x14ac:dyDescent="0.3">
      <c r="I905" s="2"/>
    </row>
    <row r="906" spans="9:9" ht="15.75" customHeight="1" x14ac:dyDescent="0.3">
      <c r="I906" s="2"/>
    </row>
    <row r="907" spans="9:9" ht="15.75" customHeight="1" x14ac:dyDescent="0.3">
      <c r="I907" s="2"/>
    </row>
    <row r="908" spans="9:9" ht="15.75" customHeight="1" x14ac:dyDescent="0.3">
      <c r="I908" s="2"/>
    </row>
    <row r="909" spans="9:9" ht="15.75" customHeight="1" x14ac:dyDescent="0.3">
      <c r="I909" s="2"/>
    </row>
    <row r="910" spans="9:9" ht="15.75" customHeight="1" x14ac:dyDescent="0.3">
      <c r="I910" s="2"/>
    </row>
    <row r="911" spans="9:9" ht="15.75" customHeight="1" x14ac:dyDescent="0.3">
      <c r="I911" s="2"/>
    </row>
    <row r="912" spans="9:9" ht="15.75" customHeight="1" x14ac:dyDescent="0.3">
      <c r="I912" s="2"/>
    </row>
    <row r="913" spans="9:9" ht="15.75" customHeight="1" x14ac:dyDescent="0.3">
      <c r="I913" s="2"/>
    </row>
    <row r="914" spans="9:9" ht="15.75" customHeight="1" x14ac:dyDescent="0.3">
      <c r="I914" s="2"/>
    </row>
    <row r="915" spans="9:9" ht="15.75" customHeight="1" x14ac:dyDescent="0.3">
      <c r="I915" s="2"/>
    </row>
    <row r="916" spans="9:9" ht="15.75" customHeight="1" x14ac:dyDescent="0.3">
      <c r="I916" s="2"/>
    </row>
    <row r="917" spans="9:9" ht="15.75" customHeight="1" x14ac:dyDescent="0.3">
      <c r="I917" s="2"/>
    </row>
    <row r="918" spans="9:9" ht="15.75" customHeight="1" x14ac:dyDescent="0.3">
      <c r="I918" s="2"/>
    </row>
    <row r="919" spans="9:9" ht="15.75" customHeight="1" x14ac:dyDescent="0.3">
      <c r="I919" s="2"/>
    </row>
    <row r="920" spans="9:9" ht="15.75" customHeight="1" x14ac:dyDescent="0.3">
      <c r="I920" s="2"/>
    </row>
    <row r="921" spans="9:9" ht="15.75" customHeight="1" x14ac:dyDescent="0.3">
      <c r="I921" s="2"/>
    </row>
    <row r="922" spans="9:9" ht="15.75" customHeight="1" x14ac:dyDescent="0.3">
      <c r="I922" s="2"/>
    </row>
    <row r="923" spans="9:9" ht="15.75" customHeight="1" x14ac:dyDescent="0.3">
      <c r="I923" s="2"/>
    </row>
    <row r="924" spans="9:9" ht="15.75" customHeight="1" x14ac:dyDescent="0.3">
      <c r="I924" s="2"/>
    </row>
    <row r="925" spans="9:9" ht="15.75" customHeight="1" x14ac:dyDescent="0.3">
      <c r="I925" s="2"/>
    </row>
    <row r="926" spans="9:9" ht="15.75" customHeight="1" x14ac:dyDescent="0.3">
      <c r="I926" s="2"/>
    </row>
    <row r="927" spans="9:9" ht="15.75" customHeight="1" x14ac:dyDescent="0.3">
      <c r="I927" s="2"/>
    </row>
    <row r="928" spans="9:9" ht="15.75" customHeight="1" x14ac:dyDescent="0.3">
      <c r="I928" s="2"/>
    </row>
    <row r="929" spans="9:9" ht="15.75" customHeight="1" x14ac:dyDescent="0.3">
      <c r="I929" s="2"/>
    </row>
    <row r="930" spans="9:9" ht="15.75" customHeight="1" x14ac:dyDescent="0.3">
      <c r="I930" s="2"/>
    </row>
    <row r="931" spans="9:9" ht="15.75" customHeight="1" x14ac:dyDescent="0.3">
      <c r="I931" s="2"/>
    </row>
    <row r="932" spans="9:9" ht="15.75" customHeight="1" x14ac:dyDescent="0.3">
      <c r="I932" s="2"/>
    </row>
    <row r="933" spans="9:9" ht="15.75" customHeight="1" x14ac:dyDescent="0.3">
      <c r="I933" s="2"/>
    </row>
    <row r="934" spans="9:9" ht="15.75" customHeight="1" x14ac:dyDescent="0.3">
      <c r="I934" s="2"/>
    </row>
    <row r="935" spans="9:9" ht="15.75" customHeight="1" x14ac:dyDescent="0.3">
      <c r="I935" s="2"/>
    </row>
    <row r="936" spans="9:9" ht="15.75" customHeight="1" x14ac:dyDescent="0.3">
      <c r="I936" s="2"/>
    </row>
    <row r="937" spans="9:9" ht="15.75" customHeight="1" x14ac:dyDescent="0.3">
      <c r="I937" s="2"/>
    </row>
    <row r="938" spans="9:9" ht="15.75" customHeight="1" x14ac:dyDescent="0.3">
      <c r="I938" s="2"/>
    </row>
    <row r="939" spans="9:9" ht="15.75" customHeight="1" x14ac:dyDescent="0.3">
      <c r="I939" s="2"/>
    </row>
    <row r="940" spans="9:9" ht="15.75" customHeight="1" x14ac:dyDescent="0.3">
      <c r="I940" s="2"/>
    </row>
    <row r="941" spans="9:9" ht="15.75" customHeight="1" x14ac:dyDescent="0.3">
      <c r="I941" s="2"/>
    </row>
    <row r="942" spans="9:9" ht="15.75" customHeight="1" x14ac:dyDescent="0.3">
      <c r="I942" s="2"/>
    </row>
    <row r="943" spans="9:9" ht="15.75" customHeight="1" x14ac:dyDescent="0.3">
      <c r="I943" s="2"/>
    </row>
    <row r="944" spans="9:9" ht="15.75" customHeight="1" x14ac:dyDescent="0.3">
      <c r="I944" s="2"/>
    </row>
    <row r="945" spans="9:9" ht="15.75" customHeight="1" x14ac:dyDescent="0.3">
      <c r="I945" s="2"/>
    </row>
    <row r="946" spans="9:9" ht="15.75" customHeight="1" x14ac:dyDescent="0.3">
      <c r="I946" s="2"/>
    </row>
    <row r="947" spans="9:9" ht="15.75" customHeight="1" x14ac:dyDescent="0.3">
      <c r="I947" s="2"/>
    </row>
    <row r="948" spans="9:9" ht="15.75" customHeight="1" x14ac:dyDescent="0.3">
      <c r="I948" s="2"/>
    </row>
    <row r="949" spans="9:9" ht="15.75" customHeight="1" x14ac:dyDescent="0.3">
      <c r="I949" s="2"/>
    </row>
    <row r="950" spans="9:9" ht="15.75" customHeight="1" x14ac:dyDescent="0.3">
      <c r="I950" s="2"/>
    </row>
    <row r="951" spans="9:9" ht="15.75" customHeight="1" x14ac:dyDescent="0.3">
      <c r="I951" s="2"/>
    </row>
    <row r="952" spans="9:9" ht="15.75" customHeight="1" x14ac:dyDescent="0.3">
      <c r="I952" s="2"/>
    </row>
    <row r="953" spans="9:9" ht="15.75" customHeight="1" x14ac:dyDescent="0.3">
      <c r="I953" s="2"/>
    </row>
    <row r="954" spans="9:9" ht="15.75" customHeight="1" x14ac:dyDescent="0.3">
      <c r="I954" s="2"/>
    </row>
    <row r="955" spans="9:9" ht="15.75" customHeight="1" x14ac:dyDescent="0.3">
      <c r="I955" s="2"/>
    </row>
    <row r="956" spans="9:9" ht="15.75" customHeight="1" x14ac:dyDescent="0.3">
      <c r="I956" s="2"/>
    </row>
    <row r="957" spans="9:9" ht="15.75" customHeight="1" x14ac:dyDescent="0.3">
      <c r="I957" s="2"/>
    </row>
    <row r="958" spans="9:9" ht="15.75" customHeight="1" x14ac:dyDescent="0.3">
      <c r="I958" s="2"/>
    </row>
    <row r="959" spans="9:9" ht="15.75" customHeight="1" x14ac:dyDescent="0.3">
      <c r="I959" s="2"/>
    </row>
    <row r="960" spans="9:9" ht="15.75" customHeight="1" x14ac:dyDescent="0.3">
      <c r="I960" s="2"/>
    </row>
    <row r="961" spans="9:9" ht="15.75" customHeight="1" x14ac:dyDescent="0.3">
      <c r="I961" s="2"/>
    </row>
    <row r="962" spans="9:9" ht="15.75" customHeight="1" x14ac:dyDescent="0.3">
      <c r="I962" s="2"/>
    </row>
    <row r="963" spans="9:9" ht="15.75" customHeight="1" x14ac:dyDescent="0.3">
      <c r="I963" s="2"/>
    </row>
    <row r="964" spans="9:9" ht="15.75" customHeight="1" x14ac:dyDescent="0.3">
      <c r="I964" s="2"/>
    </row>
    <row r="965" spans="9:9" ht="15.75" customHeight="1" x14ac:dyDescent="0.3">
      <c r="I965" s="2"/>
    </row>
    <row r="966" spans="9:9" ht="15.75" customHeight="1" x14ac:dyDescent="0.3">
      <c r="I966" s="2"/>
    </row>
    <row r="967" spans="9:9" ht="15.75" customHeight="1" x14ac:dyDescent="0.3">
      <c r="I967" s="2"/>
    </row>
    <row r="968" spans="9:9" ht="15.75" customHeight="1" x14ac:dyDescent="0.3">
      <c r="I968" s="2"/>
    </row>
    <row r="969" spans="9:9" ht="15.75" customHeight="1" x14ac:dyDescent="0.3">
      <c r="I969" s="2"/>
    </row>
    <row r="970" spans="9:9" ht="15.75" customHeight="1" x14ac:dyDescent="0.3">
      <c r="I970" s="2"/>
    </row>
    <row r="971" spans="9:9" ht="15.75" customHeight="1" x14ac:dyDescent="0.3">
      <c r="I971" s="2"/>
    </row>
    <row r="972" spans="9:9" ht="15.75" customHeight="1" x14ac:dyDescent="0.3">
      <c r="I972" s="2"/>
    </row>
    <row r="973" spans="9:9" ht="15.75" customHeight="1" x14ac:dyDescent="0.3">
      <c r="I973" s="2"/>
    </row>
    <row r="974" spans="9:9" ht="15.75" customHeight="1" x14ac:dyDescent="0.3">
      <c r="I974" s="2"/>
    </row>
    <row r="975" spans="9:9" ht="15.75" customHeight="1" x14ac:dyDescent="0.3">
      <c r="I975" s="2"/>
    </row>
    <row r="976" spans="9:9" ht="15.75" customHeight="1" x14ac:dyDescent="0.3">
      <c r="I976" s="2"/>
    </row>
    <row r="977" spans="9:9" ht="15.75" customHeight="1" x14ac:dyDescent="0.3">
      <c r="I977" s="2"/>
    </row>
    <row r="978" spans="9:9" ht="15.75" customHeight="1" x14ac:dyDescent="0.3">
      <c r="I978" s="2"/>
    </row>
    <row r="979" spans="9:9" ht="15.75" customHeight="1" x14ac:dyDescent="0.3">
      <c r="I979" s="2"/>
    </row>
    <row r="980" spans="9:9" ht="15.75" customHeight="1" x14ac:dyDescent="0.3">
      <c r="I980" s="2"/>
    </row>
    <row r="981" spans="9:9" ht="15.75" customHeight="1" x14ac:dyDescent="0.3">
      <c r="I981" s="2"/>
    </row>
    <row r="982" spans="9:9" ht="15.75" customHeight="1" x14ac:dyDescent="0.3">
      <c r="I982" s="2"/>
    </row>
    <row r="983" spans="9:9" ht="15.75" customHeight="1" x14ac:dyDescent="0.3">
      <c r="I983" s="2"/>
    </row>
    <row r="984" spans="9:9" ht="15.75" customHeight="1" x14ac:dyDescent="0.3">
      <c r="I984" s="2"/>
    </row>
    <row r="985" spans="9:9" ht="15.75" customHeight="1" x14ac:dyDescent="0.3">
      <c r="I985" s="2"/>
    </row>
    <row r="986" spans="9:9" ht="15.75" customHeight="1" x14ac:dyDescent="0.3">
      <c r="I986" s="2"/>
    </row>
    <row r="987" spans="9:9" ht="15.75" customHeight="1" x14ac:dyDescent="0.3">
      <c r="I987" s="2"/>
    </row>
    <row r="988" spans="9:9" ht="15.75" customHeight="1" x14ac:dyDescent="0.3">
      <c r="I988" s="2"/>
    </row>
    <row r="989" spans="9:9" ht="15.75" customHeight="1" x14ac:dyDescent="0.3">
      <c r="I989" s="2"/>
    </row>
    <row r="990" spans="9:9" ht="15.75" customHeight="1" x14ac:dyDescent="0.3">
      <c r="I990" s="2"/>
    </row>
    <row r="991" spans="9:9" ht="15.75" customHeight="1" x14ac:dyDescent="0.3">
      <c r="I991" s="2"/>
    </row>
    <row r="992" spans="9:9" ht="15.75" customHeight="1" x14ac:dyDescent="0.3">
      <c r="I992" s="2"/>
    </row>
    <row r="993" spans="9:9" ht="15.75" customHeight="1" x14ac:dyDescent="0.3">
      <c r="I993" s="2"/>
    </row>
    <row r="994" spans="9:9" ht="15.75" customHeight="1" x14ac:dyDescent="0.3">
      <c r="I994" s="2"/>
    </row>
    <row r="995" spans="9:9" ht="15.75" customHeight="1" x14ac:dyDescent="0.3">
      <c r="I995" s="2"/>
    </row>
    <row r="996" spans="9:9" ht="15.75" customHeight="1" x14ac:dyDescent="0.3">
      <c r="I996" s="2"/>
    </row>
    <row r="997" spans="9:9" ht="15.75" customHeight="1" x14ac:dyDescent="0.3">
      <c r="I997" s="2"/>
    </row>
    <row r="998" spans="9:9" ht="15.75" customHeight="1" x14ac:dyDescent="0.3">
      <c r="I998" s="2"/>
    </row>
    <row r="999" spans="9:9" ht="15.75" customHeight="1" x14ac:dyDescent="0.3">
      <c r="I999" s="2"/>
    </row>
    <row r="1000" spans="9:9" ht="15.75" customHeight="1" x14ac:dyDescent="0.3">
      <c r="I1000" s="2"/>
    </row>
    <row r="1001" spans="9:9" ht="15.75" customHeight="1" x14ac:dyDescent="0.3">
      <c r="I1001" s="2"/>
    </row>
    <row r="1002" spans="9:9" ht="15.75" customHeight="1" x14ac:dyDescent="0.3">
      <c r="I1002" s="2"/>
    </row>
    <row r="1003" spans="9:9" ht="15.75" customHeight="1" x14ac:dyDescent="0.3">
      <c r="I1003" s="2"/>
    </row>
    <row r="1004" spans="9:9" ht="15.75" customHeight="1" x14ac:dyDescent="0.3">
      <c r="I1004" s="2"/>
    </row>
    <row r="1005" spans="9:9" ht="15.75" customHeight="1" x14ac:dyDescent="0.3">
      <c r="I1005" s="2"/>
    </row>
    <row r="1006" spans="9:9" ht="15.75" customHeight="1" x14ac:dyDescent="0.3">
      <c r="I1006" s="2"/>
    </row>
    <row r="1007" spans="9:9" ht="15.75" customHeight="1" x14ac:dyDescent="0.3">
      <c r="I1007" s="2"/>
    </row>
    <row r="1008" spans="9:9" ht="15.75" customHeight="1" x14ac:dyDescent="0.3">
      <c r="I1008" s="2"/>
    </row>
    <row r="1009" spans="9:9" ht="15.75" customHeight="1" x14ac:dyDescent="0.3">
      <c r="I1009" s="2"/>
    </row>
    <row r="1010" spans="9:9" ht="15.75" customHeight="1" x14ac:dyDescent="0.3">
      <c r="I1010" s="2"/>
    </row>
  </sheetData>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Kenya (IPR) - Research Hub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Brent Thomas</dc:creator>
  <cp:lastModifiedBy>user</cp:lastModifiedBy>
  <dcterms:created xsi:type="dcterms:W3CDTF">2023-01-17T10:46:04Z</dcterms:created>
  <dcterms:modified xsi:type="dcterms:W3CDTF">2024-07-20T16:05:58Z</dcterms:modified>
</cp:coreProperties>
</file>