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R &amp; ADMIN\Desktop\KIPRE STAFF DATA\"/>
    </mc:Choice>
  </mc:AlternateContent>
  <bookViews>
    <workbookView xWindow="0" yWindow="0" windowWidth="20490" windowHeight="7755" tabRatio="612"/>
  </bookViews>
  <sheets>
    <sheet name="Table 1" sheetId="1" r:id="rId1"/>
  </sheets>
  <calcPr calcId="152511"/>
</workbook>
</file>

<file path=xl/calcChain.xml><?xml version="1.0" encoding="utf-8"?>
<calcChain xmlns="http://schemas.openxmlformats.org/spreadsheetml/2006/main">
  <c r="L141" i="1" l="1"/>
  <c r="L10" i="1"/>
  <c r="L151" i="1"/>
  <c r="L117" i="1"/>
  <c r="L156" i="1" l="1"/>
  <c r="L83" i="1"/>
  <c r="H175" i="1" l="1"/>
  <c r="H174" i="1"/>
</calcChain>
</file>

<file path=xl/sharedStrings.xml><?xml version="1.0" encoding="utf-8"?>
<sst xmlns="http://schemas.openxmlformats.org/spreadsheetml/2006/main" count="2813" uniqueCount="1429">
  <si>
    <t>MBOGORI LUCYLINE KINANU</t>
  </si>
  <si>
    <t>EDUCATION/MARKETING</t>
  </si>
  <si>
    <t>HAMIDA HASSAN</t>
  </si>
  <si>
    <t>ADMINISTRATION</t>
  </si>
  <si>
    <t>PERSONAL ASSISTANT</t>
  </si>
  <si>
    <t>PR ASSISTANT</t>
  </si>
  <si>
    <t xml:space="preserve">CLINICAL VETINARY OFFICER </t>
  </si>
  <si>
    <t>PLANNING</t>
  </si>
  <si>
    <t>REPRODUCTIVE HEALTH &amp; BIOLOGY</t>
  </si>
  <si>
    <t xml:space="preserve">NO.         </t>
  </si>
  <si>
    <t xml:space="preserve">PF.NO.        </t>
  </si>
  <si>
    <t xml:space="preserve">NAME                                                       </t>
  </si>
  <si>
    <t xml:space="preserve">DIVISION                                </t>
  </si>
  <si>
    <t xml:space="preserve">DESIGNATION                               </t>
  </si>
  <si>
    <t>DIRECTOR</t>
  </si>
  <si>
    <t>GICHUHI GLADYS GATHONI</t>
  </si>
  <si>
    <t>ADMINISTARTION</t>
  </si>
  <si>
    <t>LITHIRA SABINA</t>
  </si>
  <si>
    <t>TELEPHONE OPERATOR II</t>
  </si>
  <si>
    <t>WATHUTA ESTHER WANGECHI</t>
  </si>
  <si>
    <t>KASSIM KULTHUM MOHAMMED</t>
  </si>
  <si>
    <t>CLERICAL OFFICER III</t>
  </si>
  <si>
    <t>OJALL ZADDOCK</t>
  </si>
  <si>
    <t>OSORO EDNAR</t>
  </si>
  <si>
    <t>GRANTS SUPPORT OFFICER</t>
  </si>
  <si>
    <t>FELLOWSHIP</t>
  </si>
  <si>
    <t>ACCOUNTS</t>
  </si>
  <si>
    <t>KAHETHU FRANCIS K.</t>
  </si>
  <si>
    <t>ACCOUNTANT III</t>
  </si>
  <si>
    <t>WAUTTOH SALIM I</t>
  </si>
  <si>
    <t>CLERICAL OFFICER</t>
  </si>
  <si>
    <t>EVANS NICK ONGATA</t>
  </si>
  <si>
    <t>ICT-COMPUTER</t>
  </si>
  <si>
    <t>SARAH MUTHONI</t>
  </si>
  <si>
    <t>ADMINISTRATIVE ASSISTANT</t>
  </si>
  <si>
    <t>MACHARIA KENNETH M.</t>
  </si>
  <si>
    <t>EDUCATION/NATURE TRAIL</t>
  </si>
  <si>
    <t>CUSTOMER CARE/GUIDE</t>
  </si>
  <si>
    <t>DR.CHAI CHIVATSI D</t>
  </si>
  <si>
    <t>ANIMAL SCIENCES</t>
  </si>
  <si>
    <t>RESEARCH SCIENTIST II</t>
  </si>
  <si>
    <t>RESEARCH SCIENTIST I</t>
  </si>
  <si>
    <t>KARIUKI KENNETH W</t>
  </si>
  <si>
    <t>ASHIRA CORNELIUS O</t>
  </si>
  <si>
    <t>KAVURANI ROSE</t>
  </si>
  <si>
    <t>ANIMAL HEALTH TECHNI I</t>
  </si>
  <si>
    <t>ANIMAL HEALTH TECHNI II</t>
  </si>
  <si>
    <t>GITHINJI JAMES</t>
  </si>
  <si>
    <t>NZUVE MARY N</t>
  </si>
  <si>
    <t>LABORATORY TECHNI II</t>
  </si>
  <si>
    <t>ZIEBON AGGREY M</t>
  </si>
  <si>
    <t>CLINICAL VETERINARY OFFICER</t>
  </si>
  <si>
    <t>JAFFER IBRAHIM G</t>
  </si>
  <si>
    <t>AUXILIARY STAFF I</t>
  </si>
  <si>
    <t>ANIMAL ATTENDANT</t>
  </si>
  <si>
    <t>KIAGE WALTER O</t>
  </si>
  <si>
    <t>ANIMAL HEALTH TECHNI</t>
  </si>
  <si>
    <t>ADINO AGUTU THOMAS</t>
  </si>
  <si>
    <t>JERONO CAROLINE</t>
  </si>
  <si>
    <t>KORIR GLADYS C.</t>
  </si>
  <si>
    <t>ANIMAL HANDLER</t>
  </si>
  <si>
    <t>OMONDI HILARY</t>
  </si>
  <si>
    <t>SENIOR ANIMAL HEALTH</t>
  </si>
  <si>
    <t>MELUBO COLLINS NAYOK</t>
  </si>
  <si>
    <t>OFFICE ASSISTANT</t>
  </si>
  <si>
    <t>SAMMY POGHON</t>
  </si>
  <si>
    <t>NAHASHON W. WAVUMBAH</t>
  </si>
  <si>
    <t>SECURITY</t>
  </si>
  <si>
    <t>MURERI JOHN KARIUKI</t>
  </si>
  <si>
    <t>SECURITY GUARD</t>
  </si>
  <si>
    <t>GALICHA MEGA A.</t>
  </si>
  <si>
    <t>JOEL LWOMBA NYAPALA</t>
  </si>
  <si>
    <t>SECURITY SUPERVISOR</t>
  </si>
  <si>
    <t>PROCUREMENT</t>
  </si>
  <si>
    <t>OLOO ODUORI JOSEPH</t>
  </si>
  <si>
    <t>GITAHI ELIAS M.</t>
  </si>
  <si>
    <t>PROCUREMENT ASSISTANT II</t>
  </si>
  <si>
    <t>PRESTOR KIOKO</t>
  </si>
  <si>
    <t>DAMIAN ADEWA</t>
  </si>
  <si>
    <t>TRANSPORT</t>
  </si>
  <si>
    <t>DRIVER</t>
  </si>
  <si>
    <t>ROBERT KURUI KIBIEGON</t>
  </si>
  <si>
    <t>SIMON KAITANO ASHONO</t>
  </si>
  <si>
    <t>FRANCIS SINA MUTETI</t>
  </si>
  <si>
    <t>TITUS MONGO</t>
  </si>
  <si>
    <t>KAVUTA ISAAC MULWA</t>
  </si>
  <si>
    <t>MAINTENANCE</t>
  </si>
  <si>
    <t>ADMINISTRATIVE ASSISTANT 1</t>
  </si>
  <si>
    <t>ITILA SMITH</t>
  </si>
  <si>
    <t>ENGEERING TECHNOLOGIST1</t>
  </si>
  <si>
    <t>ARTISAN I</t>
  </si>
  <si>
    <t>LUVYU JOHN KIOKO</t>
  </si>
  <si>
    <t>MAINTANANCE</t>
  </si>
  <si>
    <t>KAMAU JACKSON K.</t>
  </si>
  <si>
    <t>ARTISAN</t>
  </si>
  <si>
    <t>ANGOSI HARUN</t>
  </si>
  <si>
    <t>LAUNDRY ATTENDANT</t>
  </si>
  <si>
    <t>LENTUTA PHILIP STYLO</t>
  </si>
  <si>
    <t>SENIOR AUXILLIARY</t>
  </si>
  <si>
    <t>NON COMMUNICABLE DISEASES</t>
  </si>
  <si>
    <t>SNR. RESEARCH SCIENTIST</t>
  </si>
  <si>
    <t>KATANA GIFT THOYA</t>
  </si>
  <si>
    <t>LABORATORY ASSISTANT</t>
  </si>
  <si>
    <t>ASSISTANT RESEARCH SCIENTIST II</t>
  </si>
  <si>
    <t>HUSSEIN ALI A.</t>
  </si>
  <si>
    <t>LYDIA TIMONA</t>
  </si>
  <si>
    <t>RESEARCH SCIENTIST</t>
  </si>
  <si>
    <t>NGULI JONATHAN NGALATU</t>
  </si>
  <si>
    <t>ANIMAL HEALTH TECH. I</t>
  </si>
  <si>
    <t>SENIOR RESEARCH SCIENTIST I</t>
  </si>
  <si>
    <t>STELLA N IRUNGU</t>
  </si>
  <si>
    <t>SENIOR RESEARCH SCIENTIST II</t>
  </si>
  <si>
    <t>ASST. RESEARCH SCIENTIST</t>
  </si>
  <si>
    <t>KIULIA NICHOLAS M.</t>
  </si>
  <si>
    <t>GALO MARY I.</t>
  </si>
  <si>
    <t>LABORATORY TECHNO. III</t>
  </si>
  <si>
    <t>OMOLO ERICK O.</t>
  </si>
  <si>
    <t>CHIEF OF RESEARCH</t>
  </si>
  <si>
    <t>KUNYERA ROBERT MWANGI</t>
  </si>
  <si>
    <t>ASS.RESEARCH SCIENTIST</t>
  </si>
  <si>
    <t>MUTURA SAMSON KAMAWE</t>
  </si>
  <si>
    <t>ASSISTANT RESEARCH SCIENTIST</t>
  </si>
  <si>
    <t>FATIMA HASSAN HUSEIN</t>
  </si>
  <si>
    <t>TID</t>
  </si>
  <si>
    <t>LABORATORY TECHNO. I</t>
  </si>
  <si>
    <t>NYUNDO FRED K.</t>
  </si>
  <si>
    <t>LABORATORY MANAGER</t>
  </si>
  <si>
    <t>NYAKUNDI RUTH</t>
  </si>
  <si>
    <t>AMBOGO ESTHER K.</t>
  </si>
  <si>
    <t>IRENE AKUNDA KAREGI</t>
  </si>
  <si>
    <t>RESEARCH FELLOW</t>
  </si>
  <si>
    <t>NGUDI COLLINS</t>
  </si>
  <si>
    <t>LABORATORY TECHNO.III</t>
  </si>
  <si>
    <t>SENIOR RESEARCH SCIENTIST</t>
  </si>
  <si>
    <t>RESEARCH</t>
  </si>
  <si>
    <t>OFFICER ASSISTANT I</t>
  </si>
  <si>
    <t>LIBRARY/RESEARCH</t>
  </si>
  <si>
    <t>LIBRARIAN II</t>
  </si>
  <si>
    <t>CELESTINE ROTICH</t>
  </si>
  <si>
    <t>KSRIC</t>
  </si>
  <si>
    <t>PARKURITO STANLEY LETEIPAN</t>
  </si>
  <si>
    <t>NURSING OFFICER</t>
  </si>
  <si>
    <t>ABISAI FREDRICK ANGOTE</t>
  </si>
  <si>
    <t>JUNIOR HERPETOLOGIST</t>
  </si>
  <si>
    <t>NGARI CECILIA WAIRIMU</t>
  </si>
  <si>
    <t>KEPHA GEOFREY MARANGA</t>
  </si>
  <si>
    <t>MIHESO HANNINGTON MUSALIA</t>
  </si>
  <si>
    <t>OCHIENG ROBERT OFWETE</t>
  </si>
  <si>
    <t>LUBUYA JACOB</t>
  </si>
  <si>
    <t>PAMELA MUKWEYI KHASANDI</t>
  </si>
  <si>
    <t>ADMINISTRATIVE OFFICER I11</t>
  </si>
  <si>
    <t>PRINCIPAL ADMINISTRATIVE OFFICER</t>
  </si>
  <si>
    <t>MUSYOKA CECILIA</t>
  </si>
  <si>
    <t>ACCOUNTANT II</t>
  </si>
  <si>
    <t>HUMAN RESOURCE OFFICER 1</t>
  </si>
  <si>
    <t>ECOLOGY &amp; CONSERVATION</t>
  </si>
  <si>
    <t>HEAD PR &amp;MARKETING &amp; DEVELOPMENT</t>
  </si>
  <si>
    <t>MARANGA DAWN NYAWIRA</t>
  </si>
  <si>
    <t>REARCH SCIENTIST 11</t>
  </si>
  <si>
    <t>OMONDI MARTIN ALFRED</t>
  </si>
  <si>
    <t>ELISHA OKEYO OPIYO</t>
  </si>
  <si>
    <t>PATRICK WAWERU MWAURA</t>
  </si>
  <si>
    <t>VICTOR MWALIKO MWADIME</t>
  </si>
  <si>
    <t>REPRODUCTIVE HEALTH &amp; BIOLOGY
&amp; BIOLOGY</t>
  </si>
  <si>
    <t>SHEM MAJENGO</t>
  </si>
  <si>
    <t>ARTISAN 11</t>
  </si>
  <si>
    <t>YVONNE MUKAMI KIMATA</t>
  </si>
  <si>
    <t>CYNICAH NYABOKE KAMANDA</t>
  </si>
  <si>
    <t>CHARLES THIGE</t>
  </si>
  <si>
    <t xml:space="preserve">AUXILIARY STAFF </t>
  </si>
  <si>
    <t>NJOGU ESTHER MUKAMI</t>
  </si>
  <si>
    <t>ACCOUNTANT 1</t>
  </si>
  <si>
    <t>MUTHOKA MUSEMBI</t>
  </si>
  <si>
    <t>VICTOR NTHIGA</t>
  </si>
  <si>
    <t>FURAHA ALI GAHOYO</t>
  </si>
  <si>
    <t>ANIMAL HEALTH ASSISTANT 1</t>
  </si>
  <si>
    <t>MUSAU BRIAN MUKELI</t>
  </si>
  <si>
    <t>OLUOCH EZEKIEL ADINO</t>
  </si>
  <si>
    <t>TIYO LAWI TOTANA</t>
  </si>
  <si>
    <t>MAALIM HUSSEIN ABASS</t>
  </si>
  <si>
    <t>MUSABYIMANA VALENTINE</t>
  </si>
  <si>
    <t>MARY NJERI CHEGE</t>
  </si>
  <si>
    <t>JOY MIDDI</t>
  </si>
  <si>
    <t>ANGELA ANYANGO JUMA</t>
  </si>
  <si>
    <t>TECHNNICIAN</t>
  </si>
  <si>
    <t>IVY JEPKURUI MUTAI</t>
  </si>
  <si>
    <t>KENNETH P MUTHANGIA</t>
  </si>
  <si>
    <t>MAIMUNA JUMA ALHAMID</t>
  </si>
  <si>
    <t>REPRODUCTIVE HEALTH  &amp; BIOLOGY</t>
  </si>
  <si>
    <t>PETER NJOROGE KARANU</t>
  </si>
  <si>
    <t>SENIOR SECURITY OFFICER</t>
  </si>
  <si>
    <t>PROCUREMENT OFFICER 11</t>
  </si>
  <si>
    <t>EDIN SUROW</t>
  </si>
  <si>
    <t>DAVID KIRAGU MWAURA</t>
  </si>
  <si>
    <t>REPRODUCTIVE HEALTH $ BIOLOGY</t>
  </si>
  <si>
    <t>ESTHER AMINA OYOO</t>
  </si>
  <si>
    <t>MARKETING ASSISTANT</t>
  </si>
  <si>
    <t>GEOFF HENDERSON AHOMO</t>
  </si>
  <si>
    <t>LIBRARIAN ASSISTANT</t>
  </si>
  <si>
    <t>SUSAN WAMBUI MUIRURI</t>
  </si>
  <si>
    <t>KELLY NYANCHAMA</t>
  </si>
  <si>
    <t>SENIOR PROCREMENT OFFICER</t>
  </si>
  <si>
    <t>ANNE SEIN SAITOTI</t>
  </si>
  <si>
    <t>TECHNICIAN</t>
  </si>
  <si>
    <t>SENIOR RESEARCH SCIENTIST 11</t>
  </si>
  <si>
    <t>MOSES KIRINYA RUNGUMA</t>
  </si>
  <si>
    <t>RODAH SYOMBUA</t>
  </si>
  <si>
    <t>AUDIO VISUAL/MEDIA OFFICER 11</t>
  </si>
  <si>
    <t>MUNIRA SAID ABDULKARIM ANTAR</t>
  </si>
  <si>
    <t>TRANSPORT OFFICER</t>
  </si>
  <si>
    <t>PRINCIPAL ACCOUNTANT</t>
  </si>
  <si>
    <t>JOHN ROBERT OWUOR</t>
  </si>
  <si>
    <t>BEATRICE CHEBET KOECH</t>
  </si>
  <si>
    <t>CURATORIAL ASSISTANT III</t>
  </si>
  <si>
    <t>SAMMY KIMATHI KANYARU</t>
  </si>
  <si>
    <t>ICT- OFFICER 11</t>
  </si>
  <si>
    <t>CAROLINE ACHIENG' OKERO</t>
  </si>
  <si>
    <t>HAPPINESS NYANCHAMA</t>
  </si>
  <si>
    <t>24 1729</t>
  </si>
  <si>
    <t>ADMINISTRATIVE ASSISTANT 11</t>
  </si>
  <si>
    <t>SING'OEI JOHNSON KIPLAGAT</t>
  </si>
  <si>
    <t>FRANCIS OBINGE</t>
  </si>
  <si>
    <t xml:space="preserve">HUMAN RESOURCE OFFICER </t>
  </si>
  <si>
    <t>VINCENT KIRIMA</t>
  </si>
  <si>
    <t>KIMITI PRISCILLAH</t>
  </si>
  <si>
    <t>KISIENYE TOBIAS O.</t>
  </si>
  <si>
    <t>ARTISAN 1</t>
  </si>
  <si>
    <t>ANIMAL HEALTH TECH I</t>
  </si>
  <si>
    <t>PROCUREMENT OFFICER 111</t>
  </si>
  <si>
    <t>PROCUREMENT ASSISTANT 11</t>
  </si>
  <si>
    <t>DAISY JEBET</t>
  </si>
  <si>
    <t>AKAMA OKIOMA CHARLES</t>
  </si>
  <si>
    <t>HEAD ICT SECTION</t>
  </si>
  <si>
    <t>TICKET CLERK</t>
  </si>
  <si>
    <t xml:space="preserve">ADMINISTRATIVE OFFICER </t>
  </si>
  <si>
    <t>ONDIBA  STELLA NYAMBARIGA</t>
  </si>
  <si>
    <t>FLORENCE MAKENA</t>
  </si>
  <si>
    <t>DR.AKINYI MERCY Y</t>
  </si>
  <si>
    <t>DR.JANET M. WADIME</t>
  </si>
  <si>
    <t>DR.ADOYO PIUS AOKO</t>
  </si>
  <si>
    <t>DR.ATUNGA NYACHIEO</t>
  </si>
  <si>
    <t>DR.OBIERO JAEL APONDI</t>
  </si>
  <si>
    <t>DR.ALMAS RAMADHAN JUMA</t>
  </si>
  <si>
    <t>DR.KAMAU MUIRURI</t>
  </si>
  <si>
    <t>DR.MOINDE NANCY N.</t>
  </si>
  <si>
    <t>DR.KIVAI STANSLAUS M.</t>
  </si>
  <si>
    <t>DR.MWANGI DANSON K.</t>
  </si>
  <si>
    <t>DR.NDUNG’U MICHAEL N.</t>
  </si>
  <si>
    <t>DR.JILLANI N. EDWARD</t>
  </si>
  <si>
    <t>DR.HASTINGS OZWARA SUBA</t>
  </si>
  <si>
    <t>DR.OCHOLA LUCY</t>
  </si>
  <si>
    <t>DR.ONDITI FAITH I</t>
  </si>
  <si>
    <t>DR.AMBALA PERIS AUMA</t>
  </si>
  <si>
    <t>DR.GEORGE OMONDI</t>
  </si>
  <si>
    <t>KARIUKI CHRISTOPHER</t>
  </si>
  <si>
    <t>DR.GICHUHI PETER MWETHERA</t>
  </si>
  <si>
    <t>ANTONY NTIITA NKARERO</t>
  </si>
  <si>
    <t>GENDER</t>
  </si>
  <si>
    <t>M</t>
  </si>
  <si>
    <t>F</t>
  </si>
  <si>
    <t>JASON ALEMBI</t>
  </si>
  <si>
    <t>JG</t>
  </si>
  <si>
    <t>RECORDS OFFICER 11</t>
  </si>
  <si>
    <t>ELIZABETH M. NG'ANG'A</t>
  </si>
  <si>
    <t>TELEPHONE OPERATOR I</t>
  </si>
  <si>
    <t>NANCY WANGUI GICHUHI</t>
  </si>
  <si>
    <t>NOAH KIRUI</t>
  </si>
  <si>
    <t>MARTIN MUCHOKI</t>
  </si>
  <si>
    <t>DR.SHARON CHEROTICH C.</t>
  </si>
  <si>
    <t>PURITY APIYO ORENG</t>
  </si>
  <si>
    <t>GRANTS  OFFICER</t>
  </si>
  <si>
    <t>DIANA INJENDI</t>
  </si>
  <si>
    <t>STAFF DATA LIST JUNE,2023</t>
  </si>
  <si>
    <t>ID NO.</t>
  </si>
  <si>
    <t>PHN NO.</t>
  </si>
  <si>
    <t>DIV.</t>
  </si>
  <si>
    <t>LOC.</t>
  </si>
  <si>
    <t xml:space="preserve">NSSF </t>
  </si>
  <si>
    <t>NHIF</t>
  </si>
  <si>
    <t>PIN</t>
  </si>
  <si>
    <t>H.ADR</t>
  </si>
  <si>
    <t>NOK N</t>
  </si>
  <si>
    <t>NOK C</t>
  </si>
  <si>
    <t>NOK R</t>
  </si>
  <si>
    <t>SACCO</t>
  </si>
  <si>
    <t>WLFRS</t>
  </si>
  <si>
    <t>TOE</t>
  </si>
  <si>
    <t>SCOB</t>
  </si>
  <si>
    <t>COB</t>
  </si>
  <si>
    <t>DOB</t>
  </si>
  <si>
    <t>E.LEV</t>
  </si>
  <si>
    <t>DOE</t>
  </si>
  <si>
    <t>13/12/2007</t>
  </si>
  <si>
    <t>30/05/1988</t>
  </si>
  <si>
    <t>KILIFI</t>
  </si>
  <si>
    <t>MALINDI</t>
  </si>
  <si>
    <t>BAHARI</t>
  </si>
  <si>
    <t>TEZO</t>
  </si>
  <si>
    <t>CHUMANI</t>
  </si>
  <si>
    <t>PP</t>
  </si>
  <si>
    <t>DIP</t>
  </si>
  <si>
    <t>A004324871U</t>
  </si>
  <si>
    <t>KAREN KARIMI MUGAMBI</t>
  </si>
  <si>
    <t>MUWA</t>
  </si>
  <si>
    <t>N/A</t>
  </si>
  <si>
    <t>RACHUONYO NORTH</t>
  </si>
  <si>
    <t>CONTRACT</t>
  </si>
  <si>
    <t>FORM 4</t>
  </si>
  <si>
    <t>LANDRINE ACHIENG/ROSELINE OGADA</t>
  </si>
  <si>
    <t>790262121/0707383960</t>
  </si>
  <si>
    <t>WIVES</t>
  </si>
  <si>
    <t>15/081990</t>
  </si>
  <si>
    <t>HOMABAY</t>
  </si>
  <si>
    <t>KARACHUONYO E</t>
  </si>
  <si>
    <t>SLOC</t>
  </si>
  <si>
    <t>KIAMBU</t>
  </si>
  <si>
    <t>KIKUYU</t>
  </si>
  <si>
    <t>KARAI</t>
  </si>
  <si>
    <t>GIKAMBURA</t>
  </si>
  <si>
    <t>MBS</t>
  </si>
  <si>
    <t>008247/82X</t>
  </si>
  <si>
    <t>A004034603Z</t>
  </si>
  <si>
    <t>R103450Z</t>
  </si>
  <si>
    <t>24481-00502</t>
  </si>
  <si>
    <t>SAMMY MWEHA KAMAU</t>
  </si>
  <si>
    <t>HUSBAND</t>
  </si>
  <si>
    <t>KK</t>
  </si>
  <si>
    <t>IPR,MUWA</t>
  </si>
  <si>
    <t>MUWA,IPR</t>
  </si>
  <si>
    <t>WIFE</t>
  </si>
  <si>
    <t>MARY MUTITU GICHUHI</t>
  </si>
  <si>
    <t>761-00502</t>
  </si>
  <si>
    <t>A001247664Y</t>
  </si>
  <si>
    <t>PHD</t>
  </si>
  <si>
    <t>GITHAGARA</t>
  </si>
  <si>
    <t>GAKINDU</t>
  </si>
  <si>
    <t>MUHITO</t>
  </si>
  <si>
    <t>MUKURWEINI</t>
  </si>
  <si>
    <t>NYERI</t>
  </si>
  <si>
    <t>15/8/1974</t>
  </si>
  <si>
    <t>KAPSABET</t>
  </si>
  <si>
    <t>KAPKENGENI</t>
  </si>
  <si>
    <t>KAPKENGENI EST</t>
  </si>
  <si>
    <t>DIPLOMA</t>
  </si>
  <si>
    <t>R0895652</t>
  </si>
  <si>
    <t>A002870197E</t>
  </si>
  <si>
    <t>10-00527</t>
  </si>
  <si>
    <t>DR. KAMWENDET OLWANYEK</t>
  </si>
  <si>
    <t>MUWA,COASTAL</t>
  </si>
  <si>
    <t>MWITO</t>
  </si>
  <si>
    <t>23/11/1976</t>
  </si>
  <si>
    <t>MARAKWET</t>
  </si>
  <si>
    <t>MARAKWET EST</t>
  </si>
  <si>
    <t>TIRAP</t>
  </si>
  <si>
    <t>EMBOLOT</t>
  </si>
  <si>
    <t>KOROU</t>
  </si>
  <si>
    <t>HND</t>
  </si>
  <si>
    <t>61309381X</t>
  </si>
  <si>
    <t>R0674055</t>
  </si>
  <si>
    <t>A002870283Z</t>
  </si>
  <si>
    <t>VIVIAN RUTTO&amp;VICTOR RUTTO</t>
  </si>
  <si>
    <t>20/7/1985</t>
  </si>
  <si>
    <t>NAIROBI</t>
  </si>
  <si>
    <t>MADIANY</t>
  </si>
  <si>
    <t>STAREHE</t>
  </si>
  <si>
    <t>VYOMA WEST</t>
  </si>
  <si>
    <t>KAGWA</t>
  </si>
  <si>
    <t>R2875919</t>
  </si>
  <si>
    <t>A005485221H</t>
  </si>
  <si>
    <t>CHARLES OMONDI OBUNDHO</t>
  </si>
  <si>
    <t>MUWA,ANYUOLA,IPR</t>
  </si>
  <si>
    <t>28/8/1973</t>
  </si>
  <si>
    <t>MERU</t>
  </si>
  <si>
    <t>NYAMBENE</t>
  </si>
  <si>
    <t>NDARAGWA</t>
  </si>
  <si>
    <t>KIRIOGO</t>
  </si>
  <si>
    <t>CERT</t>
  </si>
  <si>
    <t>R1992523</t>
  </si>
  <si>
    <t>A004052667P</t>
  </si>
  <si>
    <t>KWIRIGA LAWRENCE MURIUKI</t>
  </si>
  <si>
    <t xml:space="preserve">HUSBAND </t>
  </si>
  <si>
    <t xml:space="preserve">KK </t>
  </si>
  <si>
    <t>MUWA,IPR,MUTETHIA</t>
  </si>
  <si>
    <t>17/4/1979</t>
  </si>
  <si>
    <t>OTHAYA SOUTH</t>
  </si>
  <si>
    <t>CHINGA SOUTH</t>
  </si>
  <si>
    <t>THUTI</t>
  </si>
  <si>
    <t>56729482X</t>
  </si>
  <si>
    <t>A010392561N</t>
  </si>
  <si>
    <t>FELIDA VIKE</t>
  </si>
  <si>
    <t>IPR,MUNYANYAWA,MUWA</t>
  </si>
  <si>
    <t>AMU</t>
  </si>
  <si>
    <t>MKOMANI</t>
  </si>
  <si>
    <t>R2054763</t>
  </si>
  <si>
    <t>A003917660J</t>
  </si>
  <si>
    <t>AWEINA OMAR HUSSEIN</t>
  </si>
  <si>
    <t>DAUGHTER</t>
  </si>
  <si>
    <t>DAUGHTER,SON</t>
  </si>
  <si>
    <t>KISUMU</t>
  </si>
  <si>
    <t>WINAM</t>
  </si>
  <si>
    <t>KOLWA</t>
  </si>
  <si>
    <t>MANYATTA B</t>
  </si>
  <si>
    <t>KISUMU EAST</t>
  </si>
  <si>
    <t>DEGREE</t>
  </si>
  <si>
    <t>A00930366</t>
  </si>
  <si>
    <t>293-40300</t>
  </si>
  <si>
    <t>CAREN ADHIAMBO OPEMBI</t>
  </si>
  <si>
    <t>MOTHER</t>
  </si>
  <si>
    <t>MUWA,IPR,ANYUOLA</t>
  </si>
  <si>
    <t>19/05/1997</t>
  </si>
  <si>
    <t>BOMET</t>
  </si>
  <si>
    <t>CHEPALUNGU</t>
  </si>
  <si>
    <t>SIGOR</t>
  </si>
  <si>
    <t>A011423522C</t>
  </si>
  <si>
    <t>JANET KOECH</t>
  </si>
  <si>
    <t>27/7/1991</t>
  </si>
  <si>
    <t>KAKAMEGA</t>
  </si>
  <si>
    <t>IKOLOMANI</t>
  </si>
  <si>
    <t>17/6/2009</t>
  </si>
  <si>
    <t>28/5/1988</t>
  </si>
  <si>
    <t>KIRIMUKUYU</t>
  </si>
  <si>
    <t>KIRYA</t>
  </si>
  <si>
    <t>P/P</t>
  </si>
  <si>
    <t>R2845628</t>
  </si>
  <si>
    <t>A005089619W</t>
  </si>
  <si>
    <t>ALFRED MBUGUA</t>
  </si>
  <si>
    <t>FIANCEE</t>
  </si>
  <si>
    <t>STIMA</t>
  </si>
  <si>
    <t>MUWA,IPR,CENTRAL</t>
  </si>
  <si>
    <t>15/2/1985</t>
  </si>
  <si>
    <t>KISII</t>
  </si>
  <si>
    <t>MARANI</t>
  </si>
  <si>
    <t>MOSOCHO</t>
  </si>
  <si>
    <t>NYANGURU</t>
  </si>
  <si>
    <t>NYAGISAI</t>
  </si>
  <si>
    <t>A00732219620</t>
  </si>
  <si>
    <t>THOMAS AROGO OCHARO</t>
  </si>
  <si>
    <t>23/8/1984</t>
  </si>
  <si>
    <t xml:space="preserve">KITUI </t>
  </si>
  <si>
    <t>KITUI CENTRAL</t>
  </si>
  <si>
    <t>MULUNDI</t>
  </si>
  <si>
    <t>MASTERS</t>
  </si>
  <si>
    <t>CHANGWITHYA</t>
  </si>
  <si>
    <t>A011614682Y</t>
  </si>
  <si>
    <t>163-90200</t>
  </si>
  <si>
    <t>RACHAEL BETTY MUSYOKA</t>
  </si>
  <si>
    <t>SISTER</t>
  </si>
  <si>
    <t>MUWA,IPR,MUNYAYAWA</t>
  </si>
  <si>
    <t>TETU</t>
  </si>
  <si>
    <t>TETU EAST</t>
  </si>
  <si>
    <t>AGUTHI</t>
  </si>
  <si>
    <t>ITHEILAHUNO</t>
  </si>
  <si>
    <t>O LEVEL</t>
  </si>
  <si>
    <t>R0310063</t>
  </si>
  <si>
    <t>A001736703T</t>
  </si>
  <si>
    <t>MAGRET MUMBI</t>
  </si>
  <si>
    <t>IPR,CENTRAL</t>
  </si>
  <si>
    <t>NYAMIRA</t>
  </si>
  <si>
    <t>BORABU</t>
  </si>
  <si>
    <t>NYASIONGO</t>
  </si>
  <si>
    <t>A011418804Z</t>
  </si>
  <si>
    <t>4-40502</t>
  </si>
  <si>
    <t>DELVINE MONYANGI</t>
  </si>
  <si>
    <t>SPOUSE</t>
  </si>
  <si>
    <t>IPR</t>
  </si>
  <si>
    <t>20/5/1977</t>
  </si>
  <si>
    <t>KACHIENG</t>
  </si>
  <si>
    <t>KASIPUL</t>
  </si>
  <si>
    <t>KAMAGAK EAST</t>
  </si>
  <si>
    <t>31154682X</t>
  </si>
  <si>
    <t>R0940024</t>
  </si>
  <si>
    <t>A006133920C</t>
  </si>
  <si>
    <t>DRUSSILA MIDDI</t>
  </si>
  <si>
    <t>18/71967</t>
  </si>
  <si>
    <t>NAKURU</t>
  </si>
  <si>
    <t>NAKURU TOWN</t>
  </si>
  <si>
    <t>BAHATI</t>
  </si>
  <si>
    <t>KIAMAINA</t>
  </si>
  <si>
    <t>R1063978</t>
  </si>
  <si>
    <t>A002253255L</t>
  </si>
  <si>
    <t>HELLEN WANJIRU MURUGAMI</t>
  </si>
  <si>
    <t>MUNYAYAWA,IPR</t>
  </si>
  <si>
    <t>DAGORETTI</t>
  </si>
  <si>
    <t>WAITHAKA</t>
  </si>
  <si>
    <t>R0311931</t>
  </si>
  <si>
    <t>HANNAH NJERI</t>
  </si>
  <si>
    <t>MARSABIT</t>
  </si>
  <si>
    <t>MOYALE</t>
  </si>
  <si>
    <t>CENTRAL</t>
  </si>
  <si>
    <t>MOUNTAIN</t>
  </si>
  <si>
    <t>TOWNSHIP</t>
  </si>
  <si>
    <t>CERT.</t>
  </si>
  <si>
    <t>084013/915</t>
  </si>
  <si>
    <t>A004622195Z</t>
  </si>
  <si>
    <t>NASIBO</t>
  </si>
  <si>
    <t>28/9/1979</t>
  </si>
  <si>
    <t>ISIOLO</t>
  </si>
  <si>
    <t>GARBA-TULA</t>
  </si>
  <si>
    <t>SERICHO</t>
  </si>
  <si>
    <t>MODOGASHE</t>
  </si>
  <si>
    <t>A002718614V</t>
  </si>
  <si>
    <t>MADINA MOHAMMED</t>
  </si>
  <si>
    <t>KARACHUONYO</t>
  </si>
  <si>
    <t>NYAMIRA NORTH</t>
  </si>
  <si>
    <t>NYAMUSI</t>
  </si>
  <si>
    <t>BOMWAGAMO</t>
  </si>
  <si>
    <t>MAGERI</t>
  </si>
  <si>
    <t>A003835858N</t>
  </si>
  <si>
    <t>JOEL AMBACHI MAYAKA</t>
  </si>
  <si>
    <t>MUWA,IPR,NAMUKE</t>
  </si>
  <si>
    <t>22/8/2008</t>
  </si>
  <si>
    <t>22/11/1975</t>
  </si>
  <si>
    <t>BUSIA</t>
  </si>
  <si>
    <t>BUTULA</t>
  </si>
  <si>
    <t>MARACHI WEST</t>
  </si>
  <si>
    <t>BUJUMBA</t>
  </si>
  <si>
    <t>A004371002T</t>
  </si>
  <si>
    <t>JAMES WANJALA</t>
  </si>
  <si>
    <t>SON</t>
  </si>
  <si>
    <t>25/2/1975</t>
  </si>
  <si>
    <t>MUTITO</t>
  </si>
  <si>
    <t>ZOMBE</t>
  </si>
  <si>
    <t>MALATANI</t>
  </si>
  <si>
    <t>O-LEVEL</t>
  </si>
  <si>
    <t>A002576859N</t>
  </si>
  <si>
    <t>MUINDI NGUNGUI</t>
  </si>
  <si>
    <t>MUNYANYAWA ,IPR</t>
  </si>
  <si>
    <t>24/3/1989</t>
  </si>
  <si>
    <t>SIAYA</t>
  </si>
  <si>
    <t>UGENYA</t>
  </si>
  <si>
    <t>UKWALA</t>
  </si>
  <si>
    <t>SIMURSIGWING</t>
  </si>
  <si>
    <t>BELDINA SAKWA</t>
  </si>
  <si>
    <t>ANYUOLA,MUWA,IPR</t>
  </si>
  <si>
    <t>16/12/2021</t>
  </si>
  <si>
    <t>15/12/1999</t>
  </si>
  <si>
    <t>SOTIK</t>
  </si>
  <si>
    <t>KAPLETUNGO</t>
  </si>
  <si>
    <t>CHEBILAT</t>
  </si>
  <si>
    <t>TOGOMIN</t>
  </si>
  <si>
    <t>0003844X</t>
  </si>
  <si>
    <t>A012153194L</t>
  </si>
  <si>
    <t>MILKA CHEBET</t>
  </si>
  <si>
    <t>SAMWEL MAINA MORAGE</t>
  </si>
  <si>
    <t>MUKURWO-INI</t>
  </si>
  <si>
    <t>CAKINDU</t>
  </si>
  <si>
    <t>TAMBAYA</t>
  </si>
  <si>
    <t>BETRICE WANGECI</t>
  </si>
  <si>
    <t>29/3/1972</t>
  </si>
  <si>
    <t>SHINYALU</t>
  </si>
  <si>
    <t>ISUKHA EAST</t>
  </si>
  <si>
    <t>KAMBIRI</t>
  </si>
  <si>
    <t>PRIMARY</t>
  </si>
  <si>
    <t>A001967140B</t>
  </si>
  <si>
    <t>ROSE INDECHE KHAKASA</t>
  </si>
  <si>
    <t>21/11/1975</t>
  </si>
  <si>
    <t>MAKUENI</t>
  </si>
  <si>
    <t>KILOME</t>
  </si>
  <si>
    <t xml:space="preserve">MUKAA </t>
  </si>
  <si>
    <t>MAIANI</t>
  </si>
  <si>
    <t>GRACE MUENI</t>
  </si>
  <si>
    <t>MUWA,KIWESO,IPR</t>
  </si>
  <si>
    <t>23/1/2017</t>
  </si>
  <si>
    <t>14/11/1989</t>
  </si>
  <si>
    <t>NZAU</t>
  </si>
  <si>
    <t>MATILIKU</t>
  </si>
  <si>
    <t>KALAMBA</t>
  </si>
  <si>
    <t>NZIU</t>
  </si>
  <si>
    <t>A009932076H</t>
  </si>
  <si>
    <t>ESTHER KALUKI MUSYOKA</t>
  </si>
  <si>
    <t>,MUNYANYAWA</t>
  </si>
  <si>
    <t>MURANGA</t>
  </si>
  <si>
    <t>MAKUYU</t>
  </si>
  <si>
    <t>KAMBITI</t>
  </si>
  <si>
    <t>MIHANGO</t>
  </si>
  <si>
    <t>A010262445H</t>
  </si>
  <si>
    <t>HOPE MASHAYO MACHARIA</t>
  </si>
  <si>
    <t>THARAKANITHI</t>
  </si>
  <si>
    <t>THARAKA</t>
  </si>
  <si>
    <t>THARAKA CENT</t>
  </si>
  <si>
    <t>NTUGI</t>
  </si>
  <si>
    <t>KANYURI</t>
  </si>
  <si>
    <t>A012493766A</t>
  </si>
  <si>
    <t>SHARLEEN GATWIRI</t>
  </si>
  <si>
    <t>CHILD</t>
  </si>
  <si>
    <t>KOMBEWA</t>
  </si>
  <si>
    <t>SEME NORTH</t>
  </si>
  <si>
    <t>KADERO</t>
  </si>
  <si>
    <t>A0069050563L</t>
  </si>
  <si>
    <t>HILDAH OJALL</t>
  </si>
  <si>
    <t>IPR,ANYUOLA,MUNYANYAWA,MU</t>
  </si>
  <si>
    <t>THARAKA NITHI</t>
  </si>
  <si>
    <t>NKODI</t>
  </si>
  <si>
    <t>NKONDI</t>
  </si>
  <si>
    <t>RO385077</t>
  </si>
  <si>
    <t>A002867192Z</t>
  </si>
  <si>
    <t>IMAMANUEL NJERU</t>
  </si>
  <si>
    <t>BROTHER</t>
  </si>
  <si>
    <t>KK,TRANS</t>
  </si>
  <si>
    <t>MUWA,MUTHEITHIA</t>
  </si>
  <si>
    <t>OTHAYA</t>
  </si>
  <si>
    <t>CHINGA</t>
  </si>
  <si>
    <t>KARUTHI</t>
  </si>
  <si>
    <t>A012139699H</t>
  </si>
  <si>
    <t>CHARLES KURIA MUCHOKI</t>
  </si>
  <si>
    <t>LOWER YATTA</t>
  </si>
  <si>
    <t>KANYANGI</t>
  </si>
  <si>
    <t>KAVULINI</t>
  </si>
  <si>
    <t>NGOMONI</t>
  </si>
  <si>
    <t>283745/924</t>
  </si>
  <si>
    <t>R0785967</t>
  </si>
  <si>
    <t>A002583423Z</t>
  </si>
  <si>
    <t>1248-90200</t>
  </si>
  <si>
    <t>JUSTIWA MUSIKUSMITH</t>
  </si>
  <si>
    <t>NYANDO</t>
  </si>
  <si>
    <t>KADIBO</t>
  </si>
  <si>
    <t>KOBURA</t>
  </si>
  <si>
    <t>MASONGO</t>
  </si>
  <si>
    <t>O'LEVEL</t>
  </si>
  <si>
    <t>R0941666</t>
  </si>
  <si>
    <t>A002891256X</t>
  </si>
  <si>
    <t>MILLICENT AKINYI WANGULU</t>
  </si>
  <si>
    <t>ANYOULA</t>
  </si>
  <si>
    <t>MWINGI</t>
  </si>
  <si>
    <t>NUU</t>
  </si>
  <si>
    <t>MUTYANGOME</t>
  </si>
  <si>
    <t>NGIENI</t>
  </si>
  <si>
    <t>R0347710</t>
  </si>
  <si>
    <t>A001675304Q</t>
  </si>
  <si>
    <t>MARY NZUNYA</t>
  </si>
  <si>
    <t>MUWA, IPR</t>
  </si>
  <si>
    <t>23/07/1964</t>
  </si>
  <si>
    <t xml:space="preserve">BONDO </t>
  </si>
  <si>
    <t>NYANGOMA</t>
  </si>
  <si>
    <t>SOUTH SAKWA</t>
  </si>
  <si>
    <t>GOT ABIERO</t>
  </si>
  <si>
    <t>R0861332</t>
  </si>
  <si>
    <t>A002378473F</t>
  </si>
  <si>
    <t>GEORGE OTIENO</t>
  </si>
  <si>
    <t>ANYOULA, IPR</t>
  </si>
  <si>
    <t>MIGORI</t>
  </si>
  <si>
    <t>SUNA EAST</t>
  </si>
  <si>
    <t>SUBA</t>
  </si>
  <si>
    <t>99724762Z</t>
  </si>
  <si>
    <t>A001828332Z</t>
  </si>
  <si>
    <t>NANCY VIHENDA</t>
  </si>
  <si>
    <t>IPR, KIWESO, MUWA, ANYOLA</t>
  </si>
  <si>
    <t>VIHIGA</t>
  </si>
  <si>
    <t>MAHANGA</t>
  </si>
  <si>
    <t>BUNGOMA</t>
  </si>
  <si>
    <t>CERTIFICATE</t>
  </si>
  <si>
    <t>R0311544</t>
  </si>
  <si>
    <t>MARY AYIEMBA</t>
  </si>
  <si>
    <t>IPR, KIWESO, MUWA</t>
  </si>
  <si>
    <t>MACHAKOS</t>
  </si>
  <si>
    <t>NDITHINI</t>
  </si>
  <si>
    <t>YATTA</t>
  </si>
  <si>
    <t>A004066727R</t>
  </si>
  <si>
    <t>JANE KANINI</t>
  </si>
  <si>
    <t>MUWA,IPR,MUNYANYAWA</t>
  </si>
  <si>
    <t>NANDI</t>
  </si>
  <si>
    <t>KILIBWONI</t>
  </si>
  <si>
    <t>KAPLAMAI</t>
  </si>
  <si>
    <t>KAPTAGUNYO</t>
  </si>
  <si>
    <t>200109090X</t>
  </si>
  <si>
    <t>A006625392I</t>
  </si>
  <si>
    <t>PAUL FRANCIS LAGAT</t>
  </si>
  <si>
    <t>FATHER</t>
  </si>
  <si>
    <t>31/1/1981</t>
  </si>
  <si>
    <t>ALEGO USONGA</t>
  </si>
  <si>
    <t>KAREMO</t>
  </si>
  <si>
    <t>ALEGO NORTH</t>
  </si>
  <si>
    <t>MUR INGIA</t>
  </si>
  <si>
    <t>R1882787</t>
  </si>
  <si>
    <t>A003609134X</t>
  </si>
  <si>
    <t>9781-40141</t>
  </si>
  <si>
    <t>AMOS MATINDI NDUNGU</t>
  </si>
  <si>
    <t>IPR,MUWA,ANYUOLA</t>
  </si>
  <si>
    <t>NAIVASHA</t>
  </si>
  <si>
    <t>MAHI MAHIU</t>
  </si>
  <si>
    <t xml:space="preserve">LONGONOT </t>
  </si>
  <si>
    <t>MUNENGI</t>
  </si>
  <si>
    <t>A005730408L</t>
  </si>
  <si>
    <t>SAMUEL KOGO KAMAU</t>
  </si>
  <si>
    <t xml:space="preserve">VIHIGA </t>
  </si>
  <si>
    <t>HAMISI</t>
  </si>
  <si>
    <t>BANJA</t>
  </si>
  <si>
    <t>R0941663</t>
  </si>
  <si>
    <t>A002870012D</t>
  </si>
  <si>
    <t>MUWA,IPR,KIWESO</t>
  </si>
  <si>
    <t>KARURI</t>
  </si>
  <si>
    <t>KIAMBAA</t>
  </si>
  <si>
    <t>A003012082D</t>
  </si>
  <si>
    <t>MOSES NGINGI MBUGUA</t>
  </si>
  <si>
    <t>MUNYANYAWA</t>
  </si>
  <si>
    <t>21/5/1981</t>
  </si>
  <si>
    <t>NYANGUTA</t>
  </si>
  <si>
    <t>KEUMBU</t>
  </si>
  <si>
    <t>NYARIBARI</t>
  </si>
  <si>
    <t>A005803788L</t>
  </si>
  <si>
    <t>PAUL OKELLO ONGONDO</t>
  </si>
  <si>
    <t>22/12/1992</t>
  </si>
  <si>
    <t>LAIKIPIA</t>
  </si>
  <si>
    <t>LAMURIA</t>
  </si>
  <si>
    <t>GIGITHI</t>
  </si>
  <si>
    <t>UMANDE</t>
  </si>
  <si>
    <t>A002306083S</t>
  </si>
  <si>
    <t xml:space="preserve">JUDY WATHATA </t>
  </si>
  <si>
    <t>KAJIADO</t>
  </si>
  <si>
    <t>NGONG</t>
  </si>
  <si>
    <t>OLOOLUA</t>
  </si>
  <si>
    <t>KAREN WEST</t>
  </si>
  <si>
    <t>A004521903E</t>
  </si>
  <si>
    <t>GRACE THIGA WAIRIMU</t>
  </si>
  <si>
    <t>IPR MUNYANYAWA</t>
  </si>
  <si>
    <t>MANGA</t>
  </si>
  <si>
    <t>MAGOMBO</t>
  </si>
  <si>
    <t>NORTH KITUTU</t>
  </si>
  <si>
    <t>BOTABORI</t>
  </si>
  <si>
    <t>R2890231</t>
  </si>
  <si>
    <t>A004620431G</t>
  </si>
  <si>
    <t>GLADYS MORAA BUNDI</t>
  </si>
  <si>
    <t>SAKU</t>
  </si>
  <si>
    <t>DAKABARICHA</t>
  </si>
  <si>
    <t>A016148975F</t>
  </si>
  <si>
    <t>260-60500</t>
  </si>
  <si>
    <t>WOCHE GALGALO</t>
  </si>
  <si>
    <t>25/3/1981</t>
  </si>
  <si>
    <t>BARINGO</t>
  </si>
  <si>
    <t>KABARTONJO</t>
  </si>
  <si>
    <t>BARWESSA</t>
  </si>
  <si>
    <t>LAWAN</t>
  </si>
  <si>
    <t>KETURWO</t>
  </si>
  <si>
    <t>A004737681N</t>
  </si>
  <si>
    <t>13/9/1998</t>
  </si>
  <si>
    <t>WESTLANDS</t>
  </si>
  <si>
    <t>LANGATA</t>
  </si>
  <si>
    <t>BSC</t>
  </si>
  <si>
    <t>A01337483N</t>
  </si>
  <si>
    <t>PETER MWETHERA GICHUHI</t>
  </si>
  <si>
    <t>SAMUEL CHEREGONY</t>
  </si>
  <si>
    <t>SPOUISE</t>
  </si>
  <si>
    <t>MUKUWE-INI</t>
  </si>
  <si>
    <t>KIREREMA</t>
  </si>
  <si>
    <t>GITHI</t>
  </si>
  <si>
    <t>R2086286</t>
  </si>
  <si>
    <t>A004383341A</t>
  </si>
  <si>
    <t>ANDREW MBURU MUCHERU</t>
  </si>
  <si>
    <t>MUWA IPR</t>
  </si>
  <si>
    <t>8//9/1998</t>
  </si>
  <si>
    <t>26/5/1975</t>
  </si>
  <si>
    <t>NZAUI</t>
  </si>
  <si>
    <t>KITHUMBA</t>
  </si>
  <si>
    <t>R0673381</t>
  </si>
  <si>
    <t>A002363714F</t>
  </si>
  <si>
    <t xml:space="preserve">ANTHONY M NGUSYE </t>
  </si>
  <si>
    <t>IPR, MUNYANYAWA</t>
  </si>
  <si>
    <t>22/11/2017</t>
  </si>
  <si>
    <t>WEST POKOT</t>
  </si>
  <si>
    <t>POKOT NORTH</t>
  </si>
  <si>
    <t>KACHELIBA</t>
  </si>
  <si>
    <t>KOPULIO</t>
  </si>
  <si>
    <t>KENYERUS</t>
  </si>
  <si>
    <t>A011045575U</t>
  </si>
  <si>
    <t>CHEPOTUTURWA LOITARENE</t>
  </si>
  <si>
    <t>IPR, MUWA</t>
  </si>
  <si>
    <t>BOMET EAST</t>
  </si>
  <si>
    <t>LONGISA</t>
  </si>
  <si>
    <t>KIPRERES</t>
  </si>
  <si>
    <t>NDUBAI</t>
  </si>
  <si>
    <t>A006470448Q</t>
  </si>
  <si>
    <t>BONIFACE KIPLANGAT KOECH</t>
  </si>
  <si>
    <t>15/06/1966</t>
  </si>
  <si>
    <t>CHONYI</t>
  </si>
  <si>
    <t>CHASIMBA</t>
  </si>
  <si>
    <t>MAKAMBI</t>
  </si>
  <si>
    <t>R0246352</t>
  </si>
  <si>
    <t>A001523916K</t>
  </si>
  <si>
    <t>LAUZI FATUMA</t>
  </si>
  <si>
    <t>SAVANNAH</t>
  </si>
  <si>
    <t>23/09/1981</t>
  </si>
  <si>
    <t>KABETE</t>
  </si>
  <si>
    <t>UTHIRU</t>
  </si>
  <si>
    <t>R2156602</t>
  </si>
  <si>
    <t>R2406241</t>
  </si>
  <si>
    <t>A0044257265</t>
  </si>
  <si>
    <t>KIARIE KIMANI</t>
  </si>
  <si>
    <t>29/03/1977</t>
  </si>
  <si>
    <t>KANGEMA</t>
  </si>
  <si>
    <t>KANYENYA-INI</t>
  </si>
  <si>
    <t>R1093047</t>
  </si>
  <si>
    <t>A002857303W</t>
  </si>
  <si>
    <t>MARGERET NJERI MUTUGI</t>
  </si>
  <si>
    <t>CENTRAL, IPR</t>
  </si>
  <si>
    <t>KHWISERO</t>
  </si>
  <si>
    <t>KISA NORTH</t>
  </si>
  <si>
    <t>MUNDOBELWA</t>
  </si>
  <si>
    <t>A006910947A</t>
  </si>
  <si>
    <t>160-50135</t>
  </si>
  <si>
    <t>BILIAH AYUMA MBAYACH</t>
  </si>
  <si>
    <t>KIWESO, IPR</t>
  </si>
  <si>
    <t>NYANDARUA</t>
  </si>
  <si>
    <t>OL-KALOU</t>
  </si>
  <si>
    <t>RURII</t>
  </si>
  <si>
    <t>A005380196V</t>
  </si>
  <si>
    <t>14625-00800</t>
  </si>
  <si>
    <t>CATHERINE WAMAITHA</t>
  </si>
  <si>
    <t>SABATIA</t>
  </si>
  <si>
    <t>CHAVAKALI</t>
  </si>
  <si>
    <t>IZAVA NORTH</t>
  </si>
  <si>
    <t>DEMESI</t>
  </si>
  <si>
    <t>CPE</t>
  </si>
  <si>
    <t>A001187101B</t>
  </si>
  <si>
    <t>HILLARY KIDENDE</t>
  </si>
  <si>
    <t>17/7/1968</t>
  </si>
  <si>
    <t>EMUHAYA</t>
  </si>
  <si>
    <t>EMAKUNDA</t>
  </si>
  <si>
    <t>EMULOBI</t>
  </si>
  <si>
    <t>A00393361E</t>
  </si>
  <si>
    <t>AMINA MAKOKHA</t>
  </si>
  <si>
    <t>JOACHIM MAUNDU KIVITE</t>
  </si>
  <si>
    <t>KAITI</t>
  </si>
  <si>
    <t>UKIA</t>
  </si>
  <si>
    <t>R0309953</t>
  </si>
  <si>
    <t>A002016786X</t>
  </si>
  <si>
    <t>PHILOMENA NTHENYA MAKITI</t>
  </si>
  <si>
    <t>MUWA,IPR,MNYANYAWA</t>
  </si>
  <si>
    <t>IGEMBE NORTH</t>
  </si>
  <si>
    <t>MUTUATI</t>
  </si>
  <si>
    <t>KABACHI</t>
  </si>
  <si>
    <t>NAATHU AMWATHI</t>
  </si>
  <si>
    <t>A010342021T</t>
  </si>
  <si>
    <t>JOSEPH KIRIMA</t>
  </si>
  <si>
    <t>NAROK</t>
  </si>
  <si>
    <t xml:space="preserve">WAJIR </t>
  </si>
  <si>
    <t>LUANDA</t>
  </si>
  <si>
    <t>EAST BUNYORE</t>
  </si>
  <si>
    <t>EMMATSI</t>
  </si>
  <si>
    <t>R2002281</t>
  </si>
  <si>
    <t>A0040486698</t>
  </si>
  <si>
    <t>LEAH AKINYI OWINO</t>
  </si>
  <si>
    <t>NORTH MARAGOLI</t>
  </si>
  <si>
    <t>KEGONDI</t>
  </si>
  <si>
    <t>A009215396E</t>
  </si>
  <si>
    <t>PHANICE RIHEMO KAYIERI</t>
  </si>
  <si>
    <t>KALOLENI</t>
  </si>
  <si>
    <t>MARIAKANI</t>
  </si>
  <si>
    <t>A008595836K</t>
  </si>
  <si>
    <t>146-80113</t>
  </si>
  <si>
    <t>REBECCA NDUKU MUSAU</t>
  </si>
  <si>
    <t>22/5/2018</t>
  </si>
  <si>
    <t>18/8/1991</t>
  </si>
  <si>
    <t>KAJIODO NORTH</t>
  </si>
  <si>
    <t>202295878X</t>
  </si>
  <si>
    <t>A010818286L</t>
  </si>
  <si>
    <t>70-00208</t>
  </si>
  <si>
    <t>JOHN NTIPAPE PARKUROTO</t>
  </si>
  <si>
    <t>SUBA CENTRAL</t>
  </si>
  <si>
    <t>SUNA ATACHO</t>
  </si>
  <si>
    <t>ANJENGO</t>
  </si>
  <si>
    <t>A01175872L</t>
  </si>
  <si>
    <t>DELVINE MOSE</t>
  </si>
  <si>
    <t>NYARIBARI CHACHE</t>
  </si>
  <si>
    <t>KIOGORO</t>
  </si>
  <si>
    <t xml:space="preserve">NYARIBARI KKIOGORO </t>
  </si>
  <si>
    <t>MATUNWA</t>
  </si>
  <si>
    <t>A0047572005</t>
  </si>
  <si>
    <t>SARAH KERUBO OMBATI</t>
  </si>
  <si>
    <t>RUNGIRI</t>
  </si>
  <si>
    <t>THOGOTHO</t>
  </si>
  <si>
    <t>A013280457M</t>
  </si>
  <si>
    <t>STEPHANI MUKAGAHIMA</t>
  </si>
  <si>
    <t>13/10/1992</t>
  </si>
  <si>
    <t>ONGATA RONGAI</t>
  </si>
  <si>
    <t>A010608841X</t>
  </si>
  <si>
    <t>15268-00509</t>
  </si>
  <si>
    <t>MICHAEL MWAKIO</t>
  </si>
  <si>
    <t>19/12/1984</t>
  </si>
  <si>
    <t>MOMBASA</t>
  </si>
  <si>
    <t>MVITA</t>
  </si>
  <si>
    <t>ISLAND</t>
  </si>
  <si>
    <t>TONONOKA</t>
  </si>
  <si>
    <t>BAGHANI</t>
  </si>
  <si>
    <t>A0069598345</t>
  </si>
  <si>
    <t>85686-80100</t>
  </si>
  <si>
    <t>OMAR MOHAMED</t>
  </si>
  <si>
    <t>13/4/1976</t>
  </si>
  <si>
    <t>LIKONI</t>
  </si>
  <si>
    <t>SHIKAADABU</t>
  </si>
  <si>
    <t>A002482220D</t>
  </si>
  <si>
    <t>96070-80110</t>
  </si>
  <si>
    <t>MARY GATHONI</t>
  </si>
  <si>
    <t>MUWA ,IPR</t>
  </si>
  <si>
    <t>25/2/2010</t>
  </si>
  <si>
    <t>23/7/1969</t>
  </si>
  <si>
    <t>BORO</t>
  </si>
  <si>
    <t>ALEGO CENTRAL</t>
  </si>
  <si>
    <t>OJUANDO</t>
  </si>
  <si>
    <t>R0201400</t>
  </si>
  <si>
    <t>A001374483W</t>
  </si>
  <si>
    <t>MARY ADHIAMBO ANYINO</t>
  </si>
  <si>
    <t>UKULIMA</t>
  </si>
  <si>
    <t>IPR,MUWA,ANYUOLA,KIWESO</t>
  </si>
  <si>
    <t>16/3/1967</t>
  </si>
  <si>
    <t>ANJEGO</t>
  </si>
  <si>
    <t>SUNA-OTACHO</t>
  </si>
  <si>
    <t>R0263958</t>
  </si>
  <si>
    <t>A0011622A</t>
  </si>
  <si>
    <t>FLORENCE GWONEKI MUSALIA</t>
  </si>
  <si>
    <t>KK,</t>
  </si>
  <si>
    <t>ANYUOLA,MUWA,IPR,KIWESO</t>
  </si>
  <si>
    <t xml:space="preserve">NAIROBI </t>
  </si>
  <si>
    <t>KAMUKUNJI</t>
  </si>
  <si>
    <t>PUMWANI</t>
  </si>
  <si>
    <t>A004693147Y</t>
  </si>
  <si>
    <t>70920-00400</t>
  </si>
  <si>
    <t>GIFT MWADIME</t>
  </si>
  <si>
    <t>MATHIRA EAST</t>
  </si>
  <si>
    <t>KONYU</t>
  </si>
  <si>
    <t>GACHUKU</t>
  </si>
  <si>
    <t>A008631709P</t>
  </si>
  <si>
    <t>5065-00200</t>
  </si>
  <si>
    <t>LUCILLE KIMAYA</t>
  </si>
  <si>
    <t>15/6/2006</t>
  </si>
  <si>
    <t>16/1/1980</t>
  </si>
  <si>
    <t>SUBA WEST</t>
  </si>
  <si>
    <t>SUNA-LOWER</t>
  </si>
  <si>
    <t>MUKURO</t>
  </si>
  <si>
    <t>A003754073A</t>
  </si>
  <si>
    <t>LILIAN NJERI</t>
  </si>
  <si>
    <t>19/9/1988</t>
  </si>
  <si>
    <t>MUHORONI</t>
  </si>
  <si>
    <t>MIWANI</t>
  </si>
  <si>
    <t>KAMSWA SOUTH</t>
  </si>
  <si>
    <t>A006079727A</t>
  </si>
  <si>
    <t>DOROTHY ACHIENG ABONYO</t>
  </si>
  <si>
    <t>26/1/2022</t>
  </si>
  <si>
    <t>30/6/1997</t>
  </si>
  <si>
    <t>EMBU</t>
  </si>
  <si>
    <t>EMBU EAST</t>
  </si>
  <si>
    <t>RUNYENJES</t>
  </si>
  <si>
    <t>KAGAARI SOUTH WEST</t>
  </si>
  <si>
    <t>KAWANJARA</t>
  </si>
  <si>
    <t>203384181X</t>
  </si>
  <si>
    <t>MARY WAWIRA MURIGO</t>
  </si>
  <si>
    <t>BUNGOMA EAST</t>
  </si>
  <si>
    <t>WEBUYE</t>
  </si>
  <si>
    <t>SITIKHO</t>
  </si>
  <si>
    <t>A008895911F</t>
  </si>
  <si>
    <t xml:space="preserve"> JOEL OLUCHINA ASWA</t>
  </si>
  <si>
    <t>MUWA,</t>
  </si>
  <si>
    <t>CENTRAL ALEGO</t>
  </si>
  <si>
    <t>KOMOLO</t>
  </si>
  <si>
    <t>A009242245L</t>
  </si>
  <si>
    <t>MARIA AHOMO</t>
  </si>
  <si>
    <t>22/12/1989</t>
  </si>
  <si>
    <t>NYAHURURU</t>
  </si>
  <si>
    <t>MUTHANGA</t>
  </si>
  <si>
    <t>LESHAU</t>
  </si>
  <si>
    <t>MATHINGIRA</t>
  </si>
  <si>
    <t>A016318917U</t>
  </si>
  <si>
    <t>A005432439O</t>
  </si>
  <si>
    <t>DORCUS WANGARE</t>
  </si>
  <si>
    <t>22/6/1993</t>
  </si>
  <si>
    <t>EMUHATA</t>
  </si>
  <si>
    <t>BUNYORE EAST</t>
  </si>
  <si>
    <t>EBUNANGWE</t>
  </si>
  <si>
    <t>A006554046U</t>
  </si>
  <si>
    <t>BRIAN LUKASE</t>
  </si>
  <si>
    <t>EAST MIGWENA</t>
  </si>
  <si>
    <t>R0768249</t>
  </si>
  <si>
    <t>A002387730U</t>
  </si>
  <si>
    <t>EMMA ADHIAMBO ONYANGO</t>
  </si>
  <si>
    <t>IPR,KIWESO,MUWA,ANYUOLA</t>
  </si>
  <si>
    <t>15/10/1982</t>
  </si>
  <si>
    <t>GATONDO</t>
  </si>
  <si>
    <t>KIAMWANGI</t>
  </si>
  <si>
    <t>NEMBU</t>
  </si>
  <si>
    <t>A003932445W</t>
  </si>
  <si>
    <t>JAMES KARIUKI KINYANJUI</t>
  </si>
  <si>
    <t>EASTLEIGH</t>
  </si>
  <si>
    <t>A007139103I</t>
  </si>
  <si>
    <t>ZARA OYUGI OCHIENG</t>
  </si>
  <si>
    <t>16/12/2020</t>
  </si>
  <si>
    <t>KAJIADO WEST</t>
  </si>
  <si>
    <t>EWUWASO KEDONG</t>
  </si>
  <si>
    <t>KEEKONYOKIE WEST</t>
  </si>
  <si>
    <t>OLTEPESI</t>
  </si>
  <si>
    <t>A011734547W</t>
  </si>
  <si>
    <t>629-00205</t>
  </si>
  <si>
    <t>JENIFFER SIKINAH NTININI</t>
  </si>
  <si>
    <t>DAGORETI SOUTH</t>
  </si>
  <si>
    <t>KAWANGWARE</t>
  </si>
  <si>
    <t>202596258X</t>
  </si>
  <si>
    <t>A008114717E</t>
  </si>
  <si>
    <t>00100-00502</t>
  </si>
  <si>
    <t>GLORIA AKETCH KARIUKI</t>
  </si>
  <si>
    <t>KIANGEMI</t>
  </si>
  <si>
    <t>MUKOMONI</t>
  </si>
  <si>
    <t>A0013780956</t>
  </si>
  <si>
    <t>SYLVIA MERCY KEROBO ABERE</t>
  </si>
  <si>
    <t>17/4/1995</t>
  </si>
  <si>
    <t>KIDIO</t>
  </si>
  <si>
    <t>KAKOLA</t>
  </si>
  <si>
    <t>KADHIAMBO</t>
  </si>
  <si>
    <t>A009277138A</t>
  </si>
  <si>
    <t>JULIUS JUMA</t>
  </si>
  <si>
    <t>IPR, MUWA, NYUOLA</t>
  </si>
  <si>
    <t>20/10/1965</t>
  </si>
  <si>
    <t>NDHIWA</t>
  </si>
  <si>
    <t>NYARONGI</t>
  </si>
  <si>
    <t>KANYIEKELA NORTH</t>
  </si>
  <si>
    <t>OLASI</t>
  </si>
  <si>
    <t>R0309305</t>
  </si>
  <si>
    <t>A001186827Q</t>
  </si>
  <si>
    <t>MONICAH ATIENO KIWA</t>
  </si>
  <si>
    <t>MUWA, IPR, NYUOLA</t>
  </si>
  <si>
    <t>26/2/1993</t>
  </si>
  <si>
    <t>KAJIADO NORTH</t>
  </si>
  <si>
    <t>KANGAWA</t>
  </si>
  <si>
    <t>A00701641L</t>
  </si>
  <si>
    <t>233-00502</t>
  </si>
  <si>
    <t>BENSON MWAURA NDUNGU</t>
  </si>
  <si>
    <t>30/10/1974</t>
  </si>
  <si>
    <t>OL-KALAU</t>
  </si>
  <si>
    <t>KIERU</t>
  </si>
  <si>
    <t>R2516948</t>
  </si>
  <si>
    <t>A003432614C</t>
  </si>
  <si>
    <t>EMILY MUEMA</t>
  </si>
  <si>
    <t>26/9/1984</t>
  </si>
  <si>
    <t>TRANS-NZOIA</t>
  </si>
  <si>
    <t>TRANS-NZOIA WEST</t>
  </si>
  <si>
    <t>SABOTI</t>
  </si>
  <si>
    <t>A007044963U</t>
  </si>
  <si>
    <t>4229-30200</t>
  </si>
  <si>
    <t>CHRISTINE CHEPKWONY</t>
  </si>
  <si>
    <t>23/12/1966</t>
  </si>
  <si>
    <t>TIRIKI</t>
  </si>
  <si>
    <t>TIRIKI WEST</t>
  </si>
  <si>
    <t>CHEPKWEKWENI</t>
  </si>
  <si>
    <t>32907781X</t>
  </si>
  <si>
    <t>R0309464</t>
  </si>
  <si>
    <t>A00116840N</t>
  </si>
  <si>
    <t>RUTH KHALIBWA</t>
  </si>
  <si>
    <t>MUWA, KIWESO, IPR</t>
  </si>
  <si>
    <t>31/10/2017</t>
  </si>
  <si>
    <t>30/11/1969</t>
  </si>
  <si>
    <t>JEPKOYAI</t>
  </si>
  <si>
    <t>GISAMBAI</t>
  </si>
  <si>
    <t>GISAMBAE</t>
  </si>
  <si>
    <t>R0309866</t>
  </si>
  <si>
    <t>A001186717K</t>
  </si>
  <si>
    <t>JESSE OYUGI OCHILLO</t>
  </si>
  <si>
    <t>MUWA, IPR, KIWESO</t>
  </si>
  <si>
    <t xml:space="preserve">KAKAMEGA NORTH </t>
  </si>
  <si>
    <t>KABRAS</t>
  </si>
  <si>
    <t>KABRAS CENTRAL</t>
  </si>
  <si>
    <t>MWERA</t>
  </si>
  <si>
    <t>A0046386865</t>
  </si>
  <si>
    <t>SAKWA JOSEPH MURONGO</t>
  </si>
  <si>
    <t>UNCLE</t>
  </si>
  <si>
    <t>OSUANDA</t>
  </si>
  <si>
    <t>A015134557N</t>
  </si>
  <si>
    <t>CORNELIA OLUOCH</t>
  </si>
  <si>
    <t>22/5/2020</t>
  </si>
  <si>
    <t>MUNGOMA</t>
  </si>
  <si>
    <t>KISIENYA</t>
  </si>
  <si>
    <t>A007067741U</t>
  </si>
  <si>
    <t>694-50300</t>
  </si>
  <si>
    <t>TRUFOSA PETETWA MUHANA</t>
  </si>
  <si>
    <t>17/9/1985</t>
  </si>
  <si>
    <t>A005513597F</t>
  </si>
  <si>
    <t>TATIANA OMONDI</t>
  </si>
  <si>
    <t>IPR, MUWA, UTAFITI</t>
  </si>
  <si>
    <t>17/2/1975</t>
  </si>
  <si>
    <t>MOGOTIO</t>
  </si>
  <si>
    <t>CHEMOGOCH</t>
  </si>
  <si>
    <t>R2823756</t>
  </si>
  <si>
    <t>A004539125Y</t>
  </si>
  <si>
    <t>FAIT CHERAGAT KOSGEI</t>
  </si>
  <si>
    <t>IPR, MUWA, MUNYNYAWA</t>
  </si>
  <si>
    <t>NAROK SOUTH</t>
  </si>
  <si>
    <t>OLMOTIOK</t>
  </si>
  <si>
    <t>SOGOO</t>
  </si>
  <si>
    <t>NGARONI</t>
  </si>
  <si>
    <t>BETTY CHESINGE</t>
  </si>
  <si>
    <t>17/10/1998</t>
  </si>
  <si>
    <t>ALDAI</t>
  </si>
  <si>
    <t>CHEPKUMIA</t>
  </si>
  <si>
    <t>CHEPOITE</t>
  </si>
  <si>
    <t>A005569976X</t>
  </si>
  <si>
    <t>EZNAS TAPTEKER</t>
  </si>
  <si>
    <t>31/7/1980</t>
  </si>
  <si>
    <t>TIGANIA WESAT</t>
  </si>
  <si>
    <t>URINGU</t>
  </si>
  <si>
    <t>KAMAROO</t>
  </si>
  <si>
    <t>A002911501D</t>
  </si>
  <si>
    <t>597-00600</t>
  </si>
  <si>
    <t>PATIENCE KATHURE</t>
  </si>
  <si>
    <t>MUWA, CENTRAL, IPR</t>
  </si>
  <si>
    <t>LIMURU</t>
  </si>
  <si>
    <t>NGESHA</t>
  </si>
  <si>
    <t>KABUKU</t>
  </si>
  <si>
    <t>R0264057</t>
  </si>
  <si>
    <t>R001236547R</t>
  </si>
  <si>
    <t>FELISTER GATHONI</t>
  </si>
  <si>
    <t>RAMBIRA</t>
  </si>
  <si>
    <t>KARABONDI</t>
  </si>
  <si>
    <t>KITHIMANI</t>
  </si>
  <si>
    <t>MAVOLONI</t>
  </si>
  <si>
    <t>KISIIKI</t>
  </si>
  <si>
    <t>R0310887</t>
  </si>
  <si>
    <t>A002019029L</t>
  </si>
  <si>
    <t>FRANCISCA SYOMBUA</t>
  </si>
  <si>
    <t>MTONGWE</t>
  </si>
  <si>
    <t>VIJIWENI</t>
  </si>
  <si>
    <t>PERMANENT O-LEVEL789367920</t>
  </si>
  <si>
    <t>A003730861U</t>
  </si>
  <si>
    <t>MWANASHA MWINYI</t>
  </si>
  <si>
    <t>27/4/1974</t>
  </si>
  <si>
    <t>GITHUNGURI</t>
  </si>
  <si>
    <t>GATHUGU</t>
  </si>
  <si>
    <t>R2842434</t>
  </si>
  <si>
    <t>A003747629J</t>
  </si>
  <si>
    <t>0126-0232</t>
  </si>
  <si>
    <t>JULIA MUTHONI</t>
  </si>
  <si>
    <t>A005553360U</t>
  </si>
  <si>
    <t>156-01001</t>
  </si>
  <si>
    <t>MARGRET WANGUI CHEGE</t>
  </si>
  <si>
    <t>14/5/1998</t>
  </si>
  <si>
    <t>NANDI EAST</t>
  </si>
  <si>
    <t>NANDI HILLS</t>
  </si>
  <si>
    <t>CHEBARUS</t>
  </si>
  <si>
    <t>SINENDET</t>
  </si>
  <si>
    <t>A011301049X</t>
  </si>
  <si>
    <t>SERAPHINE MBERIA</t>
  </si>
  <si>
    <t>22/3/1977</t>
  </si>
  <si>
    <t>UPPER MATASIA</t>
  </si>
  <si>
    <t>R2190891</t>
  </si>
  <si>
    <t>A004401218V</t>
  </si>
  <si>
    <t>JONH EDWARD MBURU</t>
  </si>
  <si>
    <t>NYATIKE</t>
  </si>
  <si>
    <t>KALER</t>
  </si>
  <si>
    <t>EAST KADEM</t>
  </si>
  <si>
    <t>NYANDAGO</t>
  </si>
  <si>
    <t>A006611106C</t>
  </si>
  <si>
    <t>BECKLINE AKOTH NYAPALA</t>
  </si>
  <si>
    <t>25/5/1981</t>
  </si>
  <si>
    <t>GANJONI</t>
  </si>
  <si>
    <t>R1458308</t>
  </si>
  <si>
    <t>A003739189T</t>
  </si>
  <si>
    <t>ABDALLA SAID ABDALLA</t>
  </si>
  <si>
    <t xml:space="preserve">MANDERA </t>
  </si>
  <si>
    <t>MANDERA WEST</t>
  </si>
  <si>
    <t>DANDU</t>
  </si>
  <si>
    <t>BURDURAS EAST</t>
  </si>
  <si>
    <t>A016753353Z</t>
  </si>
  <si>
    <t>0-20117</t>
  </si>
  <si>
    <t>EDIN ABDI</t>
  </si>
  <si>
    <t>13/11/19087</t>
  </si>
  <si>
    <t>SOMALIA</t>
  </si>
  <si>
    <t>MOGADISHU</t>
  </si>
  <si>
    <t>LAVINGTON</t>
  </si>
  <si>
    <t>A011738627D</t>
  </si>
  <si>
    <t>MOHAMMED AHMED ABDULLE</t>
  </si>
  <si>
    <t>KIRINYAGA</t>
  </si>
  <si>
    <t>MWEA WEST</t>
  </si>
  <si>
    <t>THIBA</t>
  </si>
  <si>
    <t>NGUKA</t>
  </si>
  <si>
    <t>R0311814</t>
  </si>
  <si>
    <t>A001187071Q</t>
  </si>
  <si>
    <t>VERONICAH NJOKI</t>
  </si>
  <si>
    <t>GESIMA</t>
  </si>
  <si>
    <t>NYAMAKOROTO</t>
  </si>
  <si>
    <t>R0928436</t>
  </si>
  <si>
    <t>A002870273X</t>
  </si>
  <si>
    <t>EDWINE BOSIRE ONDIMBA</t>
  </si>
  <si>
    <t>IPR, MUNYANYAWA, KIWESO,MUWA</t>
  </si>
  <si>
    <t>17/08/1994</t>
  </si>
  <si>
    <t>MOLO</t>
  </si>
  <si>
    <t>KAMARA</t>
  </si>
  <si>
    <t>MAU SUMMIT</t>
  </si>
  <si>
    <t>SARAMBEI</t>
  </si>
  <si>
    <t>A009011895R</t>
  </si>
  <si>
    <t>KELVINE MUTAI</t>
  </si>
  <si>
    <t>SUBA NORTH</t>
  </si>
  <si>
    <t>MBITA</t>
  </si>
  <si>
    <t>WAHONDO</t>
  </si>
  <si>
    <t>A005916137D</t>
  </si>
  <si>
    <t>LAURA ADHIAMBO</t>
  </si>
  <si>
    <t>ANYUOLA, IPR, MUWA</t>
  </si>
  <si>
    <t>JUSTUS NYARIKI MASIRA</t>
  </si>
  <si>
    <t>NYAMAIA</t>
  </si>
  <si>
    <t>KEERA</t>
  </si>
  <si>
    <t>TIMI</t>
  </si>
  <si>
    <t>R1864692</t>
  </si>
  <si>
    <t>VERONICAH KERUBO RIECHI</t>
  </si>
  <si>
    <t>IMENTI CENTRAL</t>
  </si>
  <si>
    <t>ABOTHUGUCHI WEST</t>
  </si>
  <si>
    <t>KATHERI</t>
  </si>
  <si>
    <t>R2235064</t>
  </si>
  <si>
    <t>A004058753Y</t>
  </si>
  <si>
    <t>ADRIAN GITONGA KIRIMI</t>
  </si>
  <si>
    <t>KILIFI NORTH</t>
  </si>
  <si>
    <t>DABASO</t>
  </si>
  <si>
    <t>GEDE</t>
  </si>
  <si>
    <t>R0312393</t>
  </si>
  <si>
    <t>A001187879G</t>
  </si>
  <si>
    <t>CHRISTNE KANYI NJOKI</t>
  </si>
  <si>
    <t>IPR,CENTRAL,MUWA</t>
  </si>
  <si>
    <t>CHERENGANY</t>
  </si>
  <si>
    <t>MAKUTANO</t>
  </si>
  <si>
    <t>BIRIBIRIET</t>
  </si>
  <si>
    <t>A003340337E</t>
  </si>
  <si>
    <t>BILHA M. NGUGI</t>
  </si>
  <si>
    <t>IPR,MUWA,MUNYANYAWA</t>
  </si>
  <si>
    <t>WAJIR NORTH</t>
  </si>
  <si>
    <t>GURAR</t>
  </si>
  <si>
    <t>DANABA</t>
  </si>
  <si>
    <t>A013340773N</t>
  </si>
  <si>
    <t>ABDI IBRAHIM</t>
  </si>
  <si>
    <t>28/3/1969</t>
  </si>
  <si>
    <t>GEM</t>
  </si>
  <si>
    <t>YALA</t>
  </si>
  <si>
    <t>EAST GEM</t>
  </si>
  <si>
    <t>RAMULA</t>
  </si>
  <si>
    <t>R1901571</t>
  </si>
  <si>
    <t>A0015691571</t>
  </si>
  <si>
    <t>CHRISTINE ADHIAMBO LANDO</t>
  </si>
  <si>
    <t>MUWA,KIWESO,IPR,ANYUOLA</t>
  </si>
  <si>
    <t>29/9/1989</t>
  </si>
  <si>
    <t>URANGA</t>
  </si>
  <si>
    <t>WEST ALEGO</t>
  </si>
  <si>
    <t>KODIERE</t>
  </si>
  <si>
    <t>A005069146V</t>
  </si>
  <si>
    <t>PERIS WARUE KAVITA</t>
  </si>
  <si>
    <t>27/4/1960</t>
  </si>
  <si>
    <t>ZIZIMO</t>
  </si>
  <si>
    <t>R0309661</t>
  </si>
  <si>
    <t>AOO0107561K</t>
  </si>
  <si>
    <t>RITA PENDO CHAI</t>
  </si>
  <si>
    <t>DR.KIMANI CLARE NJOKI</t>
  </si>
  <si>
    <t>A004440440D</t>
  </si>
  <si>
    <t>60-40401</t>
  </si>
  <si>
    <t>ANDREW ADERA AYANY</t>
  </si>
  <si>
    <t xml:space="preserve">SPOUSE </t>
  </si>
  <si>
    <t>28/11/1984</t>
  </si>
  <si>
    <t>WAGAI</t>
  </si>
  <si>
    <t>GEM SOUTH</t>
  </si>
  <si>
    <t>KOMUOK</t>
  </si>
  <si>
    <t>KK,KUSCCO</t>
  </si>
  <si>
    <t>LABORATORY TECHNI I</t>
  </si>
  <si>
    <t>21/8/1990</t>
  </si>
  <si>
    <t>17/3/1965</t>
  </si>
  <si>
    <t>KISA CENTRAL</t>
  </si>
  <si>
    <t>ESHIRALI</t>
  </si>
  <si>
    <t>R0311325</t>
  </si>
  <si>
    <t>A001186864X</t>
  </si>
  <si>
    <t>EMMANUEL ASHIRA</t>
  </si>
  <si>
    <t>KK,KK HOUSING</t>
  </si>
  <si>
    <t>IPR,KIWESO,MUWA,IPR FITNESS CLUB</t>
  </si>
  <si>
    <t>KANGEMI</t>
  </si>
  <si>
    <t>#076006913</t>
  </si>
  <si>
    <t>R0263884</t>
  </si>
  <si>
    <t>A002509922Y</t>
  </si>
  <si>
    <t>47396-00100</t>
  </si>
  <si>
    <t>DAVID KARANJA NJENGA</t>
  </si>
  <si>
    <t>IPR,MUWA,CENTRAL</t>
  </si>
  <si>
    <t>18/4/1976</t>
  </si>
  <si>
    <t>EKERENYO</t>
  </si>
  <si>
    <t>BOKURATI</t>
  </si>
  <si>
    <t>A003780303I</t>
  </si>
  <si>
    <t>639-00242</t>
  </si>
  <si>
    <t>CAROLINE NYANGANYI ORINA</t>
  </si>
  <si>
    <t>O- LEVEL</t>
  </si>
  <si>
    <t>25/5/1995</t>
  </si>
  <si>
    <t>TETU WEST</t>
  </si>
  <si>
    <t xml:space="preserve">TETU </t>
  </si>
  <si>
    <t>KIRURUMI</t>
  </si>
  <si>
    <t>R0312301</t>
  </si>
  <si>
    <t>ROSE NJOKI MUKUNDI</t>
  </si>
  <si>
    <t>COB NO.</t>
  </si>
  <si>
    <t>BUURI</t>
  </si>
  <si>
    <t>MURINYA</t>
  </si>
  <si>
    <t>A007350062J</t>
  </si>
  <si>
    <t>ALEXANDER THIAINE KAMENJU</t>
  </si>
  <si>
    <t>HUABAND</t>
  </si>
  <si>
    <t>14/4/2020</t>
  </si>
  <si>
    <t>20/9/1989</t>
  </si>
  <si>
    <t>NYANDARUA CENTRAL</t>
  </si>
  <si>
    <t>MUNYEKI</t>
  </si>
  <si>
    <t>A0061315970</t>
  </si>
  <si>
    <t>MUTILDA TANDE GACHEGE</t>
  </si>
  <si>
    <t>21/11/1982</t>
  </si>
  <si>
    <t>75700881X</t>
  </si>
  <si>
    <t>R1725015</t>
  </si>
  <si>
    <t>A003475995N</t>
  </si>
  <si>
    <t>ABRAHAM AGUMBA</t>
  </si>
  <si>
    <t>MUWA, IPR, ANYUOLA</t>
  </si>
  <si>
    <t>EMBUL-BUL</t>
  </si>
  <si>
    <t>KAJIADO CENTRAL</t>
  </si>
  <si>
    <t>ENKORIKA</t>
  </si>
  <si>
    <t>31/8/2006</t>
  </si>
  <si>
    <t>A004622043K</t>
  </si>
  <si>
    <t>MONICAH NJERI KAHUHO</t>
  </si>
  <si>
    <t>LORETA ANYANJE</t>
  </si>
  <si>
    <t>NELLY SILAU</t>
  </si>
  <si>
    <t>HUMAN RESOURCE OFFICER 111</t>
  </si>
  <si>
    <t>PAULINE MURANDITSI OTOLI</t>
  </si>
  <si>
    <t>MOHAMEDNOOR ABDUBA</t>
  </si>
  <si>
    <t>WANJOHI ELEPHAS M.</t>
  </si>
  <si>
    <t>COUNTY C</t>
  </si>
  <si>
    <t>29/1/1988</t>
  </si>
  <si>
    <t>KILIMANI</t>
  </si>
  <si>
    <t>MUTHANGARI</t>
  </si>
  <si>
    <t>A006087478H</t>
  </si>
  <si>
    <t>3734-12</t>
  </si>
  <si>
    <t>SAKINA RAMADHANI JUMA</t>
  </si>
  <si>
    <t>NORTH KANYIKELA</t>
  </si>
  <si>
    <t>KANYIKELA</t>
  </si>
  <si>
    <t>A003044621B</t>
  </si>
  <si>
    <t>KK,MUWA</t>
  </si>
  <si>
    <t>IPR,ANYUOLA</t>
  </si>
  <si>
    <t>RACHEL AWUOR</t>
  </si>
  <si>
    <t>20/6/2018</t>
  </si>
  <si>
    <t>NYANDARUA SOUTH</t>
  </si>
  <si>
    <t>MAGUMU</t>
  </si>
  <si>
    <t>A006186646W</t>
  </si>
  <si>
    <t>EDWARD MWANGI IRUNGU</t>
  </si>
  <si>
    <t>FARTHER</t>
  </si>
  <si>
    <t>ONGONDO N. JUSTIN</t>
  </si>
  <si>
    <t>LANG'AT NICHOLAS</t>
  </si>
  <si>
    <t>17/4/1969</t>
  </si>
  <si>
    <t>NYATHUNA</t>
  </si>
  <si>
    <t>GATHIGA</t>
  </si>
  <si>
    <t>R0844226</t>
  </si>
  <si>
    <t>A002275051N</t>
  </si>
  <si>
    <t>KARONGO KINYANJUI</t>
  </si>
  <si>
    <t>KARONGO STEPHEN K</t>
  </si>
  <si>
    <t>Male</t>
  </si>
  <si>
    <t>Female</t>
  </si>
  <si>
    <t>MANENE PATRICK KIMATHI</t>
  </si>
  <si>
    <t>A007033551J</t>
  </si>
  <si>
    <t>IKOLOMANI NORTH</t>
  </si>
  <si>
    <t>KAKAMEGA SOUTH</t>
  </si>
  <si>
    <t>SHIMANYIRO</t>
  </si>
  <si>
    <t>PHANICE MATIOLI</t>
  </si>
  <si>
    <t>15/7/1984</t>
  </si>
  <si>
    <t>CENTRAL MOYALE</t>
  </si>
  <si>
    <t>15/7/2020</t>
  </si>
  <si>
    <t>20/9/2005</t>
  </si>
  <si>
    <t>20/4/1968</t>
  </si>
  <si>
    <t>A002503870T</t>
  </si>
  <si>
    <t>ISAAC NDUKA KENGO</t>
  </si>
  <si>
    <t>A007297285K</t>
  </si>
  <si>
    <t>A004492795G</t>
  </si>
  <si>
    <t>A005599037I</t>
  </si>
  <si>
    <t>A003795673Z</t>
  </si>
  <si>
    <t>A001186956Y</t>
  </si>
  <si>
    <t>A00199285I</t>
  </si>
  <si>
    <t>A003022064C</t>
  </si>
  <si>
    <t>FATUMA WOCHE GALGALO</t>
  </si>
  <si>
    <t xml:space="preserve"> SAMSON OWANE WANGULU</t>
  </si>
  <si>
    <t>SAMBURU</t>
  </si>
  <si>
    <t>SAMBURU WEST</t>
  </si>
  <si>
    <t>LORROKI</t>
  </si>
  <si>
    <t>LODOKEJEK</t>
  </si>
  <si>
    <t>LODOKOJEK</t>
  </si>
  <si>
    <t>71600092X</t>
  </si>
  <si>
    <t>R0346378</t>
  </si>
  <si>
    <t>A004075469Z</t>
  </si>
  <si>
    <t>PENINA LENTUTA</t>
  </si>
  <si>
    <t>HALKANO MOLU GURACHO</t>
  </si>
  <si>
    <t>A004850902N</t>
  </si>
  <si>
    <t>MOTTI HALAKE</t>
  </si>
  <si>
    <t>23/12/1996</t>
  </si>
  <si>
    <t>KIPCHIKINEN</t>
  </si>
  <si>
    <t>AKUNGA TABITHA NYABOKE</t>
  </si>
  <si>
    <t>SALLA DAUDI MOHAMED</t>
  </si>
  <si>
    <t>28/2/1992</t>
  </si>
  <si>
    <t>SAKUU</t>
  </si>
  <si>
    <t>DAKA BARICHA</t>
  </si>
  <si>
    <t>A001193944L</t>
  </si>
  <si>
    <t>JAMILA DAIGO</t>
  </si>
  <si>
    <t>FELLOWSHIPDEGREE</t>
  </si>
  <si>
    <t>21/10/1987</t>
  </si>
  <si>
    <t>NORTH EAST KANOWA</t>
  </si>
  <si>
    <t>WANGAYA II</t>
  </si>
  <si>
    <t>R0312791</t>
  </si>
  <si>
    <t>A0011976285</t>
  </si>
  <si>
    <t>CAREN AKINYI AOKO</t>
  </si>
  <si>
    <t>COLINA AWOUR OWINO</t>
  </si>
  <si>
    <t>14/02/1991</t>
  </si>
  <si>
    <t>SOUTH B</t>
  </si>
  <si>
    <t>A005605134R</t>
  </si>
  <si>
    <t>00400-70920</t>
  </si>
  <si>
    <t>NICHOLAS BOR</t>
  </si>
  <si>
    <t>18/8/2021</t>
  </si>
  <si>
    <t>31/12/1989</t>
  </si>
  <si>
    <t>KITUI WEST</t>
  </si>
  <si>
    <t>MUTONGUNI</t>
  </si>
  <si>
    <t>KAIMU</t>
  </si>
  <si>
    <t>24-90203</t>
  </si>
  <si>
    <t>BENJAMIN MWENDWA</t>
  </si>
  <si>
    <t>202096239X</t>
  </si>
  <si>
    <t>A005436721R</t>
  </si>
  <si>
    <t>KIBWEZI-EAST</t>
  </si>
  <si>
    <t>MTITO-ANDEI</t>
  </si>
  <si>
    <t>KATHEKANI</t>
  </si>
  <si>
    <t>R1982880</t>
  </si>
  <si>
    <t>A003214279S</t>
  </si>
  <si>
    <t>JENIFFER KATUMBI CHARLES</t>
  </si>
  <si>
    <t>DAVID CHIVATSI CHAI</t>
  </si>
  <si>
    <t>ICT - ASSISTANT II</t>
  </si>
  <si>
    <t>18/02/1993</t>
  </si>
  <si>
    <t>203791534X</t>
  </si>
  <si>
    <t>A017745285M</t>
  </si>
  <si>
    <t>KIWESO</t>
  </si>
  <si>
    <t>SOUTH IMENTI</t>
  </si>
  <si>
    <t>NKUENE</t>
  </si>
  <si>
    <t>KIGANE</t>
  </si>
  <si>
    <t>CAROLINE .K. ARIMI</t>
  </si>
  <si>
    <t>NANJALA  DINAH  WAFULA</t>
  </si>
  <si>
    <t>16/12/21</t>
  </si>
  <si>
    <t>19/09/1980</t>
  </si>
  <si>
    <t>RACHUONYO SOUTH</t>
  </si>
  <si>
    <t>KAKELO DUDI</t>
  </si>
  <si>
    <t>A004364936U</t>
  </si>
  <si>
    <t>CHURCHIL MUNDIA AKALA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</si>
</sst>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##0.;###0."/>
    <numFmt numFmtId="165" formatCode="###0;###0"/>
  </numFmts>
  <fonts count="9" x14ac:knownFonts="1">
    <font>
      <sz val="10"/>
      <color rgb="FF000000"/>
      <name val="Times New Roman"/>
      <charset val="204"/>
    </font>
    <font>
      <sz val="11"/>
      <color rgb="FF000000"/>
      <name val="Times New Roman"/>
      <family val="1"/>
    </font>
    <font>
      <sz val="8"/>
      <color rgb="FF000000"/>
      <name val="Times New Roman"/>
      <family val="1"/>
    </font>
    <font>
      <b/>
      <sz val="8"/>
      <name val="Times New Roman"/>
      <family val="1"/>
    </font>
    <font>
      <sz val="8"/>
      <name val="Times New Roman"/>
      <family val="1"/>
    </font>
    <font>
      <sz val="11"/>
      <name val="Times New Roman"/>
      <family val="1"/>
    </font>
    <font>
      <b/>
      <sz val="11"/>
      <name val="Times New Roman"/>
      <family val="1"/>
    </font>
    <font>
      <b/>
      <sz val="8"/>
      <color rgb="FF000000"/>
      <name val="Times New Roman"/>
      <family val="1"/>
    </font>
    <font>
      <b/>
      <sz val="11"/>
      <color rgb="FF000000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C0C0C0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 applyFill="1" applyBorder="1" applyAlignment="1">
      <alignment horizontal="left" vertical="top"/>
    </xf>
    <xf numFmtId="0" fontId="1" fillId="0" borderId="1" xfId="0" applyFont="1" applyFill="1" applyBorder="1" applyAlignment="1">
      <alignment horizontal="left" vertical="top"/>
    </xf>
    <xf numFmtId="164" fontId="2" fillId="0" borderId="1" xfId="0" applyNumberFormat="1" applyFont="1" applyFill="1" applyBorder="1" applyAlignment="1">
      <alignment horizontal="center" vertical="top" wrapText="1"/>
    </xf>
    <xf numFmtId="165" fontId="2" fillId="0" borderId="1" xfId="0" applyNumberFormat="1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/>
    </xf>
    <xf numFmtId="0" fontId="5" fillId="2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2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2" fillId="0" borderId="1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2" fillId="0" borderId="2" xfId="0" applyFont="1" applyFill="1" applyBorder="1" applyAlignment="1">
      <alignment horizontal="left" vertical="top"/>
    </xf>
    <xf numFmtId="0" fontId="2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7" fillId="0" borderId="1" xfId="0" applyFont="1" applyFill="1" applyBorder="1" applyAlignment="1">
      <alignment horizontal="left" vertical="top"/>
    </xf>
    <xf numFmtId="0" fontId="8" fillId="0" borderId="1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2" fillId="0" borderId="0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  <xf numFmtId="0" fontId="1" fillId="0" borderId="1" xfId="0" applyFont="1" applyFill="1" applyBorder="1" applyAlignment="1">
      <alignment horizontal="center" vertical="top"/>
    </xf>
    <xf numFmtId="0" fontId="1" fillId="0" borderId="1" xfId="0" applyFont="1" applyFill="1" applyBorder="1" applyAlignment="1">
      <alignment horizontal="center" vertical="center" wrapText="1"/>
    </xf>
    <xf numFmtId="0" fontId="1" fillId="0" borderId="1" xfId="0" applyFont="1" applyFill="1" applyBorder="1" applyAlignment="1">
      <alignment horizontal="left" vertical="top" wrapText="1"/>
    </xf>
    <xf numFmtId="14" fontId="1" fillId="0" borderId="1" xfId="0" applyNumberFormat="1" applyFont="1" applyFill="1" applyBorder="1" applyAlignment="1">
      <alignment horizontal="left" vertical="top"/>
    </xf>
    <xf numFmtId="3" fontId="1" fillId="0" borderId="1" xfId="0" applyNumberFormat="1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2" borderId="1" xfId="0" applyFont="1" applyFill="1" applyBorder="1" applyAlignment="1">
      <alignment horizontal="left" vertical="top" wrapText="1"/>
    </xf>
    <xf numFmtId="0" fontId="1" fillId="4" borderId="1" xfId="0" applyFont="1" applyFill="1" applyBorder="1" applyAlignment="1">
      <alignment horizontal="left" vertical="top"/>
    </xf>
    <xf numFmtId="0" fontId="1" fillId="0" borderId="1" xfId="0" applyNumberFormat="1" applyFont="1" applyFill="1" applyBorder="1" applyAlignment="1">
      <alignment horizontal="left" vertical="top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8" fillId="0" borderId="1" xfId="0" applyNumberFormat="1" applyFont="1" applyFill="1" applyBorder="1" applyAlignment="1">
      <alignment horizontal="left" vertical="top"/>
    </xf>
    <xf numFmtId="0" fontId="0" fillId="0" borderId="0" xfId="0" applyFill="1" applyProtection="1">
      <protection locked="0"/>
    </xf>
    <xf numFmtId="0" fontId="4" fillId="0" borderId="2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 wrapText="1"/>
    </xf>
    <xf numFmtId="0" fontId="4" fillId="0" borderId="3" xfId="0" applyFont="1" applyFill="1" applyBorder="1" applyAlignment="1">
      <alignment horizontal="left" vertical="top" wrapText="1"/>
    </xf>
    <xf numFmtId="0" fontId="6" fillId="3" borderId="2" xfId="0" applyFont="1" applyFill="1" applyBorder="1" applyAlignment="1">
      <alignment horizontal="left" vertical="top" wrapText="1"/>
    </xf>
    <xf numFmtId="0" fontId="6" fillId="3" borderId="3" xfId="0" applyFont="1" applyFill="1" applyBorder="1" applyAlignment="1">
      <alignment horizontal="left" vertical="top" wrapText="1"/>
    </xf>
    <xf numFmtId="0" fontId="6" fillId="0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4" fillId="0" borderId="2" xfId="0" applyFont="1" applyFill="1" applyBorder="1" applyAlignment="1">
      <alignment horizontal="left" vertical="top"/>
    </xf>
    <xf numFmtId="0" fontId="4" fillId="0" borderId="3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183"/>
  <sheetViews>
    <sheetView tabSelected="1" zoomScale="80" zoomScaleNormal="80" workbookViewId="0">
      <pane ySplit="2" topLeftCell="A102" activePane="bottomLeft" state="frozen"/>
      <selection pane="bottomLeft" activeCell="Z38" sqref="Z38"/>
    </sheetView>
  </sheetViews>
  <sheetFormatPr defaultColWidth="9.33203125" defaultRowHeight="15" x14ac:dyDescent="0.2"/>
  <cols>
    <col min="1" max="1" width="5.6640625" style="1" customWidth="1"/>
    <col min="2" max="2" width="10" style="1" customWidth="1"/>
    <col min="3" max="3" width="32.6640625" style="1" customWidth="1"/>
    <col min="4" max="4" width="27" style="1" customWidth="1"/>
    <col min="5" max="5" width="35" style="1" customWidth="1"/>
    <col min="6" max="6" width="10" style="1" hidden="1" customWidth="1"/>
    <col min="7" max="7" width="5" style="1" customWidth="1"/>
    <col min="8" max="8" width="9.33203125" style="1"/>
    <col min="9" max="9" width="11.6640625" style="1" bestFit="1" customWidth="1"/>
    <col min="10" max="10" width="12.33203125" style="1" customWidth="1"/>
    <col min="11" max="11" width="13.1640625" style="1" customWidth="1"/>
    <col min="12" max="12" width="13.5" style="1" customWidth="1"/>
    <col min="13" max="13" width="11.5" style="1" customWidth="1"/>
    <col min="14" max="14" width="20.1640625" style="1" customWidth="1"/>
    <col min="15" max="15" width="14.1640625" style="63" customWidth="1"/>
    <col min="16" max="17" width="21.33203125" style="1" customWidth="1"/>
    <col min="18" max="18" width="22.83203125" style="1" customWidth="1"/>
    <col min="19" max="19" width="17" style="1" customWidth="1"/>
    <col min="20" max="20" width="14.5" style="1" customWidth="1"/>
    <col min="21" max="21" width="12.33203125" style="1" customWidth="1"/>
    <col min="22" max="22" width="14.1640625" style="1" bestFit="1" customWidth="1"/>
    <col min="23" max="23" width="15.33203125" style="1" customWidth="1"/>
    <col min="24" max="24" width="17.1640625" style="1" customWidth="1"/>
    <col min="25" max="25" width="13.83203125" style="1" customWidth="1"/>
    <col min="26" max="26" width="40.6640625" style="1" customWidth="1"/>
    <col min="27" max="27" width="23" style="1" customWidth="1"/>
    <col min="28" max="28" width="19.6640625" style="1" customWidth="1"/>
    <col min="29" max="29" width="20.1640625" style="1" customWidth="1"/>
    <col min="30" max="30" width="47" style="1" customWidth="1"/>
    <col min="31" max="16384" width="9.33203125" style="1"/>
  </cols>
  <sheetData>
    <row r="1" spans="1:30" ht="21" customHeight="1" x14ac:dyDescent="0.2">
      <c r="A1" s="73" t="s">
        <v>272</v>
      </c>
      <c r="B1" s="74"/>
      <c r="C1" s="74"/>
      <c r="D1" s="74"/>
      <c r="E1" s="74"/>
      <c r="F1" s="74"/>
      <c r="G1" s="45"/>
      <c r="J1" s="53"/>
    </row>
    <row r="2" spans="1:30" s="41" customFormat="1" ht="15.95" customHeight="1" x14ac:dyDescent="0.2">
      <c r="A2" s="61" t="s">
        <v>9</v>
      </c>
      <c r="B2" s="61" t="s">
        <v>10</v>
      </c>
      <c r="C2" s="61" t="s">
        <v>11</v>
      </c>
      <c r="D2" s="61" t="s">
        <v>12</v>
      </c>
      <c r="E2" s="71" t="s">
        <v>13</v>
      </c>
      <c r="F2" s="72"/>
      <c r="G2" s="60" t="s">
        <v>261</v>
      </c>
      <c r="H2" s="41" t="s">
        <v>257</v>
      </c>
      <c r="I2" s="41" t="s">
        <v>273</v>
      </c>
      <c r="J2" s="41" t="s">
        <v>291</v>
      </c>
      <c r="K2" s="41" t="s">
        <v>274</v>
      </c>
      <c r="L2" s="41" t="s">
        <v>1281</v>
      </c>
      <c r="M2" s="41" t="s">
        <v>289</v>
      </c>
      <c r="N2" s="41" t="s">
        <v>288</v>
      </c>
      <c r="O2" s="66" t="s">
        <v>1311</v>
      </c>
      <c r="P2" s="41" t="s">
        <v>287</v>
      </c>
      <c r="Q2" s="41" t="s">
        <v>275</v>
      </c>
      <c r="R2" s="41" t="s">
        <v>276</v>
      </c>
      <c r="S2" s="41" t="s">
        <v>314</v>
      </c>
      <c r="T2" s="41" t="s">
        <v>286</v>
      </c>
      <c r="U2" s="41" t="s">
        <v>290</v>
      </c>
      <c r="V2" s="41" t="s">
        <v>277</v>
      </c>
      <c r="W2" s="41" t="s">
        <v>278</v>
      </c>
      <c r="X2" s="41" t="s">
        <v>279</v>
      </c>
      <c r="Y2" s="41" t="s">
        <v>280</v>
      </c>
      <c r="Z2" s="41" t="s">
        <v>281</v>
      </c>
      <c r="AA2" s="41" t="s">
        <v>282</v>
      </c>
      <c r="AB2" s="41" t="s">
        <v>283</v>
      </c>
      <c r="AC2" s="41" t="s">
        <v>284</v>
      </c>
      <c r="AD2" s="41" t="s">
        <v>285</v>
      </c>
    </row>
    <row r="3" spans="1:30" ht="15.75" customHeight="1" x14ac:dyDescent="0.2">
      <c r="A3" s="5">
        <v>1</v>
      </c>
      <c r="B3" s="3">
        <v>172007</v>
      </c>
      <c r="C3" s="6" t="s">
        <v>255</v>
      </c>
      <c r="D3" s="6" t="s">
        <v>3</v>
      </c>
      <c r="E3" s="69" t="s">
        <v>14</v>
      </c>
      <c r="F3" s="70"/>
      <c r="G3" s="44">
        <v>2</v>
      </c>
      <c r="H3" s="1" t="s">
        <v>258</v>
      </c>
      <c r="I3" s="1">
        <v>3731123</v>
      </c>
      <c r="J3" s="56">
        <v>32908</v>
      </c>
      <c r="K3" s="1">
        <v>722530334</v>
      </c>
      <c r="L3" s="1">
        <v>293210</v>
      </c>
      <c r="M3" s="56">
        <v>23654</v>
      </c>
      <c r="N3" s="1" t="s">
        <v>338</v>
      </c>
      <c r="O3" s="63">
        <v>19</v>
      </c>
      <c r="P3" s="1" t="s">
        <v>337</v>
      </c>
      <c r="Q3" s="1" t="s">
        <v>336</v>
      </c>
      <c r="R3" s="1" t="s">
        <v>335</v>
      </c>
      <c r="S3" s="1" t="s">
        <v>334</v>
      </c>
      <c r="T3" s="1" t="s">
        <v>299</v>
      </c>
      <c r="U3" s="1" t="s">
        <v>333</v>
      </c>
      <c r="V3" s="1">
        <v>994570627</v>
      </c>
      <c r="W3" s="1">
        <v>310881</v>
      </c>
      <c r="X3" s="1" t="s">
        <v>332</v>
      </c>
      <c r="Y3" s="1" t="s">
        <v>331</v>
      </c>
      <c r="Z3" s="1" t="s">
        <v>330</v>
      </c>
      <c r="AA3" s="1">
        <v>722762554</v>
      </c>
      <c r="AB3" s="1" t="s">
        <v>329</v>
      </c>
      <c r="AC3" s="1" t="s">
        <v>304</v>
      </c>
      <c r="AD3" s="1" t="s">
        <v>328</v>
      </c>
    </row>
    <row r="4" spans="1:30" ht="22.5" customHeight="1" x14ac:dyDescent="0.2">
      <c r="A4" s="5">
        <v>2</v>
      </c>
      <c r="B4" s="3">
        <v>143032</v>
      </c>
      <c r="C4" s="6" t="s">
        <v>15</v>
      </c>
      <c r="D4" s="6" t="s">
        <v>16</v>
      </c>
      <c r="E4" s="69" t="s">
        <v>151</v>
      </c>
      <c r="F4" s="70"/>
      <c r="G4" s="44">
        <v>4</v>
      </c>
      <c r="H4" s="1" t="s">
        <v>259</v>
      </c>
      <c r="I4" s="1">
        <v>20143022</v>
      </c>
      <c r="J4" s="56">
        <v>39088</v>
      </c>
      <c r="K4" s="1">
        <v>722387137</v>
      </c>
      <c r="M4" s="56">
        <v>28491</v>
      </c>
      <c r="N4" s="1" t="s">
        <v>315</v>
      </c>
      <c r="O4" s="63">
        <v>22</v>
      </c>
      <c r="P4" s="1" t="s">
        <v>316</v>
      </c>
      <c r="Q4" s="1" t="s">
        <v>316</v>
      </c>
      <c r="R4" s="1" t="s">
        <v>317</v>
      </c>
      <c r="S4" s="1" t="s">
        <v>318</v>
      </c>
      <c r="T4" s="1" t="s">
        <v>299</v>
      </c>
      <c r="U4" s="1" t="s">
        <v>319</v>
      </c>
      <c r="V4" s="1" t="s">
        <v>320</v>
      </c>
      <c r="W4" s="1" t="s">
        <v>322</v>
      </c>
      <c r="X4" s="1" t="s">
        <v>321</v>
      </c>
      <c r="Y4" s="1" t="s">
        <v>323</v>
      </c>
      <c r="Z4" s="1" t="s">
        <v>324</v>
      </c>
      <c r="AA4" s="1">
        <v>720762510</v>
      </c>
      <c r="AB4" s="1" t="s">
        <v>325</v>
      </c>
      <c r="AC4" s="1" t="s">
        <v>326</v>
      </c>
      <c r="AD4" s="1" t="s">
        <v>327</v>
      </c>
    </row>
    <row r="5" spans="1:30" ht="18" customHeight="1" x14ac:dyDescent="0.2">
      <c r="A5" s="5">
        <v>3</v>
      </c>
      <c r="B5" s="3">
        <v>146015</v>
      </c>
      <c r="C5" s="6" t="s">
        <v>2</v>
      </c>
      <c r="D5" s="6" t="s">
        <v>3</v>
      </c>
      <c r="E5" s="75" t="s">
        <v>4</v>
      </c>
      <c r="F5" s="76"/>
      <c r="G5" s="46">
        <v>8</v>
      </c>
      <c r="H5" s="1" t="s">
        <v>259</v>
      </c>
      <c r="I5" s="1">
        <v>12701644</v>
      </c>
      <c r="J5" s="56">
        <v>36167</v>
      </c>
      <c r="K5" s="1">
        <v>722932653</v>
      </c>
      <c r="M5" s="1" t="s">
        <v>339</v>
      </c>
      <c r="N5" s="1" t="s">
        <v>660</v>
      </c>
      <c r="O5" s="63">
        <v>21</v>
      </c>
      <c r="P5" s="1" t="s">
        <v>340</v>
      </c>
      <c r="Q5" s="1" t="s">
        <v>341</v>
      </c>
      <c r="R5" s="1" t="s">
        <v>342</v>
      </c>
      <c r="S5" s="1" t="s">
        <v>341</v>
      </c>
      <c r="T5" s="1" t="s">
        <v>299</v>
      </c>
      <c r="U5" s="1" t="s">
        <v>343</v>
      </c>
      <c r="V5" s="1">
        <v>2782820</v>
      </c>
      <c r="W5" s="1" t="s">
        <v>344</v>
      </c>
      <c r="X5" s="1" t="s">
        <v>345</v>
      </c>
      <c r="Y5" s="1" t="s">
        <v>346</v>
      </c>
      <c r="Z5" s="1" t="s">
        <v>347</v>
      </c>
      <c r="AA5" s="1">
        <v>722733165</v>
      </c>
      <c r="AB5" s="1" t="s">
        <v>325</v>
      </c>
      <c r="AC5" s="1" t="s">
        <v>349</v>
      </c>
      <c r="AD5" s="1" t="s">
        <v>348</v>
      </c>
    </row>
    <row r="6" spans="1:30" ht="18" customHeight="1" x14ac:dyDescent="0.2">
      <c r="A6" s="5">
        <v>4</v>
      </c>
      <c r="B6" s="3">
        <v>171212</v>
      </c>
      <c r="C6" s="20" t="s">
        <v>1341</v>
      </c>
      <c r="D6" s="20" t="s">
        <v>3</v>
      </c>
      <c r="E6" s="28" t="s">
        <v>234</v>
      </c>
      <c r="F6" s="29"/>
      <c r="G6" s="46">
        <v>6</v>
      </c>
      <c r="H6" s="1" t="s">
        <v>258</v>
      </c>
      <c r="I6" s="1">
        <v>13361887</v>
      </c>
      <c r="J6" s="56">
        <v>40546</v>
      </c>
      <c r="K6" s="1">
        <v>722176491</v>
      </c>
      <c r="L6" s="1">
        <v>403372</v>
      </c>
      <c r="M6" s="56">
        <v>26665</v>
      </c>
      <c r="N6" s="1" t="s">
        <v>372</v>
      </c>
      <c r="O6" s="63">
        <v>12</v>
      </c>
      <c r="P6" s="1" t="s">
        <v>1418</v>
      </c>
      <c r="Q6" s="1" t="s">
        <v>1419</v>
      </c>
      <c r="R6" s="1" t="s">
        <v>1420</v>
      </c>
      <c r="S6" s="1" t="s">
        <v>1420</v>
      </c>
      <c r="T6" s="1" t="s">
        <v>299</v>
      </c>
      <c r="V6" s="1">
        <v>59602937</v>
      </c>
      <c r="W6" s="1">
        <v>1241882</v>
      </c>
      <c r="Y6" s="1">
        <v>95</v>
      </c>
      <c r="Z6" s="1" t="s">
        <v>1421</v>
      </c>
      <c r="AA6" s="1">
        <v>720812528</v>
      </c>
      <c r="AB6" s="1" t="s">
        <v>463</v>
      </c>
      <c r="AD6" s="1" t="s">
        <v>303</v>
      </c>
    </row>
    <row r="7" spans="1:30" ht="15.75" customHeight="1" x14ac:dyDescent="0.2">
      <c r="A7" s="5">
        <v>5</v>
      </c>
      <c r="B7" s="3">
        <v>183042</v>
      </c>
      <c r="C7" s="17" t="s">
        <v>221</v>
      </c>
      <c r="D7" s="17" t="s">
        <v>3</v>
      </c>
      <c r="E7" s="21" t="s">
        <v>222</v>
      </c>
      <c r="F7" s="22"/>
      <c r="G7" s="44">
        <v>7</v>
      </c>
      <c r="H7" s="1" t="s">
        <v>258</v>
      </c>
      <c r="I7" s="1">
        <v>10809560</v>
      </c>
      <c r="J7" s="56">
        <v>36172</v>
      </c>
      <c r="K7" s="1">
        <v>725290712</v>
      </c>
      <c r="L7" s="1">
        <v>2654600</v>
      </c>
      <c r="M7" s="56">
        <v>25360</v>
      </c>
      <c r="N7" s="1" t="s">
        <v>528</v>
      </c>
      <c r="O7" s="63">
        <v>41</v>
      </c>
      <c r="P7" s="1" t="s">
        <v>632</v>
      </c>
      <c r="Q7" s="1" t="s">
        <v>633</v>
      </c>
      <c r="R7" s="1" t="s">
        <v>634</v>
      </c>
      <c r="S7" s="1" t="s">
        <v>969</v>
      </c>
      <c r="T7" s="1" t="s">
        <v>299</v>
      </c>
      <c r="U7" s="1" t="s">
        <v>403</v>
      </c>
      <c r="V7" s="1">
        <v>50687913</v>
      </c>
      <c r="W7" s="1" t="s">
        <v>970</v>
      </c>
      <c r="X7" s="1" t="s">
        <v>971</v>
      </c>
      <c r="Y7" s="1">
        <v>135</v>
      </c>
      <c r="Z7" s="1" t="s">
        <v>972</v>
      </c>
      <c r="AA7" s="1">
        <v>722903505</v>
      </c>
      <c r="AB7" s="1" t="s">
        <v>329</v>
      </c>
      <c r="AC7" s="1" t="s">
        <v>326</v>
      </c>
      <c r="AD7" s="1" t="s">
        <v>973</v>
      </c>
    </row>
    <row r="8" spans="1:30" ht="15.75" customHeight="1" x14ac:dyDescent="0.2">
      <c r="A8" s="5">
        <v>6</v>
      </c>
      <c r="B8" s="3">
        <v>174056</v>
      </c>
      <c r="C8" s="20" t="s">
        <v>1306</v>
      </c>
      <c r="D8" s="20" t="s">
        <v>3</v>
      </c>
      <c r="E8" s="64" t="s">
        <v>1307</v>
      </c>
      <c r="F8" s="65"/>
      <c r="G8" s="65">
        <v>8</v>
      </c>
      <c r="H8" s="1" t="s">
        <v>259</v>
      </c>
      <c r="J8" s="56"/>
      <c r="M8" s="56"/>
      <c r="T8" s="1" t="s">
        <v>299</v>
      </c>
    </row>
    <row r="9" spans="1:30" ht="15" customHeight="1" x14ac:dyDescent="0.2">
      <c r="A9" s="5">
        <v>7</v>
      </c>
      <c r="B9" s="3">
        <v>199007</v>
      </c>
      <c r="C9" s="6" t="s">
        <v>138</v>
      </c>
      <c r="D9" s="6" t="s">
        <v>3</v>
      </c>
      <c r="E9" s="69" t="s">
        <v>262</v>
      </c>
      <c r="F9" s="70"/>
      <c r="G9" s="44">
        <v>9</v>
      </c>
      <c r="H9" s="1" t="s">
        <v>259</v>
      </c>
      <c r="I9" s="1">
        <v>20257607</v>
      </c>
      <c r="J9" s="56">
        <v>36197</v>
      </c>
      <c r="K9" s="1">
        <v>722805550</v>
      </c>
      <c r="L9" s="1">
        <v>359646</v>
      </c>
      <c r="M9" s="1" t="s">
        <v>350</v>
      </c>
      <c r="N9" s="1" t="s">
        <v>351</v>
      </c>
      <c r="O9" s="63">
        <v>28</v>
      </c>
      <c r="P9" s="1" t="s">
        <v>352</v>
      </c>
      <c r="Q9" s="1" t="s">
        <v>353</v>
      </c>
      <c r="R9" s="1" t="s">
        <v>354</v>
      </c>
      <c r="S9" s="1" t="s">
        <v>355</v>
      </c>
      <c r="T9" s="1" t="s">
        <v>299</v>
      </c>
      <c r="U9" s="1" t="s">
        <v>356</v>
      </c>
      <c r="V9" s="1" t="s">
        <v>357</v>
      </c>
      <c r="W9" s="1" t="s">
        <v>358</v>
      </c>
      <c r="X9" s="1" t="s">
        <v>359</v>
      </c>
      <c r="Y9" s="1">
        <v>457</v>
      </c>
      <c r="Z9" s="1" t="s">
        <v>360</v>
      </c>
      <c r="AA9" s="57">
        <v>703131532</v>
      </c>
      <c r="AB9" s="1" t="s">
        <v>397</v>
      </c>
      <c r="AC9" s="1" t="s">
        <v>326</v>
      </c>
      <c r="AD9" s="1" t="s">
        <v>328</v>
      </c>
    </row>
    <row r="10" spans="1:30" ht="18" customHeight="1" x14ac:dyDescent="0.2">
      <c r="A10" s="5">
        <v>8</v>
      </c>
      <c r="B10" s="3">
        <v>241093</v>
      </c>
      <c r="C10" s="13" t="s">
        <v>216</v>
      </c>
      <c r="D10" s="13" t="s">
        <v>3</v>
      </c>
      <c r="E10" s="20" t="s">
        <v>219</v>
      </c>
      <c r="F10" s="20"/>
      <c r="G10" s="20">
        <v>10</v>
      </c>
      <c r="H10" s="1" t="s">
        <v>259</v>
      </c>
      <c r="I10" s="1">
        <v>25138933</v>
      </c>
      <c r="J10" s="56">
        <v>42010</v>
      </c>
      <c r="K10" s="1">
        <v>726211113</v>
      </c>
      <c r="L10" s="1" t="str">
        <f>"0"&amp;475017</f>
        <v>0475017</v>
      </c>
      <c r="M10" s="1" t="s">
        <v>361</v>
      </c>
      <c r="N10" s="1" t="s">
        <v>362</v>
      </c>
      <c r="O10" s="63">
        <v>47</v>
      </c>
      <c r="P10" s="1" t="s">
        <v>364</v>
      </c>
      <c r="Q10" s="1" t="s">
        <v>363</v>
      </c>
      <c r="R10" s="1" t="s">
        <v>365</v>
      </c>
      <c r="S10" s="1" t="s">
        <v>366</v>
      </c>
      <c r="T10" s="1" t="s">
        <v>306</v>
      </c>
      <c r="U10" s="1" t="s">
        <v>343</v>
      </c>
      <c r="V10" s="1">
        <v>191838829</v>
      </c>
      <c r="W10" s="1" t="s">
        <v>367</v>
      </c>
      <c r="X10" s="1" t="s">
        <v>368</v>
      </c>
      <c r="Y10" s="1">
        <v>92</v>
      </c>
      <c r="Z10" s="1" t="s">
        <v>369</v>
      </c>
      <c r="AA10" s="1">
        <v>720778716</v>
      </c>
      <c r="AB10" s="1" t="s">
        <v>325</v>
      </c>
      <c r="AC10" s="1" t="s">
        <v>326</v>
      </c>
      <c r="AD10" s="1" t="s">
        <v>370</v>
      </c>
    </row>
    <row r="11" spans="1:30" ht="17.25" customHeight="1" x14ac:dyDescent="0.2">
      <c r="A11" s="5">
        <v>9</v>
      </c>
      <c r="B11" s="3">
        <v>176072</v>
      </c>
      <c r="C11" s="20" t="s">
        <v>263</v>
      </c>
      <c r="D11" s="20" t="s">
        <v>3</v>
      </c>
      <c r="E11" s="47" t="s">
        <v>264</v>
      </c>
      <c r="F11" s="48"/>
      <c r="G11" s="48">
        <v>10</v>
      </c>
      <c r="H11" s="1" t="s">
        <v>259</v>
      </c>
      <c r="I11" s="1">
        <v>10998397</v>
      </c>
      <c r="J11" s="56">
        <v>34335</v>
      </c>
      <c r="K11" s="1">
        <v>724953922</v>
      </c>
      <c r="L11" s="1">
        <v>9101792</v>
      </c>
      <c r="M11" s="56">
        <v>25934</v>
      </c>
      <c r="N11" s="1" t="s">
        <v>315</v>
      </c>
      <c r="O11" s="63">
        <v>22</v>
      </c>
      <c r="P11" s="1" t="s">
        <v>690</v>
      </c>
      <c r="Q11" s="1" t="s">
        <v>691</v>
      </c>
      <c r="R11" s="1" t="s">
        <v>690</v>
      </c>
      <c r="S11" s="1" t="s">
        <v>690</v>
      </c>
      <c r="T11" s="1" t="s">
        <v>299</v>
      </c>
      <c r="U11" s="1" t="s">
        <v>343</v>
      </c>
      <c r="V11" s="1">
        <v>393948811</v>
      </c>
      <c r="W11" s="1">
        <v>1996006</v>
      </c>
      <c r="X11" s="1" t="s">
        <v>692</v>
      </c>
      <c r="Z11" s="1" t="s">
        <v>693</v>
      </c>
      <c r="AA11" s="1">
        <v>722736804</v>
      </c>
      <c r="AB11" s="1" t="s">
        <v>325</v>
      </c>
      <c r="AC11" s="1" t="s">
        <v>427</v>
      </c>
      <c r="AD11" s="1" t="s">
        <v>694</v>
      </c>
    </row>
    <row r="12" spans="1:30" ht="20.25" customHeight="1" x14ac:dyDescent="0.2">
      <c r="A12" s="5">
        <v>10</v>
      </c>
      <c r="B12" s="3">
        <v>168004</v>
      </c>
      <c r="C12" s="6" t="s">
        <v>17</v>
      </c>
      <c r="D12" s="6" t="s">
        <v>3</v>
      </c>
      <c r="E12" s="69" t="s">
        <v>18</v>
      </c>
      <c r="F12" s="70"/>
      <c r="G12" s="44">
        <v>11</v>
      </c>
      <c r="H12" s="1" t="s">
        <v>259</v>
      </c>
      <c r="I12" s="1">
        <v>13133273</v>
      </c>
      <c r="J12" s="56">
        <v>39083</v>
      </c>
      <c r="K12" s="1">
        <v>722912414</v>
      </c>
      <c r="L12" s="1">
        <v>8802144</v>
      </c>
      <c r="M12" s="1" t="s">
        <v>371</v>
      </c>
      <c r="N12" s="1" t="s">
        <v>372</v>
      </c>
      <c r="O12" s="63">
        <v>12</v>
      </c>
      <c r="P12" s="1" t="s">
        <v>373</v>
      </c>
      <c r="Q12" s="1" t="s">
        <v>374</v>
      </c>
      <c r="R12" s="1" t="s">
        <v>375</v>
      </c>
      <c r="S12" s="1" t="s">
        <v>375</v>
      </c>
      <c r="T12" s="1" t="s">
        <v>299</v>
      </c>
      <c r="U12" s="1" t="s">
        <v>376</v>
      </c>
      <c r="V12" s="1">
        <v>894887815</v>
      </c>
      <c r="W12" s="1" t="s">
        <v>377</v>
      </c>
      <c r="X12" s="1" t="s">
        <v>378</v>
      </c>
      <c r="Y12" s="1">
        <v>167</v>
      </c>
      <c r="Z12" s="1" t="s">
        <v>379</v>
      </c>
      <c r="AA12" s="1">
        <v>797830999</v>
      </c>
      <c r="AB12" s="1" t="s">
        <v>380</v>
      </c>
      <c r="AC12" s="1" t="s">
        <v>381</v>
      </c>
      <c r="AD12" s="1" t="s">
        <v>382</v>
      </c>
    </row>
    <row r="13" spans="1:30" ht="21" customHeight="1" x14ac:dyDescent="0.2">
      <c r="A13" s="5">
        <v>11</v>
      </c>
      <c r="B13" s="3">
        <v>241276</v>
      </c>
      <c r="C13" s="6" t="s">
        <v>19</v>
      </c>
      <c r="D13" s="6" t="s">
        <v>3</v>
      </c>
      <c r="E13" s="69" t="s">
        <v>30</v>
      </c>
      <c r="F13" s="70"/>
      <c r="G13" s="44">
        <v>12</v>
      </c>
      <c r="H13" s="1" t="s">
        <v>259</v>
      </c>
      <c r="I13" s="1">
        <v>22318929</v>
      </c>
      <c r="J13" s="56">
        <v>42684</v>
      </c>
      <c r="K13" s="1">
        <v>71622020</v>
      </c>
      <c r="M13" s="1" t="s">
        <v>383</v>
      </c>
      <c r="N13" s="1" t="s">
        <v>338</v>
      </c>
      <c r="O13" s="63">
        <v>19</v>
      </c>
      <c r="P13" s="1" t="s">
        <v>338</v>
      </c>
      <c r="Q13" s="1" t="s">
        <v>384</v>
      </c>
      <c r="R13" s="1" t="s">
        <v>385</v>
      </c>
      <c r="S13" s="1" t="s">
        <v>386</v>
      </c>
      <c r="T13" s="1" t="s">
        <v>306</v>
      </c>
      <c r="U13" s="1" t="s">
        <v>376</v>
      </c>
      <c r="V13" s="1" t="s">
        <v>387</v>
      </c>
      <c r="W13" s="1">
        <v>6757758</v>
      </c>
      <c r="X13" s="1" t="s">
        <v>388</v>
      </c>
      <c r="Y13" s="1">
        <v>137</v>
      </c>
      <c r="Z13" s="1" t="s">
        <v>389</v>
      </c>
      <c r="AA13" s="1">
        <v>748296954</v>
      </c>
      <c r="AB13" s="1" t="s">
        <v>396</v>
      </c>
      <c r="AC13" s="1" t="s">
        <v>326</v>
      </c>
      <c r="AD13" s="1" t="s">
        <v>390</v>
      </c>
    </row>
    <row r="14" spans="1:30" ht="16.5" customHeight="1" x14ac:dyDescent="0.2">
      <c r="A14" s="5">
        <v>12</v>
      </c>
      <c r="B14" s="3">
        <v>161156</v>
      </c>
      <c r="C14" s="6" t="s">
        <v>20</v>
      </c>
      <c r="D14" s="6" t="s">
        <v>3</v>
      </c>
      <c r="E14" s="69" t="s">
        <v>21</v>
      </c>
      <c r="F14" s="70"/>
      <c r="G14" s="44">
        <v>12</v>
      </c>
      <c r="H14" s="1" t="s">
        <v>259</v>
      </c>
      <c r="I14" s="1">
        <v>11625899</v>
      </c>
      <c r="J14" s="56">
        <v>39083</v>
      </c>
      <c r="K14" s="1">
        <v>722333307</v>
      </c>
      <c r="L14" s="1">
        <v>192501</v>
      </c>
      <c r="M14" s="56">
        <v>26303</v>
      </c>
      <c r="N14" s="1" t="s">
        <v>294</v>
      </c>
      <c r="O14" s="63">
        <v>3</v>
      </c>
      <c r="P14" s="1" t="s">
        <v>295</v>
      </c>
      <c r="Q14" s="1" t="s">
        <v>391</v>
      </c>
      <c r="R14" s="1" t="s">
        <v>392</v>
      </c>
      <c r="S14" s="1" t="s">
        <v>392</v>
      </c>
      <c r="T14" s="1" t="s">
        <v>299</v>
      </c>
      <c r="U14" s="1" t="s">
        <v>356</v>
      </c>
      <c r="V14" s="1">
        <v>894888811</v>
      </c>
      <c r="W14" s="1" t="s">
        <v>393</v>
      </c>
      <c r="X14" s="1" t="s">
        <v>394</v>
      </c>
      <c r="Y14" s="1" t="s">
        <v>304</v>
      </c>
      <c r="Z14" s="1" t="s">
        <v>395</v>
      </c>
      <c r="AA14" s="1">
        <v>703133911</v>
      </c>
      <c r="AB14" s="1" t="s">
        <v>396</v>
      </c>
      <c r="AC14" s="1" t="s">
        <v>326</v>
      </c>
      <c r="AD14" s="1" t="s">
        <v>328</v>
      </c>
    </row>
    <row r="15" spans="1:30" ht="18.75" customHeight="1" x14ac:dyDescent="0.2">
      <c r="A15" s="5">
        <v>13</v>
      </c>
      <c r="B15" s="3">
        <v>241715</v>
      </c>
      <c r="C15" s="10" t="s">
        <v>211</v>
      </c>
      <c r="D15" s="10" t="s">
        <v>3</v>
      </c>
      <c r="E15" s="21" t="s">
        <v>34</v>
      </c>
      <c r="F15" s="22"/>
      <c r="G15" s="44">
        <v>12</v>
      </c>
      <c r="H15" s="1" t="s">
        <v>258</v>
      </c>
      <c r="I15" s="1">
        <v>31860798</v>
      </c>
      <c r="J15" s="56">
        <v>44563</v>
      </c>
      <c r="K15" s="1">
        <v>740339991</v>
      </c>
      <c r="L15" s="1">
        <v>9338646</v>
      </c>
      <c r="M15" s="56">
        <v>34676</v>
      </c>
      <c r="N15" s="1" t="s">
        <v>398</v>
      </c>
      <c r="O15" s="63">
        <v>42</v>
      </c>
      <c r="P15" s="1" t="s">
        <v>402</v>
      </c>
      <c r="Q15" s="1" t="s">
        <v>399</v>
      </c>
      <c r="R15" s="1" t="s">
        <v>400</v>
      </c>
      <c r="S15" s="1" t="s">
        <v>401</v>
      </c>
      <c r="T15" s="1" t="s">
        <v>306</v>
      </c>
      <c r="U15" s="1" t="s">
        <v>403</v>
      </c>
      <c r="V15" s="1">
        <v>2000378255</v>
      </c>
      <c r="W15" s="1">
        <v>4453913</v>
      </c>
      <c r="X15" s="1" t="s">
        <v>404</v>
      </c>
      <c r="Y15" s="1" t="s">
        <v>405</v>
      </c>
      <c r="Z15" s="1" t="s">
        <v>406</v>
      </c>
      <c r="AA15" s="1">
        <v>723120381</v>
      </c>
      <c r="AB15" s="1" t="s">
        <v>407</v>
      </c>
      <c r="AC15" s="1" t="s">
        <v>326</v>
      </c>
      <c r="AD15" s="1" t="s">
        <v>408</v>
      </c>
    </row>
    <row r="16" spans="1:30" ht="18" customHeight="1" x14ac:dyDescent="0.2">
      <c r="A16" s="5">
        <v>14</v>
      </c>
      <c r="B16" s="3">
        <v>241717</v>
      </c>
      <c r="C16" s="11" t="s">
        <v>212</v>
      </c>
      <c r="D16" s="11" t="s">
        <v>3</v>
      </c>
      <c r="E16" s="21" t="s">
        <v>64</v>
      </c>
      <c r="F16" s="22"/>
      <c r="G16" s="44">
        <v>12</v>
      </c>
      <c r="H16" s="1" t="s">
        <v>259</v>
      </c>
      <c r="I16" s="1">
        <v>35698228</v>
      </c>
      <c r="J16" s="56">
        <v>44563</v>
      </c>
      <c r="K16" s="1">
        <v>791403696</v>
      </c>
      <c r="L16" s="1">
        <v>278108</v>
      </c>
      <c r="M16" s="1" t="s">
        <v>409</v>
      </c>
      <c r="N16" s="1" t="s">
        <v>410</v>
      </c>
      <c r="O16" s="63">
        <v>36</v>
      </c>
      <c r="P16" s="1" t="s">
        <v>411</v>
      </c>
      <c r="Q16" s="1" t="s">
        <v>412</v>
      </c>
      <c r="R16" s="1" t="s">
        <v>412</v>
      </c>
      <c r="S16" s="1" t="s">
        <v>412</v>
      </c>
      <c r="T16" s="1" t="s">
        <v>306</v>
      </c>
      <c r="U16" s="1" t="s">
        <v>343</v>
      </c>
      <c r="V16" s="1">
        <v>2020055046</v>
      </c>
      <c r="W16" s="1">
        <v>7459214</v>
      </c>
      <c r="X16" s="1" t="s">
        <v>413</v>
      </c>
      <c r="Y16" s="1">
        <v>24481</v>
      </c>
      <c r="Z16" s="1" t="s">
        <v>414</v>
      </c>
      <c r="AA16" s="1">
        <v>726100974</v>
      </c>
      <c r="AB16" s="1" t="s">
        <v>407</v>
      </c>
      <c r="AC16" s="1" t="s">
        <v>326</v>
      </c>
      <c r="AD16" s="1" t="s">
        <v>303</v>
      </c>
    </row>
    <row r="17" spans="1:30" ht="20.25" customHeight="1" x14ac:dyDescent="0.2">
      <c r="A17" s="5">
        <v>15</v>
      </c>
      <c r="B17" s="3">
        <v>176050</v>
      </c>
      <c r="C17" s="6" t="s">
        <v>235</v>
      </c>
      <c r="D17" s="6" t="s">
        <v>7</v>
      </c>
      <c r="E17" s="75" t="s">
        <v>154</v>
      </c>
      <c r="F17" s="76"/>
      <c r="G17" s="46">
        <v>6</v>
      </c>
      <c r="H17" s="1" t="s">
        <v>259</v>
      </c>
      <c r="I17" s="1">
        <v>13819220</v>
      </c>
      <c r="J17" s="56">
        <v>36169</v>
      </c>
      <c r="K17" s="1">
        <v>723862368</v>
      </c>
      <c r="L17" s="1">
        <v>818815</v>
      </c>
      <c r="M17" s="56">
        <v>27551</v>
      </c>
      <c r="N17" s="1" t="s">
        <v>457</v>
      </c>
      <c r="O17" s="63">
        <v>46</v>
      </c>
      <c r="P17" s="1" t="s">
        <v>1172</v>
      </c>
      <c r="Q17" s="1" t="s">
        <v>1172</v>
      </c>
      <c r="R17" s="1" t="s">
        <v>1173</v>
      </c>
      <c r="S17" s="1" t="s">
        <v>1173</v>
      </c>
      <c r="T17" s="1" t="s">
        <v>299</v>
      </c>
      <c r="U17" s="1" t="s">
        <v>441</v>
      </c>
      <c r="V17" s="1">
        <v>561547815</v>
      </c>
      <c r="W17" s="1" t="s">
        <v>1174</v>
      </c>
      <c r="X17" s="1" t="s">
        <v>1175</v>
      </c>
      <c r="Y17" s="1">
        <v>1778</v>
      </c>
      <c r="Z17" s="1" t="s">
        <v>1176</v>
      </c>
      <c r="AA17" s="1">
        <v>746359202</v>
      </c>
      <c r="AB17" s="1" t="s">
        <v>518</v>
      </c>
      <c r="AC17" s="1" t="s">
        <v>427</v>
      </c>
      <c r="AD17" s="1" t="s">
        <v>1177</v>
      </c>
    </row>
    <row r="18" spans="1:30" ht="18.75" customHeight="1" x14ac:dyDescent="0.2">
      <c r="A18" s="5">
        <v>16</v>
      </c>
      <c r="B18" s="3">
        <v>241269</v>
      </c>
      <c r="C18" s="20" t="s">
        <v>271</v>
      </c>
      <c r="D18" s="20" t="s">
        <v>7</v>
      </c>
      <c r="E18" s="51" t="s">
        <v>270</v>
      </c>
      <c r="F18" s="52"/>
      <c r="G18" s="52">
        <v>8</v>
      </c>
      <c r="H18" s="1" t="s">
        <v>259</v>
      </c>
      <c r="I18" s="1">
        <v>28499739</v>
      </c>
      <c r="J18" s="56">
        <v>42377</v>
      </c>
      <c r="K18" s="1">
        <v>714898640</v>
      </c>
      <c r="L18" s="1">
        <v>503997</v>
      </c>
      <c r="M18" s="1" t="s">
        <v>415</v>
      </c>
      <c r="N18" s="1" t="s">
        <v>416</v>
      </c>
      <c r="O18" s="63">
        <v>37</v>
      </c>
      <c r="P18" s="1" t="s">
        <v>417</v>
      </c>
      <c r="Q18" s="1" t="s">
        <v>1343</v>
      </c>
      <c r="R18" s="1" t="s">
        <v>1344</v>
      </c>
      <c r="S18" s="1" t="s">
        <v>1345</v>
      </c>
      <c r="T18" s="1" t="s">
        <v>306</v>
      </c>
      <c r="U18" s="1" t="s">
        <v>403</v>
      </c>
      <c r="V18" s="1">
        <v>2014747838</v>
      </c>
      <c r="W18" s="1">
        <v>6893774</v>
      </c>
      <c r="X18" s="67" t="s">
        <v>1342</v>
      </c>
      <c r="Z18" s="1" t="s">
        <v>1346</v>
      </c>
      <c r="AA18" s="1">
        <v>722434321</v>
      </c>
      <c r="AB18" s="1" t="s">
        <v>407</v>
      </c>
      <c r="AC18" s="1" t="s">
        <v>326</v>
      </c>
      <c r="AD18" s="1" t="s">
        <v>303</v>
      </c>
    </row>
    <row r="19" spans="1:30" ht="17.25" customHeight="1" x14ac:dyDescent="0.2">
      <c r="A19" s="5">
        <v>17</v>
      </c>
      <c r="B19" s="3">
        <v>185052</v>
      </c>
      <c r="C19" s="6" t="s">
        <v>23</v>
      </c>
      <c r="D19" s="6" t="s">
        <v>7</v>
      </c>
      <c r="E19" s="69" t="s">
        <v>24</v>
      </c>
      <c r="F19" s="70"/>
      <c r="G19" s="44">
        <v>8</v>
      </c>
      <c r="H19" s="1" t="s">
        <v>259</v>
      </c>
      <c r="J19" s="56">
        <v>42714</v>
      </c>
      <c r="T19" s="1" t="s">
        <v>299</v>
      </c>
    </row>
    <row r="20" spans="1:30" ht="15.95" customHeight="1" x14ac:dyDescent="0.2">
      <c r="A20" s="5">
        <v>18</v>
      </c>
      <c r="B20" s="3">
        <v>241249</v>
      </c>
      <c r="C20" s="6" t="s">
        <v>22</v>
      </c>
      <c r="D20" s="6" t="s">
        <v>7</v>
      </c>
      <c r="E20" s="69" t="s">
        <v>150</v>
      </c>
      <c r="F20" s="70"/>
      <c r="G20" s="44">
        <v>8</v>
      </c>
      <c r="H20" s="1" t="s">
        <v>258</v>
      </c>
      <c r="I20" s="1">
        <v>24938714</v>
      </c>
      <c r="J20" s="56">
        <v>42377</v>
      </c>
      <c r="K20" s="1">
        <v>720123418</v>
      </c>
      <c r="L20" s="1">
        <v>756807</v>
      </c>
      <c r="M20" s="56">
        <v>31900</v>
      </c>
      <c r="N20" s="1" t="s">
        <v>362</v>
      </c>
      <c r="O20" s="63">
        <v>47</v>
      </c>
      <c r="P20" s="1" t="s">
        <v>362</v>
      </c>
      <c r="Q20" s="1" t="s">
        <v>585</v>
      </c>
      <c r="R20" s="1" t="s">
        <v>586</v>
      </c>
      <c r="S20" s="1" t="s">
        <v>587</v>
      </c>
      <c r="T20" s="1" t="s">
        <v>306</v>
      </c>
      <c r="U20" s="1" t="s">
        <v>403</v>
      </c>
      <c r="V20" s="1">
        <v>883016915</v>
      </c>
      <c r="W20" s="1">
        <v>4737350</v>
      </c>
      <c r="X20" s="1" t="s">
        <v>588</v>
      </c>
      <c r="Y20" s="1">
        <v>51</v>
      </c>
      <c r="Z20" s="1" t="s">
        <v>589</v>
      </c>
      <c r="AA20" s="1">
        <v>720965629</v>
      </c>
      <c r="AB20" s="1" t="s">
        <v>446</v>
      </c>
      <c r="AC20" s="1" t="s">
        <v>326</v>
      </c>
      <c r="AD20" s="1" t="s">
        <v>590</v>
      </c>
    </row>
    <row r="21" spans="1:30" ht="18" customHeight="1" x14ac:dyDescent="0.2">
      <c r="A21" s="5">
        <v>19</v>
      </c>
      <c r="B21" s="3">
        <v>241298</v>
      </c>
      <c r="C21" s="6" t="s">
        <v>1372</v>
      </c>
      <c r="D21" s="6" t="s">
        <v>7</v>
      </c>
      <c r="E21" s="69" t="s">
        <v>106</v>
      </c>
      <c r="F21" s="70"/>
      <c r="G21" s="44">
        <v>8</v>
      </c>
      <c r="H21" s="1" t="s">
        <v>258</v>
      </c>
      <c r="I21" s="1">
        <v>24137197</v>
      </c>
      <c r="J21" s="56">
        <v>42714</v>
      </c>
      <c r="K21" s="1">
        <v>726823816</v>
      </c>
      <c r="L21" s="1">
        <v>91159</v>
      </c>
      <c r="M21" s="1" t="s">
        <v>1347</v>
      </c>
      <c r="N21" s="1" t="s">
        <v>486</v>
      </c>
      <c r="O21" s="63">
        <v>10</v>
      </c>
      <c r="P21" s="1" t="s">
        <v>487</v>
      </c>
      <c r="Q21" s="1" t="s">
        <v>1348</v>
      </c>
      <c r="R21" s="1" t="s">
        <v>490</v>
      </c>
      <c r="S21" s="1" t="s">
        <v>490</v>
      </c>
      <c r="T21" s="1" t="s">
        <v>306</v>
      </c>
      <c r="U21" s="1" t="s">
        <v>403</v>
      </c>
      <c r="V21" s="1">
        <v>690581912</v>
      </c>
      <c r="W21" s="1">
        <v>6750654</v>
      </c>
      <c r="X21" s="1" t="s">
        <v>1373</v>
      </c>
      <c r="Y21" s="1">
        <v>60311</v>
      </c>
      <c r="Z21" s="1" t="s">
        <v>1374</v>
      </c>
      <c r="AA21" s="1">
        <v>720101222</v>
      </c>
      <c r="AB21" s="1" t="s">
        <v>329</v>
      </c>
      <c r="AC21" s="1" t="s">
        <v>427</v>
      </c>
      <c r="AD21" s="1" t="s">
        <v>464</v>
      </c>
    </row>
    <row r="22" spans="1:30" ht="15.95" customHeight="1" x14ac:dyDescent="0.2">
      <c r="A22" s="5">
        <v>20</v>
      </c>
      <c r="B22" s="3">
        <v>175191</v>
      </c>
      <c r="C22" s="6" t="s">
        <v>170</v>
      </c>
      <c r="D22" s="6" t="s">
        <v>26</v>
      </c>
      <c r="E22" s="20" t="s">
        <v>210</v>
      </c>
      <c r="F22" s="20"/>
      <c r="G22" s="20">
        <v>5</v>
      </c>
      <c r="H22" s="1" t="s">
        <v>259</v>
      </c>
      <c r="I22" s="1">
        <v>25394414</v>
      </c>
      <c r="J22" s="1" t="s">
        <v>418</v>
      </c>
      <c r="K22" s="1">
        <v>721134712</v>
      </c>
      <c r="L22" s="1">
        <v>318235</v>
      </c>
      <c r="M22" s="1" t="s">
        <v>419</v>
      </c>
      <c r="N22" s="1" t="s">
        <v>362</v>
      </c>
      <c r="O22" s="63">
        <v>47</v>
      </c>
      <c r="P22" s="1" t="s">
        <v>362</v>
      </c>
      <c r="Q22" s="1" t="s">
        <v>420</v>
      </c>
      <c r="R22" s="1" t="s">
        <v>420</v>
      </c>
      <c r="S22" s="1" t="s">
        <v>421</v>
      </c>
      <c r="T22" s="1" t="s">
        <v>422</v>
      </c>
      <c r="U22" s="1" t="s">
        <v>319</v>
      </c>
      <c r="V22" s="1">
        <v>105082821</v>
      </c>
      <c r="W22" s="1" t="s">
        <v>423</v>
      </c>
      <c r="X22" s="1" t="s">
        <v>424</v>
      </c>
      <c r="Y22" s="1">
        <v>3600600</v>
      </c>
      <c r="Z22" s="1" t="s">
        <v>425</v>
      </c>
      <c r="AA22" s="1">
        <v>725445433</v>
      </c>
      <c r="AB22" s="1" t="s">
        <v>426</v>
      </c>
      <c r="AC22" s="1" t="s">
        <v>427</v>
      </c>
      <c r="AD22" s="1" t="s">
        <v>428</v>
      </c>
    </row>
    <row r="23" spans="1:30" ht="15.95" customHeight="1" x14ac:dyDescent="0.2">
      <c r="A23" s="5">
        <v>21</v>
      </c>
      <c r="B23" s="3">
        <v>126001</v>
      </c>
      <c r="C23" s="6" t="s">
        <v>1378</v>
      </c>
      <c r="D23" s="6" t="s">
        <v>26</v>
      </c>
      <c r="E23" s="69" t="s">
        <v>210</v>
      </c>
      <c r="F23" s="70"/>
      <c r="G23" s="44">
        <v>6</v>
      </c>
      <c r="H23" s="1" t="s">
        <v>258</v>
      </c>
      <c r="I23" s="1">
        <v>8735350</v>
      </c>
      <c r="J23" s="1" t="s">
        <v>1379</v>
      </c>
      <c r="K23" s="1">
        <v>720664489</v>
      </c>
      <c r="L23" s="1">
        <v>448976</v>
      </c>
      <c r="M23" s="56">
        <v>24297</v>
      </c>
      <c r="N23" s="1" t="s">
        <v>486</v>
      </c>
      <c r="O23" s="1"/>
      <c r="P23" s="1" t="s">
        <v>486</v>
      </c>
      <c r="Q23" s="1" t="s">
        <v>1380</v>
      </c>
      <c r="R23" s="1" t="s">
        <v>1381</v>
      </c>
      <c r="S23" s="1" t="s">
        <v>1381</v>
      </c>
      <c r="T23" s="1" t="s">
        <v>299</v>
      </c>
      <c r="U23" s="1" t="s">
        <v>403</v>
      </c>
      <c r="V23" s="1">
        <v>4919912</v>
      </c>
      <c r="W23" s="1">
        <v>1039055</v>
      </c>
      <c r="X23" s="1" t="s">
        <v>1382</v>
      </c>
      <c r="Y23" s="1">
        <v>40658</v>
      </c>
      <c r="Z23" s="1" t="s">
        <v>1383</v>
      </c>
      <c r="AA23" s="1">
        <v>729574224</v>
      </c>
      <c r="AB23" s="1" t="s">
        <v>329</v>
      </c>
    </row>
    <row r="24" spans="1:30" ht="15.95" customHeight="1" x14ac:dyDescent="0.2">
      <c r="A24" s="5">
        <v>22</v>
      </c>
      <c r="B24" s="3">
        <v>241539</v>
      </c>
      <c r="C24" s="6" t="s">
        <v>167</v>
      </c>
      <c r="D24" s="6" t="s">
        <v>26</v>
      </c>
      <c r="E24" s="20" t="s">
        <v>171</v>
      </c>
      <c r="F24" s="20"/>
      <c r="G24" s="20">
        <v>7</v>
      </c>
      <c r="H24" s="1" t="s">
        <v>259</v>
      </c>
      <c r="I24" s="1">
        <v>24212658</v>
      </c>
      <c r="J24" s="56">
        <v>44204</v>
      </c>
      <c r="K24" s="1">
        <v>724450870</v>
      </c>
      <c r="L24" s="1">
        <v>9599612</v>
      </c>
      <c r="M24" s="1" t="s">
        <v>429</v>
      </c>
      <c r="N24" s="1" t="s">
        <v>430</v>
      </c>
      <c r="O24" s="63">
        <v>45</v>
      </c>
      <c r="P24" s="1" t="s">
        <v>431</v>
      </c>
      <c r="Q24" s="1" t="s">
        <v>432</v>
      </c>
      <c r="R24" s="1" t="s">
        <v>433</v>
      </c>
      <c r="S24" s="1" t="s">
        <v>434</v>
      </c>
      <c r="T24" s="1" t="s">
        <v>306</v>
      </c>
      <c r="U24" s="1" t="s">
        <v>403</v>
      </c>
      <c r="V24" s="1">
        <v>1948719</v>
      </c>
      <c r="W24" s="1">
        <v>854480811</v>
      </c>
      <c r="X24" s="1" t="s">
        <v>435</v>
      </c>
      <c r="Y24" s="1">
        <v>403</v>
      </c>
      <c r="Z24" s="1" t="s">
        <v>436</v>
      </c>
      <c r="AA24" s="1">
        <v>724219377</v>
      </c>
      <c r="AB24" s="1" t="s">
        <v>325</v>
      </c>
      <c r="AC24" s="1" t="s">
        <v>326</v>
      </c>
      <c r="AD24" s="1" t="s">
        <v>659</v>
      </c>
    </row>
    <row r="25" spans="1:30" ht="15.95" customHeight="1" x14ac:dyDescent="0.2">
      <c r="A25" s="5">
        <v>23</v>
      </c>
      <c r="B25" s="3">
        <v>241360</v>
      </c>
      <c r="C25" s="6" t="s">
        <v>152</v>
      </c>
      <c r="D25" s="6" t="s">
        <v>26</v>
      </c>
      <c r="E25" s="69" t="s">
        <v>153</v>
      </c>
      <c r="F25" s="70"/>
      <c r="G25" s="44">
        <v>8</v>
      </c>
      <c r="H25" s="1" t="s">
        <v>259</v>
      </c>
      <c r="I25" s="1">
        <v>241360</v>
      </c>
      <c r="J25" s="56">
        <v>43313</v>
      </c>
      <c r="K25" s="1">
        <v>711370017</v>
      </c>
      <c r="M25" s="1" t="s">
        <v>437</v>
      </c>
      <c r="N25" s="1" t="s">
        <v>438</v>
      </c>
      <c r="O25" s="63">
        <v>15</v>
      </c>
      <c r="P25" s="1" t="s">
        <v>439</v>
      </c>
      <c r="Q25" s="1" t="s">
        <v>439</v>
      </c>
      <c r="R25" s="1" t="s">
        <v>442</v>
      </c>
      <c r="S25" s="1" t="s">
        <v>440</v>
      </c>
      <c r="T25" s="1" t="s">
        <v>306</v>
      </c>
      <c r="U25" s="1" t="s">
        <v>441</v>
      </c>
      <c r="V25" s="1">
        <v>2021131062</v>
      </c>
      <c r="W25" s="1">
        <v>4883244</v>
      </c>
      <c r="X25" s="1" t="s">
        <v>443</v>
      </c>
      <c r="Y25" s="1" t="s">
        <v>444</v>
      </c>
      <c r="Z25" s="1" t="s">
        <v>445</v>
      </c>
      <c r="AA25" s="1">
        <v>723372157</v>
      </c>
      <c r="AB25" s="1" t="s">
        <v>446</v>
      </c>
      <c r="AC25" s="1" t="s">
        <v>326</v>
      </c>
      <c r="AD25" s="1" t="s">
        <v>447</v>
      </c>
    </row>
    <row r="26" spans="1:30" ht="12.75" customHeight="1" x14ac:dyDescent="0.2">
      <c r="A26" s="5">
        <v>24</v>
      </c>
      <c r="B26" s="3">
        <v>161092</v>
      </c>
      <c r="C26" s="6" t="s">
        <v>27</v>
      </c>
      <c r="D26" s="6" t="s">
        <v>26</v>
      </c>
      <c r="E26" s="69" t="s">
        <v>28</v>
      </c>
      <c r="F26" s="70"/>
      <c r="G26" s="44">
        <v>9</v>
      </c>
      <c r="H26" s="1" t="s">
        <v>258</v>
      </c>
      <c r="I26" s="1">
        <v>8107003</v>
      </c>
      <c r="J26" s="56">
        <v>33250</v>
      </c>
      <c r="K26" s="1">
        <v>723717302</v>
      </c>
      <c r="L26" s="1">
        <v>3241598</v>
      </c>
      <c r="M26" s="56">
        <v>24150</v>
      </c>
      <c r="N26" s="1" t="s">
        <v>338</v>
      </c>
      <c r="O26" s="63">
        <v>19</v>
      </c>
      <c r="P26" s="1" t="s">
        <v>448</v>
      </c>
      <c r="Q26" s="1" t="s">
        <v>449</v>
      </c>
      <c r="R26" s="1" t="s">
        <v>450</v>
      </c>
      <c r="S26" s="1" t="s">
        <v>451</v>
      </c>
      <c r="T26" s="1" t="s">
        <v>422</v>
      </c>
      <c r="U26" s="1" t="s">
        <v>452</v>
      </c>
      <c r="V26" s="1">
        <v>26681919</v>
      </c>
      <c r="W26" s="1" t="s">
        <v>453</v>
      </c>
      <c r="X26" s="1" t="s">
        <v>454</v>
      </c>
      <c r="Z26" s="1" t="s">
        <v>455</v>
      </c>
      <c r="AA26" s="1">
        <v>721329339</v>
      </c>
      <c r="AB26" s="1" t="s">
        <v>329</v>
      </c>
      <c r="AC26" s="1" t="s">
        <v>326</v>
      </c>
      <c r="AD26" s="1" t="s">
        <v>456</v>
      </c>
    </row>
    <row r="27" spans="1:30" ht="15.95" customHeight="1" x14ac:dyDescent="0.2">
      <c r="A27" s="5">
        <v>25</v>
      </c>
      <c r="B27" s="3">
        <v>241614</v>
      </c>
      <c r="C27" s="20" t="s">
        <v>256</v>
      </c>
      <c r="D27" s="20" t="s">
        <v>26</v>
      </c>
      <c r="E27" s="38" t="s">
        <v>233</v>
      </c>
      <c r="F27" s="39"/>
      <c r="G27" s="44">
        <v>12</v>
      </c>
      <c r="H27" s="1" t="s">
        <v>258</v>
      </c>
      <c r="I27" s="1">
        <v>31621426</v>
      </c>
      <c r="J27" s="1" t="s">
        <v>983</v>
      </c>
      <c r="K27" s="1">
        <v>725256013</v>
      </c>
      <c r="L27" s="1">
        <v>743542</v>
      </c>
      <c r="M27" s="56">
        <v>34400</v>
      </c>
      <c r="N27" s="1" t="s">
        <v>708</v>
      </c>
      <c r="O27" s="63">
        <v>34</v>
      </c>
      <c r="P27" s="1" t="s">
        <v>984</v>
      </c>
      <c r="Q27" s="1" t="s">
        <v>985</v>
      </c>
      <c r="R27" s="1" t="s">
        <v>986</v>
      </c>
      <c r="S27" s="1" t="s">
        <v>987</v>
      </c>
      <c r="T27" s="1" t="s">
        <v>306</v>
      </c>
      <c r="U27" s="1" t="s">
        <v>650</v>
      </c>
      <c r="V27" s="1">
        <v>2021750561</v>
      </c>
      <c r="W27" s="1">
        <v>7704612</v>
      </c>
      <c r="X27" s="1" t="s">
        <v>988</v>
      </c>
      <c r="Y27" s="1" t="s">
        <v>989</v>
      </c>
      <c r="Z27" s="1" t="s">
        <v>990</v>
      </c>
      <c r="AA27" s="1">
        <v>729954583</v>
      </c>
      <c r="AB27" s="1" t="s">
        <v>329</v>
      </c>
      <c r="AC27" s="1" t="s">
        <v>326</v>
      </c>
      <c r="AD27" s="1" t="s">
        <v>303</v>
      </c>
    </row>
    <row r="28" spans="1:30" ht="15.95" customHeight="1" x14ac:dyDescent="0.2">
      <c r="A28" s="5">
        <v>26</v>
      </c>
      <c r="B28" s="3">
        <v>241505</v>
      </c>
      <c r="C28" s="6" t="s">
        <v>231</v>
      </c>
      <c r="D28" s="6" t="s">
        <v>32</v>
      </c>
      <c r="E28" s="69" t="s">
        <v>232</v>
      </c>
      <c r="F28" s="70"/>
      <c r="G28" s="44" t="s">
        <v>259</v>
      </c>
      <c r="H28" s="1" t="s">
        <v>258</v>
      </c>
      <c r="I28" s="1">
        <v>33171966</v>
      </c>
      <c r="J28" s="1" t="s">
        <v>1349</v>
      </c>
      <c r="K28" s="1">
        <v>717395661</v>
      </c>
      <c r="L28" s="1">
        <v>653619</v>
      </c>
      <c r="M28" s="56">
        <v>34711</v>
      </c>
      <c r="N28" s="1" t="s">
        <v>457</v>
      </c>
      <c r="O28" s="63">
        <v>46</v>
      </c>
      <c r="P28" s="1" t="s">
        <v>458</v>
      </c>
      <c r="Q28" s="1" t="s">
        <v>458</v>
      </c>
      <c r="R28" s="1" t="s">
        <v>459</v>
      </c>
      <c r="S28" s="1" t="s">
        <v>459</v>
      </c>
      <c r="T28" s="1" t="s">
        <v>25</v>
      </c>
      <c r="U28" s="1" t="s">
        <v>403</v>
      </c>
      <c r="V28" s="1">
        <v>2031120652</v>
      </c>
      <c r="W28" s="1">
        <v>14679375</v>
      </c>
      <c r="X28" s="1" t="s">
        <v>460</v>
      </c>
      <c r="Y28" s="1" t="s">
        <v>461</v>
      </c>
      <c r="Z28" s="1" t="s">
        <v>462</v>
      </c>
      <c r="AA28" s="1">
        <v>798363571</v>
      </c>
      <c r="AB28" s="1" t="s">
        <v>463</v>
      </c>
      <c r="AC28" s="1" t="s">
        <v>326</v>
      </c>
      <c r="AD28" s="1" t="s">
        <v>464</v>
      </c>
    </row>
    <row r="29" spans="1:30" ht="15.95" customHeight="1" x14ac:dyDescent="0.2">
      <c r="A29" s="5">
        <v>27</v>
      </c>
      <c r="B29" s="3">
        <v>241191</v>
      </c>
      <c r="C29" s="12" t="s">
        <v>214</v>
      </c>
      <c r="D29" s="12" t="s">
        <v>32</v>
      </c>
      <c r="E29" s="21" t="s">
        <v>215</v>
      </c>
      <c r="F29" s="22"/>
      <c r="G29" s="44">
        <v>8</v>
      </c>
      <c r="H29" s="1" t="s">
        <v>258</v>
      </c>
      <c r="I29" s="1">
        <v>22544922</v>
      </c>
      <c r="J29" s="56">
        <v>42375</v>
      </c>
      <c r="K29" s="1">
        <v>710238956</v>
      </c>
      <c r="M29" s="56">
        <v>35740</v>
      </c>
      <c r="N29" s="1" t="s">
        <v>372</v>
      </c>
      <c r="O29" s="63">
        <v>12</v>
      </c>
      <c r="T29" s="1" t="s">
        <v>306</v>
      </c>
      <c r="U29" s="1" t="s">
        <v>403</v>
      </c>
    </row>
    <row r="30" spans="1:30" ht="15.95" customHeight="1" x14ac:dyDescent="0.2">
      <c r="A30" s="5">
        <v>28</v>
      </c>
      <c r="B30" s="3" t="s">
        <v>218</v>
      </c>
      <c r="C30" s="15" t="s">
        <v>220</v>
      </c>
      <c r="D30" s="15" t="s">
        <v>32</v>
      </c>
      <c r="E30" s="21" t="s">
        <v>215</v>
      </c>
      <c r="F30" s="22"/>
      <c r="G30" s="44">
        <v>8</v>
      </c>
      <c r="H30" s="1" t="s">
        <v>258</v>
      </c>
      <c r="I30" s="1">
        <v>35685292</v>
      </c>
      <c r="J30" s="56">
        <v>44167</v>
      </c>
      <c r="K30" s="1">
        <v>799820615</v>
      </c>
      <c r="L30" s="1">
        <v>351441</v>
      </c>
      <c r="M30" s="1" t="s">
        <v>1129</v>
      </c>
      <c r="N30" s="1" t="s">
        <v>660</v>
      </c>
      <c r="O30" s="63">
        <v>29</v>
      </c>
      <c r="P30" s="1" t="s">
        <v>1130</v>
      </c>
      <c r="Q30" s="1" t="s">
        <v>1131</v>
      </c>
      <c r="R30" s="1" t="s">
        <v>1132</v>
      </c>
      <c r="S30" s="1" t="s">
        <v>1133</v>
      </c>
      <c r="T30" s="1" t="s">
        <v>306</v>
      </c>
      <c r="U30" s="1" t="s">
        <v>403</v>
      </c>
      <c r="V30" s="1">
        <v>2034333575</v>
      </c>
      <c r="W30" s="1">
        <v>50644367</v>
      </c>
      <c r="X30" s="1" t="s">
        <v>1134</v>
      </c>
      <c r="Z30" s="1" t="s">
        <v>1135</v>
      </c>
      <c r="AA30" s="1">
        <v>721328700</v>
      </c>
      <c r="AB30" s="1" t="s">
        <v>407</v>
      </c>
      <c r="AC30" s="1" t="s">
        <v>326</v>
      </c>
      <c r="AD30" s="1" t="s">
        <v>464</v>
      </c>
    </row>
    <row r="31" spans="1:30" ht="15.95" customHeight="1" x14ac:dyDescent="0.2">
      <c r="A31" s="5">
        <v>29</v>
      </c>
      <c r="B31" s="3">
        <v>241669</v>
      </c>
      <c r="C31" s="20" t="s">
        <v>236</v>
      </c>
      <c r="D31" s="20" t="s">
        <v>32</v>
      </c>
      <c r="E31" s="30" t="s">
        <v>215</v>
      </c>
      <c r="F31" s="22"/>
      <c r="G31" s="44">
        <v>8</v>
      </c>
      <c r="H31" s="1" t="s">
        <v>259</v>
      </c>
      <c r="I31" s="1">
        <v>28075095</v>
      </c>
      <c r="J31" s="1" t="s">
        <v>534</v>
      </c>
      <c r="K31" s="63">
        <v>715233910</v>
      </c>
      <c r="M31" s="56">
        <v>33361</v>
      </c>
      <c r="N31" s="1" t="s">
        <v>372</v>
      </c>
      <c r="O31" s="63">
        <v>12</v>
      </c>
      <c r="P31" s="1" t="s">
        <v>1282</v>
      </c>
      <c r="Q31" s="1" t="s">
        <v>1198</v>
      </c>
      <c r="R31" s="1" t="s">
        <v>580</v>
      </c>
      <c r="S31" s="1" t="s">
        <v>1283</v>
      </c>
      <c r="T31" s="1" t="s">
        <v>306</v>
      </c>
      <c r="U31" s="1" t="s">
        <v>403</v>
      </c>
      <c r="V31" s="1">
        <v>20295413</v>
      </c>
      <c r="W31" s="1">
        <v>6272498</v>
      </c>
      <c r="X31" s="1" t="s">
        <v>1284</v>
      </c>
      <c r="Y31" s="1">
        <v>97</v>
      </c>
      <c r="Z31" s="1" t="s">
        <v>1285</v>
      </c>
      <c r="AA31" s="1">
        <v>725385686</v>
      </c>
      <c r="AB31" s="1" t="s">
        <v>1286</v>
      </c>
      <c r="AC31" s="1" t="s">
        <v>326</v>
      </c>
    </row>
    <row r="32" spans="1:30" ht="15.75" customHeight="1" x14ac:dyDescent="0.2">
      <c r="A32" s="5">
        <v>30</v>
      </c>
      <c r="B32" s="3">
        <v>241502</v>
      </c>
      <c r="C32" s="18" t="s">
        <v>223</v>
      </c>
      <c r="D32" s="18" t="s">
        <v>32</v>
      </c>
      <c r="E32" s="21" t="s">
        <v>215</v>
      </c>
      <c r="F32" s="33"/>
      <c r="G32" s="33">
        <v>8</v>
      </c>
      <c r="H32" s="1" t="s">
        <v>258</v>
      </c>
      <c r="I32" s="1">
        <v>30408351</v>
      </c>
      <c r="J32" s="56">
        <v>43837</v>
      </c>
      <c r="K32" s="1">
        <v>797663214</v>
      </c>
      <c r="L32" s="1">
        <v>2318993</v>
      </c>
      <c r="M32" s="56">
        <v>34122</v>
      </c>
      <c r="N32" s="1" t="s">
        <v>372</v>
      </c>
      <c r="O32" s="63">
        <v>12</v>
      </c>
      <c r="P32" s="1" t="s">
        <v>827</v>
      </c>
      <c r="Q32" s="1" t="s">
        <v>828</v>
      </c>
      <c r="R32" s="1" t="s">
        <v>829</v>
      </c>
      <c r="S32" s="1" t="s">
        <v>830</v>
      </c>
      <c r="T32" s="1" t="s">
        <v>306</v>
      </c>
      <c r="U32" s="1" t="s">
        <v>403</v>
      </c>
      <c r="V32" s="1">
        <v>89567</v>
      </c>
      <c r="W32" s="1">
        <v>14681496</v>
      </c>
      <c r="X32" s="1" t="s">
        <v>831</v>
      </c>
      <c r="Z32" s="1" t="s">
        <v>832</v>
      </c>
      <c r="AA32" s="1">
        <v>720979599</v>
      </c>
      <c r="AB32" s="1" t="s">
        <v>667</v>
      </c>
      <c r="AC32" s="1" t="s">
        <v>326</v>
      </c>
    </row>
    <row r="33" spans="1:30" ht="15.75" customHeight="1" x14ac:dyDescent="0.2">
      <c r="A33" s="5">
        <v>31</v>
      </c>
      <c r="B33" s="3">
        <v>241706</v>
      </c>
      <c r="C33" s="20" t="s">
        <v>1412</v>
      </c>
      <c r="D33" s="20" t="s">
        <v>32</v>
      </c>
      <c r="E33" s="68" t="s">
        <v>1413</v>
      </c>
      <c r="F33" s="33"/>
      <c r="G33" s="33">
        <v>10</v>
      </c>
      <c r="H33" s="1" t="s">
        <v>258</v>
      </c>
      <c r="I33" s="1">
        <v>30050596</v>
      </c>
      <c r="J33" s="56" t="s">
        <v>534</v>
      </c>
      <c r="K33" s="1">
        <v>712438404</v>
      </c>
      <c r="L33" s="1">
        <v>551822</v>
      </c>
      <c r="M33" s="56" t="s">
        <v>1414</v>
      </c>
      <c r="N33" s="1" t="s">
        <v>708</v>
      </c>
      <c r="O33" s="63">
        <v>34</v>
      </c>
      <c r="P33" s="1" t="s">
        <v>1018</v>
      </c>
      <c r="Q33" s="1" t="s">
        <v>709</v>
      </c>
      <c r="R33" s="1" t="s">
        <v>709</v>
      </c>
      <c r="S33" s="1" t="s">
        <v>709</v>
      </c>
      <c r="T33" s="1" t="s">
        <v>306</v>
      </c>
      <c r="U33" s="1" t="s">
        <v>343</v>
      </c>
      <c r="V33" s="1" t="s">
        <v>1415</v>
      </c>
      <c r="W33" s="1">
        <v>19213009</v>
      </c>
      <c r="X33" s="1" t="s">
        <v>1416</v>
      </c>
      <c r="Z33" s="1" t="s">
        <v>1240</v>
      </c>
      <c r="AA33" s="1">
        <v>710866925</v>
      </c>
      <c r="AB33" s="1" t="s">
        <v>446</v>
      </c>
      <c r="AC33" s="1" t="s">
        <v>326</v>
      </c>
      <c r="AD33" s="1" t="s">
        <v>1417</v>
      </c>
    </row>
    <row r="34" spans="1:30" ht="15" customHeight="1" x14ac:dyDescent="0.2">
      <c r="A34" s="5">
        <v>32</v>
      </c>
      <c r="B34" s="3">
        <v>174046</v>
      </c>
      <c r="C34" s="9" t="s">
        <v>0</v>
      </c>
      <c r="D34" s="9" t="s">
        <v>1</v>
      </c>
      <c r="E34" s="32" t="s">
        <v>156</v>
      </c>
      <c r="F34" s="27"/>
      <c r="G34" s="33">
        <v>8</v>
      </c>
      <c r="H34" s="1" t="s">
        <v>259</v>
      </c>
      <c r="I34" s="1">
        <v>1375443</v>
      </c>
      <c r="J34" s="56">
        <v>38720</v>
      </c>
      <c r="K34" s="1">
        <v>722823069</v>
      </c>
      <c r="L34" s="1">
        <v>156453</v>
      </c>
      <c r="M34" s="56">
        <v>27738</v>
      </c>
      <c r="N34" s="1" t="s">
        <v>372</v>
      </c>
      <c r="O34" s="63">
        <v>12</v>
      </c>
      <c r="P34" s="1" t="s">
        <v>1197</v>
      </c>
      <c r="Q34" s="1" t="s">
        <v>1198</v>
      </c>
      <c r="R34" s="1" t="s">
        <v>1199</v>
      </c>
      <c r="S34" s="1" t="s">
        <v>1199</v>
      </c>
      <c r="T34" s="1" t="s">
        <v>299</v>
      </c>
      <c r="U34" s="1" t="s">
        <v>403</v>
      </c>
      <c r="V34" s="1">
        <v>794507816</v>
      </c>
      <c r="W34" s="1" t="s">
        <v>1200</v>
      </c>
      <c r="X34" s="1" t="s">
        <v>1201</v>
      </c>
      <c r="Y34" s="1">
        <v>1919</v>
      </c>
      <c r="Z34" s="1" t="s">
        <v>1202</v>
      </c>
      <c r="AA34" s="1">
        <v>736821209</v>
      </c>
      <c r="AB34" s="1" t="s">
        <v>518</v>
      </c>
      <c r="AC34" s="1" t="s">
        <v>326</v>
      </c>
      <c r="AD34" s="1" t="s">
        <v>328</v>
      </c>
    </row>
    <row r="35" spans="1:30" ht="15.75" customHeight="1" x14ac:dyDescent="0.2">
      <c r="A35" s="5">
        <v>33</v>
      </c>
      <c r="B35" s="3">
        <v>241703</v>
      </c>
      <c r="C35" s="6" t="s">
        <v>206</v>
      </c>
      <c r="D35" s="6" t="s">
        <v>1</v>
      </c>
      <c r="E35" s="26" t="s">
        <v>207</v>
      </c>
      <c r="F35" s="31"/>
      <c r="G35" s="44">
        <v>8</v>
      </c>
      <c r="H35" s="1" t="s">
        <v>259</v>
      </c>
      <c r="I35" s="1">
        <v>25786319</v>
      </c>
      <c r="J35" s="56">
        <v>44563</v>
      </c>
      <c r="K35" s="1">
        <v>721958179</v>
      </c>
      <c r="L35" s="1">
        <v>959823</v>
      </c>
      <c r="M35" s="1" t="s">
        <v>1086</v>
      </c>
      <c r="N35" s="1" t="s">
        <v>660</v>
      </c>
      <c r="O35" s="63">
        <v>29</v>
      </c>
      <c r="P35" s="1" t="s">
        <v>1087</v>
      </c>
      <c r="Q35" s="1" t="s">
        <v>340</v>
      </c>
      <c r="R35" s="1" t="s">
        <v>1088</v>
      </c>
      <c r="S35" s="1" t="s">
        <v>1089</v>
      </c>
      <c r="T35" s="1" t="s">
        <v>306</v>
      </c>
      <c r="U35" s="1" t="s">
        <v>403</v>
      </c>
      <c r="V35" s="1">
        <v>2008834764</v>
      </c>
      <c r="W35" s="1">
        <v>5848909</v>
      </c>
      <c r="X35" s="1" t="s">
        <v>1090</v>
      </c>
      <c r="Y35" s="1">
        <v>97</v>
      </c>
      <c r="Z35" s="1" t="s">
        <v>1091</v>
      </c>
      <c r="AA35" s="1">
        <v>729834631</v>
      </c>
      <c r="AB35" s="1" t="s">
        <v>407</v>
      </c>
      <c r="AC35" s="1" t="s">
        <v>326</v>
      </c>
      <c r="AD35" s="1" t="s">
        <v>756</v>
      </c>
    </row>
    <row r="36" spans="1:30" ht="15.95" customHeight="1" x14ac:dyDescent="0.2">
      <c r="A36" s="5">
        <v>34</v>
      </c>
      <c r="B36" s="3">
        <v>241118</v>
      </c>
      <c r="C36" s="6" t="s">
        <v>182</v>
      </c>
      <c r="D36" s="6" t="s">
        <v>1</v>
      </c>
      <c r="E36" s="30" t="s">
        <v>5</v>
      </c>
      <c r="F36" s="31"/>
      <c r="G36" s="44">
        <v>10</v>
      </c>
      <c r="H36" s="1" t="s">
        <v>259</v>
      </c>
      <c r="I36" s="1">
        <v>20793936</v>
      </c>
      <c r="J36" s="56">
        <v>42375</v>
      </c>
      <c r="K36" s="1">
        <v>733515700</v>
      </c>
      <c r="L36" s="1">
        <v>170153</v>
      </c>
      <c r="M36" s="1" t="s">
        <v>465</v>
      </c>
      <c r="N36" s="1" t="s">
        <v>312</v>
      </c>
      <c r="O36" s="63">
        <v>43</v>
      </c>
      <c r="P36" s="1" t="s">
        <v>502</v>
      </c>
      <c r="Q36" s="1" t="s">
        <v>467</v>
      </c>
      <c r="R36" s="1" t="s">
        <v>468</v>
      </c>
      <c r="S36" s="1" t="s">
        <v>466</v>
      </c>
      <c r="T36" s="1" t="s">
        <v>306</v>
      </c>
      <c r="U36" s="1" t="s">
        <v>356</v>
      </c>
      <c r="V36" s="1" t="s">
        <v>469</v>
      </c>
      <c r="W36" s="1" t="s">
        <v>470</v>
      </c>
      <c r="X36" s="1" t="s">
        <v>471</v>
      </c>
      <c r="Z36" s="1" t="s">
        <v>472</v>
      </c>
      <c r="AA36" s="1">
        <v>717200442</v>
      </c>
      <c r="AB36" s="1" t="s">
        <v>407</v>
      </c>
      <c r="AC36" s="1" t="s">
        <v>326</v>
      </c>
      <c r="AD36" s="1" t="s">
        <v>303</v>
      </c>
    </row>
    <row r="37" spans="1:30" ht="18" customHeight="1" x14ac:dyDescent="0.2">
      <c r="A37" s="5">
        <v>35</v>
      </c>
      <c r="B37" s="3">
        <v>175177</v>
      </c>
      <c r="C37" s="6" t="s">
        <v>33</v>
      </c>
      <c r="D37" s="6" t="s">
        <v>1</v>
      </c>
      <c r="E37" s="30" t="s">
        <v>34</v>
      </c>
      <c r="F37" s="25"/>
      <c r="G37" s="25">
        <v>10</v>
      </c>
      <c r="H37" s="1" t="s">
        <v>259</v>
      </c>
      <c r="I37" s="1">
        <v>21955124</v>
      </c>
      <c r="J37" s="56">
        <v>36170</v>
      </c>
      <c r="K37" s="1">
        <v>727488088</v>
      </c>
      <c r="L37" s="1">
        <v>8802083</v>
      </c>
      <c r="M37" s="1" t="s">
        <v>1092</v>
      </c>
      <c r="N37" s="1" t="s">
        <v>372</v>
      </c>
      <c r="O37" s="63">
        <v>12</v>
      </c>
      <c r="P37" s="1" t="s">
        <v>1093</v>
      </c>
      <c r="Q37" s="1" t="s">
        <v>1094</v>
      </c>
      <c r="R37" s="1" t="s">
        <v>1094</v>
      </c>
      <c r="S37" s="1" t="s">
        <v>1095</v>
      </c>
      <c r="T37" s="1" t="s">
        <v>299</v>
      </c>
      <c r="U37" s="1" t="s">
        <v>343</v>
      </c>
      <c r="V37" s="1">
        <v>877419817</v>
      </c>
      <c r="W37" s="1">
        <v>2142742</v>
      </c>
      <c r="X37" s="1" t="s">
        <v>1096</v>
      </c>
      <c r="Y37" s="1" t="s">
        <v>1097</v>
      </c>
      <c r="Z37" s="1" t="s">
        <v>1098</v>
      </c>
      <c r="AA37" s="1">
        <v>111281757</v>
      </c>
      <c r="AB37" s="1" t="s">
        <v>396</v>
      </c>
      <c r="AC37" s="1" t="s">
        <v>304</v>
      </c>
      <c r="AD37" s="1" t="s">
        <v>1099</v>
      </c>
    </row>
    <row r="38" spans="1:30" ht="18.75" customHeight="1" x14ac:dyDescent="0.2">
      <c r="A38" s="5">
        <v>36</v>
      </c>
      <c r="B38" s="3">
        <v>241607</v>
      </c>
      <c r="C38" s="6" t="s">
        <v>195</v>
      </c>
      <c r="D38" s="6" t="s">
        <v>1</v>
      </c>
      <c r="E38" s="20" t="s">
        <v>196</v>
      </c>
      <c r="F38" s="31"/>
      <c r="G38" s="44">
        <v>12</v>
      </c>
      <c r="H38" s="1" t="s">
        <v>259</v>
      </c>
      <c r="I38" s="1">
        <v>22043370</v>
      </c>
      <c r="J38" s="1" t="s">
        <v>1423</v>
      </c>
      <c r="K38" s="1">
        <v>722445844</v>
      </c>
      <c r="M38" s="1" t="s">
        <v>1424</v>
      </c>
      <c r="N38" s="1" t="s">
        <v>312</v>
      </c>
      <c r="O38" s="63">
        <v>43</v>
      </c>
      <c r="P38" s="1" t="s">
        <v>1425</v>
      </c>
      <c r="Q38" s="1" t="s">
        <v>467</v>
      </c>
      <c r="R38" s="1" t="s">
        <v>1426</v>
      </c>
      <c r="T38" s="1" t="s">
        <v>306</v>
      </c>
      <c r="U38" s="1" t="s">
        <v>343</v>
      </c>
      <c r="V38" s="1">
        <v>910217815</v>
      </c>
      <c r="W38" s="1">
        <v>18791676</v>
      </c>
      <c r="X38" s="1" t="s">
        <v>1427</v>
      </c>
      <c r="Z38" s="1" t="s">
        <v>1428</v>
      </c>
      <c r="AA38" s="1">
        <v>722948804</v>
      </c>
      <c r="AB38" s="1" t="s">
        <v>325</v>
      </c>
      <c r="AC38" s="1" t="s">
        <v>326</v>
      </c>
      <c r="AD38" s="1" t="s">
        <v>303</v>
      </c>
    </row>
    <row r="39" spans="1:30" ht="15.75" customHeight="1" x14ac:dyDescent="0.2">
      <c r="A39" s="5">
        <v>37</v>
      </c>
      <c r="B39" s="3">
        <v>171194</v>
      </c>
      <c r="C39" s="6" t="s">
        <v>35</v>
      </c>
      <c r="D39" s="6" t="s">
        <v>36</v>
      </c>
      <c r="E39" s="30" t="s">
        <v>37</v>
      </c>
      <c r="F39" s="31"/>
      <c r="G39" s="44">
        <v>12</v>
      </c>
      <c r="H39" s="1" t="s">
        <v>258</v>
      </c>
      <c r="I39" s="1">
        <v>14740020</v>
      </c>
      <c r="J39" s="56">
        <v>43103</v>
      </c>
      <c r="K39" s="1">
        <v>708727123</v>
      </c>
      <c r="L39" s="1">
        <v>901169</v>
      </c>
      <c r="M39" s="1" t="s">
        <v>1136</v>
      </c>
      <c r="N39" s="1" t="s">
        <v>362</v>
      </c>
      <c r="O39" s="63">
        <v>47</v>
      </c>
      <c r="P39" s="1" t="s">
        <v>735</v>
      </c>
      <c r="Q39" s="1" t="s">
        <v>709</v>
      </c>
      <c r="R39" s="1" t="s">
        <v>709</v>
      </c>
      <c r="S39" s="1" t="s">
        <v>1137</v>
      </c>
      <c r="T39" s="1" t="s">
        <v>299</v>
      </c>
      <c r="U39" s="1" t="s">
        <v>376</v>
      </c>
      <c r="V39" s="1">
        <v>207960917</v>
      </c>
      <c r="W39" s="1" t="s">
        <v>1138</v>
      </c>
      <c r="X39" s="1" t="s">
        <v>1139</v>
      </c>
      <c r="Z39" s="1" t="s">
        <v>1140</v>
      </c>
      <c r="AA39" s="1">
        <v>716243274</v>
      </c>
      <c r="AB39" s="1" t="s">
        <v>667</v>
      </c>
      <c r="AD39" s="1" t="s">
        <v>464</v>
      </c>
    </row>
    <row r="40" spans="1:30" ht="15.95" customHeight="1" x14ac:dyDescent="0.2">
      <c r="A40" s="5">
        <v>38</v>
      </c>
      <c r="B40" s="3">
        <v>179032</v>
      </c>
      <c r="C40" s="6" t="s">
        <v>189</v>
      </c>
      <c r="D40" s="6" t="s">
        <v>67</v>
      </c>
      <c r="E40" s="20" t="s">
        <v>190</v>
      </c>
      <c r="F40" s="31"/>
      <c r="G40" s="44">
        <v>8</v>
      </c>
      <c r="H40" s="1" t="s">
        <v>258</v>
      </c>
      <c r="I40" s="1">
        <v>9124859</v>
      </c>
      <c r="J40" s="56">
        <v>39821</v>
      </c>
      <c r="K40" s="1">
        <v>708727123</v>
      </c>
      <c r="L40" s="1">
        <v>563237</v>
      </c>
      <c r="M40" s="1" t="s">
        <v>473</v>
      </c>
      <c r="N40" s="1" t="s">
        <v>474</v>
      </c>
      <c r="O40" s="63">
        <v>32</v>
      </c>
      <c r="P40" s="1" t="s">
        <v>475</v>
      </c>
      <c r="Q40" s="1" t="s">
        <v>476</v>
      </c>
      <c r="R40" s="1" t="s">
        <v>476</v>
      </c>
      <c r="S40" s="1" t="s">
        <v>477</v>
      </c>
      <c r="T40" s="1" t="s">
        <v>422</v>
      </c>
      <c r="U40" s="1" t="s">
        <v>343</v>
      </c>
      <c r="V40" s="1">
        <v>205442914</v>
      </c>
      <c r="W40" s="1" t="s">
        <v>478</v>
      </c>
      <c r="X40" s="1" t="s">
        <v>479</v>
      </c>
      <c r="Y40" s="1">
        <v>10175</v>
      </c>
      <c r="Z40" s="1" t="s">
        <v>480</v>
      </c>
      <c r="AA40" s="1">
        <v>722312713</v>
      </c>
      <c r="AB40" s="1" t="s">
        <v>329</v>
      </c>
      <c r="AC40" s="1" t="s">
        <v>427</v>
      </c>
      <c r="AD40" s="1" t="s">
        <v>481</v>
      </c>
    </row>
    <row r="41" spans="1:30" ht="15.95" customHeight="1" x14ac:dyDescent="0.2">
      <c r="A41" s="5">
        <v>39</v>
      </c>
      <c r="B41" s="3">
        <v>184046</v>
      </c>
      <c r="C41" s="6" t="s">
        <v>1330</v>
      </c>
      <c r="D41" s="6" t="s">
        <v>67</v>
      </c>
      <c r="E41" s="30" t="s">
        <v>72</v>
      </c>
      <c r="F41" s="31"/>
      <c r="G41" s="44">
        <v>10</v>
      </c>
      <c r="H41" s="1" t="s">
        <v>258</v>
      </c>
      <c r="I41" s="1">
        <v>22266918</v>
      </c>
      <c r="J41" s="56">
        <v>40188</v>
      </c>
      <c r="K41" s="1">
        <v>720715583</v>
      </c>
      <c r="L41" s="1">
        <v>9225751</v>
      </c>
      <c r="M41" s="1" t="s">
        <v>695</v>
      </c>
      <c r="N41" s="1" t="s">
        <v>430</v>
      </c>
      <c r="O41" s="63">
        <v>45</v>
      </c>
      <c r="P41" s="1" t="s">
        <v>697</v>
      </c>
      <c r="Q41" s="1" t="s">
        <v>698</v>
      </c>
      <c r="R41" s="1" t="s">
        <v>696</v>
      </c>
      <c r="S41" s="1" t="s">
        <v>697</v>
      </c>
      <c r="T41" s="1" t="s">
        <v>299</v>
      </c>
      <c r="U41" s="1" t="s">
        <v>343</v>
      </c>
      <c r="V41" s="1">
        <v>178822914</v>
      </c>
      <c r="W41" s="1">
        <v>3036558</v>
      </c>
      <c r="X41" s="1" t="s">
        <v>699</v>
      </c>
      <c r="Y41" s="1">
        <v>1696</v>
      </c>
      <c r="Z41" s="1" t="s">
        <v>700</v>
      </c>
      <c r="AA41" s="1">
        <v>724153909</v>
      </c>
      <c r="AB41" s="1" t="s">
        <v>597</v>
      </c>
      <c r="AC41" s="1" t="s">
        <v>304</v>
      </c>
      <c r="AD41" s="1" t="s">
        <v>304</v>
      </c>
    </row>
    <row r="42" spans="1:30" ht="15.95" customHeight="1" x14ac:dyDescent="0.2">
      <c r="A42" s="5">
        <v>40</v>
      </c>
      <c r="B42" s="3">
        <v>161094</v>
      </c>
      <c r="C42" s="6" t="s">
        <v>68</v>
      </c>
      <c r="D42" s="6" t="s">
        <v>67</v>
      </c>
      <c r="E42" s="30" t="s">
        <v>69</v>
      </c>
      <c r="F42" s="31"/>
      <c r="G42" s="44">
        <v>12</v>
      </c>
      <c r="H42" s="1" t="s">
        <v>258</v>
      </c>
      <c r="I42" s="1">
        <v>10550840</v>
      </c>
      <c r="J42" s="56">
        <v>33979</v>
      </c>
      <c r="K42" s="1">
        <v>720169855</v>
      </c>
      <c r="L42" s="1">
        <v>689635</v>
      </c>
      <c r="M42" s="56">
        <v>26207</v>
      </c>
      <c r="N42" s="1" t="s">
        <v>362</v>
      </c>
      <c r="O42" s="63">
        <v>47</v>
      </c>
      <c r="P42" s="1" t="s">
        <v>482</v>
      </c>
      <c r="Q42" s="1" t="s">
        <v>483</v>
      </c>
      <c r="R42" s="1" t="s">
        <v>483</v>
      </c>
      <c r="S42" s="1" t="s">
        <v>483</v>
      </c>
      <c r="T42" s="1" t="s">
        <v>422</v>
      </c>
      <c r="U42" s="1" t="s">
        <v>452</v>
      </c>
      <c r="V42" s="1">
        <v>47571918</v>
      </c>
      <c r="W42" s="1" t="s">
        <v>484</v>
      </c>
      <c r="X42" s="1" t="s">
        <v>1359</v>
      </c>
      <c r="Y42" s="1">
        <v>21074</v>
      </c>
      <c r="Z42" s="1" t="s">
        <v>485</v>
      </c>
      <c r="AA42" s="1">
        <v>723055509</v>
      </c>
      <c r="AB42" s="1" t="s">
        <v>329</v>
      </c>
      <c r="AC42" s="1" t="s">
        <v>326</v>
      </c>
      <c r="AD42" s="1" t="s">
        <v>303</v>
      </c>
    </row>
    <row r="43" spans="1:30" ht="15.95" customHeight="1" x14ac:dyDescent="0.2">
      <c r="A43" s="5">
        <v>41</v>
      </c>
      <c r="B43" s="3">
        <v>111041</v>
      </c>
      <c r="C43" s="6" t="s">
        <v>70</v>
      </c>
      <c r="D43" s="6" t="s">
        <v>67</v>
      </c>
      <c r="E43" s="30" t="s">
        <v>69</v>
      </c>
      <c r="F43" s="20"/>
      <c r="G43" s="20">
        <v>12</v>
      </c>
      <c r="H43" s="1" t="s">
        <v>258</v>
      </c>
      <c r="I43" s="1">
        <v>8735475</v>
      </c>
      <c r="J43" s="56">
        <v>36893</v>
      </c>
      <c r="K43" s="1">
        <v>724514669</v>
      </c>
      <c r="M43" s="56">
        <v>25421</v>
      </c>
      <c r="N43" s="1" t="s">
        <v>486</v>
      </c>
      <c r="O43" s="63">
        <v>10</v>
      </c>
      <c r="P43" s="1" t="s">
        <v>487</v>
      </c>
      <c r="Q43" s="1" t="s">
        <v>488</v>
      </c>
      <c r="R43" s="1" t="s">
        <v>489</v>
      </c>
      <c r="S43" s="1" t="s">
        <v>490</v>
      </c>
      <c r="T43" s="1" t="s">
        <v>422</v>
      </c>
      <c r="U43" s="1" t="s">
        <v>491</v>
      </c>
      <c r="V43" s="1" t="s">
        <v>492</v>
      </c>
      <c r="W43" s="1">
        <v>8735475</v>
      </c>
      <c r="X43" s="1" t="s">
        <v>493</v>
      </c>
      <c r="Y43" s="1">
        <v>15</v>
      </c>
      <c r="Z43" s="1" t="s">
        <v>494</v>
      </c>
      <c r="AA43" s="1">
        <v>795372619</v>
      </c>
      <c r="AB43" s="1" t="s">
        <v>329</v>
      </c>
      <c r="AD43" s="1" t="s">
        <v>464</v>
      </c>
    </row>
    <row r="44" spans="1:30" ht="16.5" customHeight="1" x14ac:dyDescent="0.2">
      <c r="A44" s="5">
        <v>42</v>
      </c>
      <c r="B44" s="3">
        <v>241015</v>
      </c>
      <c r="C44" s="6" t="s">
        <v>71</v>
      </c>
      <c r="D44" s="6" t="s">
        <v>67</v>
      </c>
      <c r="E44" s="30" t="s">
        <v>69</v>
      </c>
      <c r="F44" s="31"/>
      <c r="G44" s="44">
        <v>13</v>
      </c>
      <c r="H44" s="1" t="s">
        <v>258</v>
      </c>
      <c r="I44" s="1">
        <v>26038175</v>
      </c>
      <c r="J44" s="56">
        <v>40915</v>
      </c>
      <c r="K44" s="1">
        <v>795800873</v>
      </c>
      <c r="L44" s="1">
        <v>2589203</v>
      </c>
      <c r="M44" s="56">
        <v>31329</v>
      </c>
      <c r="N44" s="1" t="s">
        <v>640</v>
      </c>
      <c r="O44" s="63">
        <v>44</v>
      </c>
      <c r="P44" s="1" t="s">
        <v>1141</v>
      </c>
      <c r="Q44" s="1" t="s">
        <v>1142</v>
      </c>
      <c r="R44" s="1" t="s">
        <v>1143</v>
      </c>
      <c r="S44" s="1" t="s">
        <v>1144</v>
      </c>
      <c r="T44" s="1" t="s">
        <v>306</v>
      </c>
      <c r="U44" s="1" t="s">
        <v>523</v>
      </c>
      <c r="V44" s="1">
        <v>79371914</v>
      </c>
      <c r="W44" s="1">
        <v>3784997</v>
      </c>
      <c r="X44" s="1" t="s">
        <v>1145</v>
      </c>
      <c r="Y44" s="1">
        <v>520</v>
      </c>
      <c r="Z44" s="1" t="s">
        <v>1146</v>
      </c>
      <c r="AA44" s="1">
        <v>114817062</v>
      </c>
      <c r="AB44" s="1" t="s">
        <v>329</v>
      </c>
      <c r="AD44" s="1" t="s">
        <v>328</v>
      </c>
    </row>
    <row r="45" spans="1:30" ht="15.95" customHeight="1" x14ac:dyDescent="0.2">
      <c r="A45" s="5">
        <v>43</v>
      </c>
      <c r="B45" s="3">
        <v>111053</v>
      </c>
      <c r="C45" s="6" t="s">
        <v>1309</v>
      </c>
      <c r="D45" s="6" t="s">
        <v>67</v>
      </c>
      <c r="E45" s="30" t="s">
        <v>69</v>
      </c>
      <c r="F45" s="20"/>
      <c r="G45" s="20">
        <v>13</v>
      </c>
      <c r="H45" s="1" t="s">
        <v>258</v>
      </c>
      <c r="I45" s="1">
        <v>22353089</v>
      </c>
      <c r="J45" s="56">
        <v>40545</v>
      </c>
      <c r="K45" s="1">
        <v>721666337</v>
      </c>
      <c r="L45" s="1">
        <v>8893632</v>
      </c>
      <c r="M45" s="1" t="s">
        <v>495</v>
      </c>
      <c r="N45" s="1" t="s">
        <v>496</v>
      </c>
      <c r="O45" s="63">
        <v>11</v>
      </c>
      <c r="P45" s="1" t="s">
        <v>497</v>
      </c>
      <c r="Q45" s="1" t="s">
        <v>498</v>
      </c>
      <c r="R45" s="1" t="s">
        <v>499</v>
      </c>
      <c r="S45" s="1" t="s">
        <v>499</v>
      </c>
      <c r="T45" s="1" t="s">
        <v>422</v>
      </c>
      <c r="U45" s="1" t="s">
        <v>452</v>
      </c>
      <c r="V45" s="1">
        <v>529111918</v>
      </c>
      <c r="W45" s="1">
        <v>2923057</v>
      </c>
      <c r="X45" s="1" t="s">
        <v>500</v>
      </c>
      <c r="Y45" s="1">
        <v>2</v>
      </c>
      <c r="Z45" s="1" t="s">
        <v>501</v>
      </c>
      <c r="AA45" s="1">
        <v>746116514</v>
      </c>
      <c r="AB45" s="1" t="s">
        <v>396</v>
      </c>
      <c r="AC45" s="1" t="s">
        <v>326</v>
      </c>
      <c r="AD45" s="1" t="s">
        <v>464</v>
      </c>
    </row>
    <row r="46" spans="1:30" ht="15.95" customHeight="1" x14ac:dyDescent="0.2">
      <c r="A46" s="5">
        <v>44</v>
      </c>
      <c r="B46" s="3">
        <v>175131</v>
      </c>
      <c r="C46" s="6" t="s">
        <v>173</v>
      </c>
      <c r="D46" s="6" t="s">
        <v>73</v>
      </c>
      <c r="E46" s="20" t="s">
        <v>201</v>
      </c>
      <c r="F46" s="20"/>
      <c r="G46" s="20">
        <v>6</v>
      </c>
      <c r="H46" s="1" t="s">
        <v>258</v>
      </c>
      <c r="I46" s="1">
        <v>13494695</v>
      </c>
      <c r="J46" s="56">
        <v>35014</v>
      </c>
      <c r="K46" s="1">
        <v>722362688</v>
      </c>
      <c r="L46" s="1">
        <v>8969617</v>
      </c>
      <c r="M46" s="56">
        <v>27395</v>
      </c>
      <c r="N46" s="1" t="s">
        <v>372</v>
      </c>
      <c r="O46" s="63">
        <v>12</v>
      </c>
      <c r="P46" s="1" t="s">
        <v>591</v>
      </c>
      <c r="Q46" s="1" t="s">
        <v>488</v>
      </c>
      <c r="R46" s="1" t="s">
        <v>592</v>
      </c>
      <c r="S46" s="1" t="s">
        <v>593</v>
      </c>
      <c r="T46" s="1" t="s">
        <v>299</v>
      </c>
      <c r="U46" s="1" t="s">
        <v>403</v>
      </c>
      <c r="V46" s="1">
        <v>39903515</v>
      </c>
      <c r="W46" s="1" t="s">
        <v>594</v>
      </c>
      <c r="X46" s="1" t="s">
        <v>595</v>
      </c>
      <c r="Y46" s="1">
        <v>1</v>
      </c>
      <c r="Z46" s="1" t="s">
        <v>596</v>
      </c>
      <c r="AA46" s="1">
        <v>720632511</v>
      </c>
      <c r="AB46" s="1" t="s">
        <v>597</v>
      </c>
      <c r="AC46" s="1" t="s">
        <v>598</v>
      </c>
      <c r="AD46" s="1" t="s">
        <v>599</v>
      </c>
    </row>
    <row r="47" spans="1:30" ht="15.95" customHeight="1" x14ac:dyDescent="0.2">
      <c r="A47" s="5">
        <v>45</v>
      </c>
      <c r="B47" s="3">
        <v>113037</v>
      </c>
      <c r="C47" s="6" t="s">
        <v>187</v>
      </c>
      <c r="D47" s="6" t="s">
        <v>73</v>
      </c>
      <c r="E47" s="20" t="s">
        <v>191</v>
      </c>
      <c r="F47" s="20"/>
      <c r="G47" s="20">
        <v>8</v>
      </c>
      <c r="H47" s="1" t="s">
        <v>259</v>
      </c>
      <c r="I47" s="1">
        <v>23888972</v>
      </c>
      <c r="J47" s="56">
        <v>39058</v>
      </c>
      <c r="K47" s="1">
        <v>722955573</v>
      </c>
      <c r="L47" s="1">
        <v>797149</v>
      </c>
      <c r="M47" s="1" t="s">
        <v>1147</v>
      </c>
      <c r="N47" s="1" t="s">
        <v>878</v>
      </c>
      <c r="O47" s="63">
        <v>1</v>
      </c>
      <c r="P47" s="1" t="s">
        <v>879</v>
      </c>
      <c r="Q47" s="1" t="s">
        <v>880</v>
      </c>
      <c r="R47" s="1" t="s">
        <v>1148</v>
      </c>
      <c r="S47" s="1" t="s">
        <v>1148</v>
      </c>
      <c r="T47" s="1" t="s">
        <v>299</v>
      </c>
      <c r="U47" s="1" t="s">
        <v>403</v>
      </c>
      <c r="V47" s="1">
        <v>84832816</v>
      </c>
      <c r="W47" s="1" t="s">
        <v>1149</v>
      </c>
      <c r="X47" s="1" t="s">
        <v>1150</v>
      </c>
      <c r="Y47" s="1">
        <v>84195</v>
      </c>
      <c r="Z47" s="1" t="s">
        <v>1151</v>
      </c>
      <c r="AA47" s="1">
        <v>700193119</v>
      </c>
      <c r="AB47" s="1" t="s">
        <v>518</v>
      </c>
      <c r="AD47" s="1" t="s">
        <v>348</v>
      </c>
    </row>
    <row r="48" spans="1:30" ht="15.95" customHeight="1" x14ac:dyDescent="0.2">
      <c r="A48" s="5">
        <v>46</v>
      </c>
      <c r="B48" s="3">
        <v>181037</v>
      </c>
      <c r="C48" s="14" t="s">
        <v>217</v>
      </c>
      <c r="D48" s="14" t="s">
        <v>73</v>
      </c>
      <c r="E48" s="20" t="s">
        <v>228</v>
      </c>
      <c r="F48" s="31"/>
      <c r="G48" s="44">
        <v>10</v>
      </c>
      <c r="H48" s="1" t="s">
        <v>259</v>
      </c>
      <c r="I48" s="1">
        <v>2366610</v>
      </c>
      <c r="J48" s="56">
        <v>38729</v>
      </c>
      <c r="K48" s="1">
        <v>725257473</v>
      </c>
      <c r="L48" s="1">
        <v>993607</v>
      </c>
      <c r="M48" s="56">
        <v>31080</v>
      </c>
      <c r="N48" s="1" t="s">
        <v>457</v>
      </c>
      <c r="O48" s="63">
        <v>46</v>
      </c>
      <c r="P48" s="1" t="s">
        <v>503</v>
      </c>
      <c r="Q48" s="1" t="s">
        <v>504</v>
      </c>
      <c r="R48" s="1" t="s">
        <v>505</v>
      </c>
      <c r="S48" s="1" t="s">
        <v>506</v>
      </c>
      <c r="T48" s="1" t="s">
        <v>299</v>
      </c>
      <c r="U48" s="1" t="s">
        <v>403</v>
      </c>
      <c r="V48" s="1">
        <v>842952810</v>
      </c>
      <c r="W48" s="1">
        <v>2868158</v>
      </c>
      <c r="X48" s="1" t="s">
        <v>507</v>
      </c>
      <c r="Y48" s="1">
        <v>515</v>
      </c>
      <c r="Z48" s="1" t="s">
        <v>508</v>
      </c>
      <c r="AA48" s="1">
        <v>727996485</v>
      </c>
      <c r="AB48" s="1" t="s">
        <v>325</v>
      </c>
      <c r="AC48" s="1" t="s">
        <v>326</v>
      </c>
      <c r="AD48" s="1" t="s">
        <v>509</v>
      </c>
    </row>
    <row r="49" spans="1:30" ht="15.95" customHeight="1" x14ac:dyDescent="0.2">
      <c r="A49" s="5">
        <v>47</v>
      </c>
      <c r="B49" s="3">
        <v>143022</v>
      </c>
      <c r="C49" s="6" t="s">
        <v>75</v>
      </c>
      <c r="D49" s="6" t="s">
        <v>73</v>
      </c>
      <c r="E49" s="30" t="s">
        <v>76</v>
      </c>
      <c r="F49" s="31"/>
      <c r="G49" s="44">
        <v>10</v>
      </c>
      <c r="H49" s="1" t="s">
        <v>258</v>
      </c>
      <c r="I49" s="1">
        <v>14519207</v>
      </c>
      <c r="J49" s="1" t="s">
        <v>1275</v>
      </c>
      <c r="K49" s="1">
        <v>720712444</v>
      </c>
      <c r="L49" s="1">
        <v>868588</v>
      </c>
      <c r="M49" s="56">
        <v>27030</v>
      </c>
      <c r="N49" s="1" t="s">
        <v>338</v>
      </c>
      <c r="O49" s="63">
        <v>19</v>
      </c>
      <c r="P49" s="1" t="s">
        <v>1276</v>
      </c>
      <c r="Q49" s="1" t="s">
        <v>1277</v>
      </c>
      <c r="R49" s="1" t="s">
        <v>448</v>
      </c>
      <c r="S49" s="1" t="s">
        <v>1278</v>
      </c>
      <c r="T49" s="1" t="s">
        <v>299</v>
      </c>
      <c r="U49" s="1" t="s">
        <v>343</v>
      </c>
      <c r="V49" s="1">
        <v>366478915</v>
      </c>
      <c r="W49" s="1" t="s">
        <v>1279</v>
      </c>
      <c r="X49" s="1" t="s">
        <v>1352</v>
      </c>
      <c r="Y49" s="1">
        <v>236</v>
      </c>
      <c r="Z49" s="1" t="s">
        <v>1280</v>
      </c>
      <c r="AA49" s="1">
        <v>7122887048</v>
      </c>
      <c r="AB49" s="1" t="s">
        <v>329</v>
      </c>
      <c r="AC49" s="1" t="s">
        <v>326</v>
      </c>
      <c r="AD49" s="1" t="s">
        <v>694</v>
      </c>
    </row>
    <row r="50" spans="1:30" ht="15.95" customHeight="1" x14ac:dyDescent="0.2">
      <c r="A50" s="5">
        <v>48</v>
      </c>
      <c r="B50" s="3">
        <v>184042</v>
      </c>
      <c r="C50" s="8" t="s">
        <v>74</v>
      </c>
      <c r="D50" s="8" t="s">
        <v>73</v>
      </c>
      <c r="E50" s="30" t="s">
        <v>229</v>
      </c>
      <c r="F50" s="31"/>
      <c r="G50" s="44">
        <v>11</v>
      </c>
      <c r="H50" s="1" t="s">
        <v>258</v>
      </c>
      <c r="I50" s="1">
        <v>13878750</v>
      </c>
      <c r="J50" s="1" t="s">
        <v>510</v>
      </c>
      <c r="K50" s="1">
        <v>724900104</v>
      </c>
      <c r="L50" s="1">
        <v>831602</v>
      </c>
      <c r="M50" s="1" t="s">
        <v>511</v>
      </c>
      <c r="N50" s="1" t="s">
        <v>512</v>
      </c>
      <c r="O50" s="63">
        <v>40</v>
      </c>
      <c r="P50" s="1" t="s">
        <v>513</v>
      </c>
      <c r="Q50" s="1" t="s">
        <v>513</v>
      </c>
      <c r="R50" s="1" t="s">
        <v>514</v>
      </c>
      <c r="S50" s="1" t="s">
        <v>515</v>
      </c>
      <c r="T50" s="1" t="s">
        <v>299</v>
      </c>
      <c r="U50" s="1" t="s">
        <v>343</v>
      </c>
      <c r="V50" s="1">
        <v>206777914</v>
      </c>
      <c r="W50" s="1">
        <v>2197769</v>
      </c>
      <c r="X50" s="1" t="s">
        <v>516</v>
      </c>
      <c r="Y50" s="1">
        <v>10</v>
      </c>
      <c r="Z50" s="1" t="s">
        <v>517</v>
      </c>
      <c r="AA50" s="1">
        <v>724900104</v>
      </c>
      <c r="AB50" s="1" t="s">
        <v>518</v>
      </c>
      <c r="AD50" s="1" t="s">
        <v>327</v>
      </c>
    </row>
    <row r="51" spans="1:30" ht="15.95" customHeight="1" x14ac:dyDescent="0.2">
      <c r="A51" s="5">
        <v>49</v>
      </c>
      <c r="B51" s="3">
        <v>163149</v>
      </c>
      <c r="C51" s="6" t="s">
        <v>77</v>
      </c>
      <c r="D51" s="6" t="s">
        <v>73</v>
      </c>
      <c r="E51" s="30" t="s">
        <v>229</v>
      </c>
      <c r="F51" s="31"/>
      <c r="G51" s="44">
        <v>11</v>
      </c>
      <c r="H51" s="1" t="s">
        <v>258</v>
      </c>
      <c r="I51" s="1">
        <v>13783232</v>
      </c>
      <c r="J51" s="56">
        <v>40913</v>
      </c>
      <c r="K51" s="1">
        <v>727280749</v>
      </c>
      <c r="L51" s="1">
        <v>84575</v>
      </c>
      <c r="M51" s="1" t="s">
        <v>519</v>
      </c>
      <c r="N51" s="1" t="s">
        <v>438</v>
      </c>
      <c r="O51" s="63">
        <v>15</v>
      </c>
      <c r="P51" s="1" t="s">
        <v>520</v>
      </c>
      <c r="Q51" s="1" t="s">
        <v>520</v>
      </c>
      <c r="R51" s="1" t="s">
        <v>521</v>
      </c>
      <c r="S51" s="1" t="s">
        <v>522</v>
      </c>
      <c r="T51" s="1" t="s">
        <v>299</v>
      </c>
      <c r="U51" s="1" t="s">
        <v>523</v>
      </c>
      <c r="V51" s="1">
        <v>99800918</v>
      </c>
      <c r="W51" s="1">
        <v>605560</v>
      </c>
      <c r="X51" s="1" t="s">
        <v>524</v>
      </c>
      <c r="Z51" s="1" t="s">
        <v>525</v>
      </c>
      <c r="AA51" s="1">
        <v>724262035</v>
      </c>
      <c r="AB51" s="1" t="s">
        <v>329</v>
      </c>
      <c r="AC51" s="1" t="s">
        <v>326</v>
      </c>
      <c r="AD51" s="1" t="s">
        <v>526</v>
      </c>
    </row>
    <row r="52" spans="1:30" ht="16.5" customHeight="1" x14ac:dyDescent="0.2">
      <c r="A52" s="5">
        <v>50</v>
      </c>
      <c r="B52" s="3">
        <v>241273</v>
      </c>
      <c r="C52" s="6" t="s">
        <v>78</v>
      </c>
      <c r="D52" s="6" t="s">
        <v>79</v>
      </c>
      <c r="E52" s="30" t="s">
        <v>209</v>
      </c>
      <c r="F52" s="31"/>
      <c r="G52" s="44">
        <v>9</v>
      </c>
      <c r="H52" s="1" t="s">
        <v>258</v>
      </c>
      <c r="I52" s="1">
        <v>29236121</v>
      </c>
      <c r="J52" s="56">
        <v>42379</v>
      </c>
      <c r="K52" s="1">
        <v>724062154</v>
      </c>
      <c r="L52" s="1">
        <v>9955194</v>
      </c>
      <c r="M52" s="1" t="s">
        <v>527</v>
      </c>
      <c r="N52" s="1" t="s">
        <v>528</v>
      </c>
      <c r="O52" s="63">
        <v>41</v>
      </c>
      <c r="P52" s="1" t="s">
        <v>529</v>
      </c>
      <c r="Q52" s="1" t="s">
        <v>530</v>
      </c>
      <c r="R52" s="1" t="s">
        <v>530</v>
      </c>
      <c r="S52" s="1" t="s">
        <v>531</v>
      </c>
      <c r="T52" s="1" t="s">
        <v>299</v>
      </c>
      <c r="V52" s="1">
        <v>2003170948</v>
      </c>
      <c r="W52" s="1">
        <v>4227979</v>
      </c>
      <c r="X52" s="1" t="s">
        <v>1354</v>
      </c>
      <c r="Z52" s="1" t="s">
        <v>532</v>
      </c>
      <c r="AA52" s="1">
        <v>719111103</v>
      </c>
      <c r="AB52" s="1" t="s">
        <v>329</v>
      </c>
      <c r="AC52" s="1" t="s">
        <v>326</v>
      </c>
      <c r="AD52" s="1" t="s">
        <v>533</v>
      </c>
    </row>
    <row r="53" spans="1:30" ht="20.25" customHeight="1" x14ac:dyDescent="0.2">
      <c r="A53" s="5">
        <v>51</v>
      </c>
      <c r="B53" s="3">
        <v>163124</v>
      </c>
      <c r="C53" s="6" t="s">
        <v>81</v>
      </c>
      <c r="D53" s="6" t="s">
        <v>79</v>
      </c>
      <c r="E53" s="30" t="s">
        <v>80</v>
      </c>
      <c r="F53" s="31"/>
      <c r="G53" s="44">
        <v>10</v>
      </c>
      <c r="H53" s="1" t="s">
        <v>258</v>
      </c>
      <c r="I53" s="1">
        <v>9194224</v>
      </c>
      <c r="J53" s="1" t="s">
        <v>1350</v>
      </c>
      <c r="K53" s="1">
        <v>721718091</v>
      </c>
      <c r="M53" s="1" t="s">
        <v>1351</v>
      </c>
      <c r="N53" s="1" t="s">
        <v>833</v>
      </c>
      <c r="O53" s="63">
        <v>33</v>
      </c>
      <c r="T53" s="1" t="s">
        <v>299</v>
      </c>
      <c r="V53" s="1">
        <v>118423916</v>
      </c>
      <c r="W53" s="1">
        <v>500643</v>
      </c>
    </row>
    <row r="54" spans="1:30" ht="15.95" customHeight="1" x14ac:dyDescent="0.2">
      <c r="A54" s="5">
        <v>52</v>
      </c>
      <c r="B54" s="3">
        <v>174055</v>
      </c>
      <c r="C54" s="6" t="s">
        <v>84</v>
      </c>
      <c r="D54" s="6" t="s">
        <v>79</v>
      </c>
      <c r="E54" s="30" t="s">
        <v>80</v>
      </c>
      <c r="F54" s="31"/>
      <c r="G54" s="44">
        <v>10</v>
      </c>
      <c r="H54" s="1" t="s">
        <v>258</v>
      </c>
      <c r="I54" s="1">
        <v>20124396</v>
      </c>
      <c r="J54" s="56">
        <v>41275</v>
      </c>
      <c r="K54" s="1">
        <v>721449292</v>
      </c>
      <c r="M54" s="1" t="s">
        <v>1074</v>
      </c>
      <c r="N54" s="1" t="s">
        <v>728</v>
      </c>
      <c r="O54" s="63">
        <v>30</v>
      </c>
      <c r="P54" s="1" t="s">
        <v>1075</v>
      </c>
      <c r="Q54" s="1" t="s">
        <v>1075</v>
      </c>
      <c r="R54" s="1" t="s">
        <v>1075</v>
      </c>
      <c r="S54" s="1" t="s">
        <v>1076</v>
      </c>
      <c r="T54" s="1" t="s">
        <v>299</v>
      </c>
      <c r="U54" s="1" t="s">
        <v>618</v>
      </c>
      <c r="V54" s="1">
        <v>271822910</v>
      </c>
      <c r="W54" s="1" t="s">
        <v>1077</v>
      </c>
      <c r="X54" s="1" t="s">
        <v>1078</v>
      </c>
      <c r="Y54" s="1">
        <v>80</v>
      </c>
      <c r="Z54" s="1" t="s">
        <v>1079</v>
      </c>
      <c r="AA54" s="1">
        <v>722700560</v>
      </c>
      <c r="AB54" s="1" t="s">
        <v>463</v>
      </c>
      <c r="AC54" s="1" t="s">
        <v>326</v>
      </c>
      <c r="AD54" s="1" t="s">
        <v>1080</v>
      </c>
    </row>
    <row r="55" spans="1:30" ht="15.95" customHeight="1" x14ac:dyDescent="0.2">
      <c r="A55" s="5">
        <v>53</v>
      </c>
      <c r="B55" s="3">
        <v>241709</v>
      </c>
      <c r="C55" s="20" t="s">
        <v>266</v>
      </c>
      <c r="D55" s="20" t="s">
        <v>79</v>
      </c>
      <c r="E55" s="47" t="s">
        <v>80</v>
      </c>
      <c r="F55" s="48"/>
      <c r="G55" s="48">
        <v>10</v>
      </c>
      <c r="H55" s="1" t="s">
        <v>258</v>
      </c>
      <c r="I55" s="1">
        <v>36692455</v>
      </c>
      <c r="J55" s="1" t="s">
        <v>534</v>
      </c>
      <c r="K55" s="1">
        <v>719266120</v>
      </c>
      <c r="L55" s="1">
        <v>290109</v>
      </c>
      <c r="M55" s="1" t="s">
        <v>535</v>
      </c>
      <c r="N55" s="1" t="s">
        <v>410</v>
      </c>
      <c r="O55" s="63">
        <v>36</v>
      </c>
      <c r="P55" s="1" t="s">
        <v>536</v>
      </c>
      <c r="Q55" s="1" t="s">
        <v>537</v>
      </c>
      <c r="R55" s="1" t="s">
        <v>538</v>
      </c>
      <c r="S55" s="1" t="s">
        <v>539</v>
      </c>
      <c r="T55" s="1" t="s">
        <v>306</v>
      </c>
      <c r="U55" s="1" t="s">
        <v>343</v>
      </c>
      <c r="V55" s="1" t="s">
        <v>540</v>
      </c>
      <c r="W55" s="1">
        <v>19379892</v>
      </c>
      <c r="X55" s="1" t="s">
        <v>541</v>
      </c>
      <c r="Y55" s="1">
        <v>129</v>
      </c>
      <c r="Z55" s="1" t="s">
        <v>542</v>
      </c>
      <c r="AA55" s="1">
        <v>707194038</v>
      </c>
      <c r="AB55" s="1" t="s">
        <v>463</v>
      </c>
      <c r="AC55" s="1" t="s">
        <v>326</v>
      </c>
      <c r="AD55" s="1" t="s">
        <v>327</v>
      </c>
    </row>
    <row r="56" spans="1:30" ht="15.95" customHeight="1" x14ac:dyDescent="0.2">
      <c r="A56" s="5">
        <v>54</v>
      </c>
      <c r="B56" s="3">
        <v>175204</v>
      </c>
      <c r="C56" s="6" t="s">
        <v>543</v>
      </c>
      <c r="D56" s="6" t="s">
        <v>79</v>
      </c>
      <c r="E56" s="30" t="s">
        <v>80</v>
      </c>
      <c r="F56" s="31"/>
      <c r="G56" s="44">
        <v>12</v>
      </c>
      <c r="H56" s="1" t="s">
        <v>258</v>
      </c>
      <c r="I56" s="1">
        <v>22469478</v>
      </c>
      <c r="J56" s="56">
        <v>40545</v>
      </c>
      <c r="K56" s="1">
        <v>722734025</v>
      </c>
      <c r="L56" s="1">
        <v>3888941</v>
      </c>
      <c r="M56" s="56">
        <v>29932</v>
      </c>
      <c r="N56" s="1" t="s">
        <v>338</v>
      </c>
      <c r="O56" s="63">
        <v>19</v>
      </c>
      <c r="P56" s="1" t="s">
        <v>544</v>
      </c>
      <c r="Q56" s="1" t="s">
        <v>544</v>
      </c>
      <c r="R56" s="1" t="s">
        <v>545</v>
      </c>
      <c r="S56" s="1" t="s">
        <v>546</v>
      </c>
      <c r="T56" s="1" t="s">
        <v>299</v>
      </c>
      <c r="U56" s="1" t="s">
        <v>523</v>
      </c>
      <c r="V56" s="1">
        <v>527759910</v>
      </c>
      <c r="W56" s="1">
        <v>2784292</v>
      </c>
      <c r="X56" s="1" t="s">
        <v>1356</v>
      </c>
      <c r="Y56" s="1">
        <v>38</v>
      </c>
      <c r="Z56" s="1" t="s">
        <v>547</v>
      </c>
      <c r="AA56" s="1">
        <v>7223544439</v>
      </c>
      <c r="AB56" s="1" t="s">
        <v>446</v>
      </c>
      <c r="AC56" s="1" t="s">
        <v>427</v>
      </c>
      <c r="AD56" s="1" t="s">
        <v>464</v>
      </c>
    </row>
    <row r="57" spans="1:30" ht="15.75" customHeight="1" x14ac:dyDescent="0.2">
      <c r="A57" s="5">
        <v>55</v>
      </c>
      <c r="B57" s="3">
        <v>161152</v>
      </c>
      <c r="C57" s="6" t="s">
        <v>82</v>
      </c>
      <c r="D57" s="6" t="s">
        <v>79</v>
      </c>
      <c r="E57" s="30" t="s">
        <v>80</v>
      </c>
      <c r="F57" s="31"/>
      <c r="G57" s="44">
        <v>12</v>
      </c>
      <c r="H57" s="1" t="s">
        <v>258</v>
      </c>
      <c r="I57" s="1">
        <v>11305223</v>
      </c>
      <c r="J57" s="56">
        <v>39083</v>
      </c>
      <c r="K57" s="1">
        <v>721555316</v>
      </c>
      <c r="L57" s="1">
        <v>9350138</v>
      </c>
      <c r="M57" s="1" t="s">
        <v>548</v>
      </c>
      <c r="N57" s="1" t="s">
        <v>416</v>
      </c>
      <c r="O57" s="63">
        <v>37</v>
      </c>
      <c r="P57" s="1" t="s">
        <v>416</v>
      </c>
      <c r="Q57" s="1" t="s">
        <v>549</v>
      </c>
      <c r="R57" s="1" t="s">
        <v>550</v>
      </c>
      <c r="S57" s="1" t="s">
        <v>551</v>
      </c>
      <c r="T57" s="1" t="s">
        <v>299</v>
      </c>
      <c r="U57" s="1" t="s">
        <v>811</v>
      </c>
      <c r="V57" s="1">
        <v>56207921</v>
      </c>
      <c r="W57" s="1">
        <v>2076324</v>
      </c>
      <c r="X57" s="1" t="s">
        <v>553</v>
      </c>
      <c r="Y57" s="1">
        <v>19</v>
      </c>
      <c r="Z57" s="1" t="s">
        <v>554</v>
      </c>
      <c r="AA57" s="1">
        <v>7238699107</v>
      </c>
      <c r="AB57" s="1" t="s">
        <v>329</v>
      </c>
      <c r="AC57" s="1" t="s">
        <v>427</v>
      </c>
      <c r="AD57" s="1" t="s">
        <v>464</v>
      </c>
    </row>
    <row r="58" spans="1:30" ht="15.95" customHeight="1" x14ac:dyDescent="0.2">
      <c r="A58" s="5">
        <v>56</v>
      </c>
      <c r="B58" s="3">
        <v>175209</v>
      </c>
      <c r="C58" s="6" t="s">
        <v>83</v>
      </c>
      <c r="D58" s="6" t="s">
        <v>79</v>
      </c>
      <c r="E58" s="30" t="s">
        <v>80</v>
      </c>
      <c r="F58" s="20"/>
      <c r="G58" s="20">
        <v>12</v>
      </c>
      <c r="H58" s="1" t="s">
        <v>258</v>
      </c>
      <c r="I58" s="1">
        <v>14425020</v>
      </c>
      <c r="J58" s="56">
        <v>40551</v>
      </c>
      <c r="K58" s="1">
        <v>796116256</v>
      </c>
      <c r="L58" s="1">
        <v>3678534</v>
      </c>
      <c r="M58" s="1" t="s">
        <v>555</v>
      </c>
      <c r="N58" s="1" t="s">
        <v>556</v>
      </c>
      <c r="O58" s="63">
        <v>17</v>
      </c>
      <c r="P58" s="1" t="s">
        <v>557</v>
      </c>
      <c r="Q58" s="1" t="s">
        <v>557</v>
      </c>
      <c r="R58" s="1" t="s">
        <v>558</v>
      </c>
      <c r="S58" s="1" t="s">
        <v>559</v>
      </c>
      <c r="T58" s="1" t="s">
        <v>299</v>
      </c>
      <c r="U58" s="1" t="s">
        <v>523</v>
      </c>
      <c r="V58" s="1">
        <v>217249914</v>
      </c>
      <c r="W58" s="1">
        <v>2243293</v>
      </c>
      <c r="X58" s="1" t="s">
        <v>1355</v>
      </c>
      <c r="Y58" s="1">
        <v>52</v>
      </c>
      <c r="Z58" s="1" t="s">
        <v>560</v>
      </c>
      <c r="AA58" s="1">
        <v>721371594</v>
      </c>
      <c r="AB58" s="1" t="s">
        <v>329</v>
      </c>
      <c r="AC58" s="1" t="s">
        <v>326</v>
      </c>
      <c r="AD58" s="1" t="s">
        <v>561</v>
      </c>
    </row>
    <row r="59" spans="1:30" ht="18.75" customHeight="1" x14ac:dyDescent="0.2">
      <c r="A59" s="5">
        <v>57</v>
      </c>
      <c r="B59" s="3">
        <v>241311</v>
      </c>
      <c r="C59" s="6" t="s">
        <v>172</v>
      </c>
      <c r="D59" s="6" t="s">
        <v>79</v>
      </c>
      <c r="E59" s="20" t="s">
        <v>80</v>
      </c>
      <c r="F59" s="20"/>
      <c r="G59" s="20">
        <v>12</v>
      </c>
      <c r="H59" s="1" t="s">
        <v>258</v>
      </c>
      <c r="I59" s="1">
        <v>27532666</v>
      </c>
      <c r="J59" s="1" t="s">
        <v>562</v>
      </c>
      <c r="K59" s="1">
        <v>715619869</v>
      </c>
      <c r="L59" s="1">
        <v>659712</v>
      </c>
      <c r="M59" s="1" t="s">
        <v>563</v>
      </c>
      <c r="N59" s="1" t="s">
        <v>556</v>
      </c>
      <c r="O59" s="63">
        <v>17</v>
      </c>
      <c r="P59" s="1" t="s">
        <v>564</v>
      </c>
      <c r="Q59" s="1" t="s">
        <v>565</v>
      </c>
      <c r="R59" s="1" t="s">
        <v>566</v>
      </c>
      <c r="S59" s="1" t="s">
        <v>567</v>
      </c>
      <c r="T59" s="1" t="s">
        <v>306</v>
      </c>
      <c r="U59" s="1" t="s">
        <v>376</v>
      </c>
      <c r="V59" s="1">
        <v>2011925753</v>
      </c>
      <c r="W59" s="1">
        <v>6006946</v>
      </c>
      <c r="X59" s="1" t="s">
        <v>568</v>
      </c>
      <c r="Y59" s="1">
        <v>33</v>
      </c>
      <c r="Z59" s="1" t="s">
        <v>569</v>
      </c>
      <c r="AA59" s="1">
        <v>704018991</v>
      </c>
      <c r="AB59" s="1" t="s">
        <v>329</v>
      </c>
      <c r="AC59" s="1" t="s">
        <v>326</v>
      </c>
      <c r="AD59" s="1" t="s">
        <v>570</v>
      </c>
    </row>
    <row r="60" spans="1:30" ht="16.5" customHeight="1" x14ac:dyDescent="0.2">
      <c r="A60" s="5">
        <v>58</v>
      </c>
      <c r="B60" s="3">
        <v>241611</v>
      </c>
      <c r="C60" s="6" t="s">
        <v>199</v>
      </c>
      <c r="D60" s="6" t="s">
        <v>79</v>
      </c>
      <c r="E60" s="20" t="s">
        <v>80</v>
      </c>
      <c r="F60" s="20"/>
      <c r="G60" s="20">
        <v>12</v>
      </c>
      <c r="H60" s="1" t="s">
        <v>259</v>
      </c>
      <c r="I60" s="1">
        <v>29105215</v>
      </c>
      <c r="J60" s="56">
        <v>44621</v>
      </c>
      <c r="K60" s="1">
        <v>713904706</v>
      </c>
      <c r="L60" s="1">
        <v>9385358</v>
      </c>
      <c r="M60" s="56">
        <v>33420</v>
      </c>
      <c r="N60" s="1" t="s">
        <v>571</v>
      </c>
      <c r="O60" s="63">
        <v>21</v>
      </c>
      <c r="P60" s="1" t="s">
        <v>571</v>
      </c>
      <c r="Q60" s="1" t="s">
        <v>572</v>
      </c>
      <c r="R60" s="1" t="s">
        <v>573</v>
      </c>
      <c r="S60" s="1" t="s">
        <v>574</v>
      </c>
      <c r="T60" s="1" t="s">
        <v>306</v>
      </c>
      <c r="U60" s="1" t="s">
        <v>343</v>
      </c>
      <c r="V60" s="1">
        <v>2035060866</v>
      </c>
      <c r="W60" s="1">
        <v>8837572</v>
      </c>
      <c r="X60" s="1" t="s">
        <v>575</v>
      </c>
      <c r="Y60" s="1">
        <v>57</v>
      </c>
      <c r="Z60" s="1" t="s">
        <v>576</v>
      </c>
      <c r="AA60" s="1">
        <v>724594231</v>
      </c>
      <c r="AB60" s="1" t="s">
        <v>396</v>
      </c>
      <c r="AC60" s="1" t="s">
        <v>427</v>
      </c>
      <c r="AD60" s="1" t="s">
        <v>327</v>
      </c>
    </row>
    <row r="61" spans="1:30" ht="15.95" customHeight="1" x14ac:dyDescent="0.2">
      <c r="A61" s="5">
        <v>59</v>
      </c>
      <c r="B61" s="3">
        <v>241722</v>
      </c>
      <c r="C61" s="6" t="s">
        <v>205</v>
      </c>
      <c r="D61" s="6" t="s">
        <v>79</v>
      </c>
      <c r="E61" s="20" t="s">
        <v>80</v>
      </c>
      <c r="F61" s="20"/>
      <c r="G61" s="20">
        <v>12</v>
      </c>
      <c r="H61" s="1" t="s">
        <v>258</v>
      </c>
      <c r="I61" s="1">
        <v>30223693</v>
      </c>
      <c r="J61" s="56"/>
      <c r="K61" s="1">
        <v>723331998</v>
      </c>
      <c r="L61" s="1">
        <v>270607</v>
      </c>
      <c r="M61" s="56">
        <v>32874</v>
      </c>
      <c r="N61" s="1" t="s">
        <v>577</v>
      </c>
      <c r="O61" s="63">
        <v>13</v>
      </c>
      <c r="P61" s="1" t="s">
        <v>578</v>
      </c>
      <c r="Q61" s="1" t="s">
        <v>579</v>
      </c>
      <c r="R61" s="1" t="s">
        <v>580</v>
      </c>
      <c r="S61" s="1" t="s">
        <v>581</v>
      </c>
      <c r="T61" s="1" t="s">
        <v>306</v>
      </c>
      <c r="U61" s="1" t="s">
        <v>343</v>
      </c>
      <c r="V61" s="1">
        <v>2025434167</v>
      </c>
      <c r="W61" s="1">
        <v>9445966</v>
      </c>
      <c r="X61" s="1" t="s">
        <v>582</v>
      </c>
      <c r="Y61" s="1">
        <v>47</v>
      </c>
      <c r="Z61" s="1" t="s">
        <v>583</v>
      </c>
      <c r="AA61" s="1">
        <v>7233311998</v>
      </c>
      <c r="AB61" s="1" t="s">
        <v>584</v>
      </c>
      <c r="AC61" s="1" t="s">
        <v>427</v>
      </c>
      <c r="AD61" s="1" t="s">
        <v>327</v>
      </c>
    </row>
    <row r="62" spans="1:30" ht="15.95" customHeight="1" x14ac:dyDescent="0.2">
      <c r="A62" s="5">
        <v>60</v>
      </c>
      <c r="B62" s="3">
        <v>241716</v>
      </c>
      <c r="C62" s="20" t="s">
        <v>267</v>
      </c>
      <c r="D62" s="20" t="s">
        <v>79</v>
      </c>
      <c r="E62" s="47" t="s">
        <v>80</v>
      </c>
      <c r="F62" s="48"/>
      <c r="G62" s="48">
        <v>12</v>
      </c>
      <c r="H62" s="1" t="s">
        <v>258</v>
      </c>
      <c r="I62" s="1">
        <v>26091118</v>
      </c>
      <c r="J62" s="56">
        <v>44594</v>
      </c>
      <c r="K62" s="1">
        <v>706777829</v>
      </c>
      <c r="L62" s="1">
        <v>9205553</v>
      </c>
      <c r="M62" s="1">
        <v>1989</v>
      </c>
      <c r="N62" s="1" t="s">
        <v>338</v>
      </c>
      <c r="O62" s="63">
        <v>19</v>
      </c>
      <c r="P62" s="1" t="s">
        <v>600</v>
      </c>
      <c r="Q62" s="1" t="s">
        <v>601</v>
      </c>
      <c r="R62" s="1" t="s">
        <v>601</v>
      </c>
      <c r="S62" s="1" t="s">
        <v>602</v>
      </c>
      <c r="T62" s="1" t="s">
        <v>306</v>
      </c>
      <c r="U62" s="1" t="s">
        <v>618</v>
      </c>
      <c r="W62" s="1">
        <v>4936735</v>
      </c>
      <c r="X62" s="1" t="s">
        <v>603</v>
      </c>
      <c r="Y62" s="1">
        <v>263</v>
      </c>
      <c r="Z62" s="1" t="s">
        <v>604</v>
      </c>
      <c r="AA62" s="1">
        <v>702804925</v>
      </c>
      <c r="AB62" s="1" t="s">
        <v>518</v>
      </c>
      <c r="AC62" s="1" t="s">
        <v>326</v>
      </c>
      <c r="AD62" s="1" t="s">
        <v>328</v>
      </c>
    </row>
    <row r="63" spans="1:30" ht="15.95" customHeight="1" x14ac:dyDescent="0.2">
      <c r="A63" s="5">
        <v>61</v>
      </c>
      <c r="B63" s="3">
        <v>241113</v>
      </c>
      <c r="C63" s="6" t="s">
        <v>1331</v>
      </c>
      <c r="D63" s="6" t="s">
        <v>79</v>
      </c>
      <c r="E63" s="30" t="s">
        <v>80</v>
      </c>
      <c r="F63" s="31"/>
      <c r="G63" s="44">
        <v>13</v>
      </c>
      <c r="H63" s="1" t="s">
        <v>258</v>
      </c>
      <c r="I63" s="1">
        <v>23111970</v>
      </c>
      <c r="J63" s="56">
        <v>40545</v>
      </c>
      <c r="K63" s="1">
        <v>723972559</v>
      </c>
      <c r="L63" s="1">
        <v>157944</v>
      </c>
      <c r="M63" s="1">
        <v>1982</v>
      </c>
      <c r="N63" s="1" t="s">
        <v>833</v>
      </c>
      <c r="O63" s="63">
        <v>33</v>
      </c>
      <c r="P63" s="1" t="s">
        <v>1081</v>
      </c>
      <c r="Q63" s="1" t="s">
        <v>1082</v>
      </c>
      <c r="R63" s="1" t="s">
        <v>1083</v>
      </c>
      <c r="S63" s="1" t="s">
        <v>1084</v>
      </c>
      <c r="T63" s="1" t="s">
        <v>299</v>
      </c>
      <c r="U63" s="1" t="s">
        <v>618</v>
      </c>
      <c r="V63" s="1">
        <v>335455913</v>
      </c>
      <c r="W63" s="1">
        <v>2766537</v>
      </c>
      <c r="X63" s="1" t="s">
        <v>1357</v>
      </c>
      <c r="Y63" s="1">
        <v>26</v>
      </c>
      <c r="Z63" s="1" t="s">
        <v>1085</v>
      </c>
      <c r="AA63" s="1">
        <v>742480117</v>
      </c>
      <c r="AB63" s="1" t="s">
        <v>329</v>
      </c>
      <c r="AC63" s="1" t="s">
        <v>326</v>
      </c>
      <c r="AD63" s="1" t="s">
        <v>765</v>
      </c>
    </row>
    <row r="64" spans="1:30" ht="15.95" customHeight="1" x14ac:dyDescent="0.2">
      <c r="A64" s="5">
        <v>62</v>
      </c>
      <c r="B64" s="3">
        <v>171173</v>
      </c>
      <c r="C64" s="20" t="s">
        <v>1191</v>
      </c>
      <c r="D64" s="20" t="s">
        <v>79</v>
      </c>
      <c r="E64" s="58" t="s">
        <v>80</v>
      </c>
      <c r="F64" s="59"/>
      <c r="G64" s="59">
        <v>12</v>
      </c>
      <c r="H64" s="1" t="s">
        <v>258</v>
      </c>
      <c r="I64" s="1">
        <v>22672402</v>
      </c>
      <c r="J64" s="56">
        <v>2005</v>
      </c>
      <c r="K64" s="1">
        <v>704872309</v>
      </c>
      <c r="L64" s="1">
        <v>9600939</v>
      </c>
      <c r="M64" s="56">
        <v>30471</v>
      </c>
      <c r="N64" s="1" t="s">
        <v>457</v>
      </c>
      <c r="O64" s="63">
        <v>46</v>
      </c>
      <c r="P64" s="1" t="s">
        <v>457</v>
      </c>
      <c r="Q64" s="1" t="s">
        <v>1192</v>
      </c>
      <c r="R64" s="1" t="s">
        <v>1193</v>
      </c>
      <c r="S64" s="1" t="s">
        <v>1194</v>
      </c>
      <c r="T64" s="1" t="s">
        <v>299</v>
      </c>
      <c r="U64" s="1" t="s">
        <v>618</v>
      </c>
      <c r="V64" s="1">
        <v>61914922</v>
      </c>
      <c r="W64" s="1" t="s">
        <v>1195</v>
      </c>
      <c r="X64" s="1" t="s">
        <v>1360</v>
      </c>
      <c r="Y64" s="1">
        <v>228</v>
      </c>
      <c r="Z64" s="1" t="s">
        <v>1196</v>
      </c>
      <c r="AA64" s="1">
        <v>790302462</v>
      </c>
      <c r="AB64" s="1" t="s">
        <v>329</v>
      </c>
      <c r="AD64" s="1" t="s">
        <v>303</v>
      </c>
    </row>
    <row r="65" spans="1:30" ht="15.95" customHeight="1" x14ac:dyDescent="0.2">
      <c r="A65" s="5">
        <v>63</v>
      </c>
      <c r="B65" s="3">
        <v>152003</v>
      </c>
      <c r="C65" s="6" t="s">
        <v>88</v>
      </c>
      <c r="D65" s="6" t="s">
        <v>86</v>
      </c>
      <c r="E65" s="30" t="s">
        <v>89</v>
      </c>
      <c r="F65" s="20"/>
      <c r="G65" s="20">
        <v>8</v>
      </c>
      <c r="H65" s="1" t="s">
        <v>258</v>
      </c>
      <c r="I65" s="1">
        <v>12631708</v>
      </c>
      <c r="J65" s="56">
        <v>38729</v>
      </c>
      <c r="K65" s="1">
        <v>722682791</v>
      </c>
      <c r="L65" s="1">
        <v>483644</v>
      </c>
      <c r="M65" s="1">
        <v>1974</v>
      </c>
      <c r="N65" s="1" t="s">
        <v>438</v>
      </c>
      <c r="O65" s="63">
        <v>15</v>
      </c>
      <c r="P65" s="1" t="s">
        <v>605</v>
      </c>
      <c r="Q65" s="1" t="s">
        <v>606</v>
      </c>
      <c r="R65" s="1" t="s">
        <v>607</v>
      </c>
      <c r="S65" s="1" t="s">
        <v>608</v>
      </c>
      <c r="T65" s="1" t="s">
        <v>299</v>
      </c>
      <c r="U65" s="1" t="s">
        <v>343</v>
      </c>
      <c r="V65" s="1" t="s">
        <v>609</v>
      </c>
      <c r="W65" s="1" t="s">
        <v>610</v>
      </c>
      <c r="X65" s="1" t="s">
        <v>611</v>
      </c>
      <c r="Y65" s="1" t="s">
        <v>612</v>
      </c>
      <c r="Z65" s="1" t="s">
        <v>613</v>
      </c>
      <c r="AA65" s="1">
        <v>727941732</v>
      </c>
      <c r="AB65" s="1" t="s">
        <v>463</v>
      </c>
      <c r="AC65" s="1" t="s">
        <v>326</v>
      </c>
      <c r="AD65" s="1" t="s">
        <v>303</v>
      </c>
    </row>
    <row r="66" spans="1:30" ht="15.95" customHeight="1" x14ac:dyDescent="0.2">
      <c r="A66" s="5">
        <v>64</v>
      </c>
      <c r="B66" s="3">
        <v>241559</v>
      </c>
      <c r="C66" s="6" t="s">
        <v>186</v>
      </c>
      <c r="D66" s="6" t="s">
        <v>86</v>
      </c>
      <c r="E66" s="20" t="s">
        <v>89</v>
      </c>
      <c r="F66" s="31"/>
      <c r="G66" s="44">
        <v>8</v>
      </c>
      <c r="H66" s="1" t="s">
        <v>258</v>
      </c>
      <c r="I66" s="1">
        <v>27446977</v>
      </c>
      <c r="J66" s="1" t="s">
        <v>1397</v>
      </c>
      <c r="K66" s="1">
        <v>721728831</v>
      </c>
      <c r="L66" s="1">
        <v>136310</v>
      </c>
      <c r="M66" s="1" t="s">
        <v>1398</v>
      </c>
      <c r="N66" s="1" t="s">
        <v>438</v>
      </c>
      <c r="O66" s="63">
        <v>15</v>
      </c>
      <c r="P66" s="1" t="s">
        <v>1399</v>
      </c>
      <c r="Q66" s="1" t="s">
        <v>1400</v>
      </c>
      <c r="R66" s="1" t="s">
        <v>1400</v>
      </c>
      <c r="S66" s="1" t="s">
        <v>1401</v>
      </c>
      <c r="T66" s="1" t="s">
        <v>306</v>
      </c>
      <c r="U66" s="1" t="s">
        <v>403</v>
      </c>
      <c r="V66" s="1" t="s">
        <v>1404</v>
      </c>
      <c r="W66" s="1">
        <v>6229294</v>
      </c>
      <c r="X66" s="1" t="s">
        <v>1405</v>
      </c>
      <c r="Y66" s="1" t="s">
        <v>1402</v>
      </c>
      <c r="Z66" s="1" t="s">
        <v>1403</v>
      </c>
      <c r="AA66" s="1">
        <v>723457123</v>
      </c>
      <c r="AB66" s="1" t="s">
        <v>597</v>
      </c>
      <c r="AD66" s="1" t="s">
        <v>464</v>
      </c>
    </row>
    <row r="67" spans="1:30" ht="15.95" customHeight="1" x14ac:dyDescent="0.2">
      <c r="A67" s="5">
        <v>65</v>
      </c>
      <c r="B67" s="3">
        <v>161083</v>
      </c>
      <c r="C67" s="6" t="s">
        <v>85</v>
      </c>
      <c r="D67" s="6" t="s">
        <v>86</v>
      </c>
      <c r="E67" s="30" t="s">
        <v>87</v>
      </c>
      <c r="F67" s="20"/>
      <c r="G67" s="20">
        <v>9</v>
      </c>
      <c r="H67" s="1" t="s">
        <v>258</v>
      </c>
      <c r="I67" s="1">
        <v>9084722</v>
      </c>
      <c r="J67" s="56">
        <v>33580</v>
      </c>
      <c r="K67" s="1">
        <v>721397379</v>
      </c>
      <c r="M67" s="1">
        <v>1966</v>
      </c>
      <c r="N67" s="1" t="s">
        <v>438</v>
      </c>
      <c r="O67" s="63">
        <v>15</v>
      </c>
      <c r="P67" s="1" t="s">
        <v>623</v>
      </c>
      <c r="Q67" s="1" t="s">
        <v>624</v>
      </c>
      <c r="R67" s="1" t="s">
        <v>625</v>
      </c>
      <c r="S67" s="1" t="s">
        <v>626</v>
      </c>
      <c r="T67" s="1" t="s">
        <v>299</v>
      </c>
      <c r="U67" s="1" t="s">
        <v>618</v>
      </c>
      <c r="V67" s="1">
        <v>924640626</v>
      </c>
      <c r="W67" s="1" t="s">
        <v>627</v>
      </c>
      <c r="X67" s="1" t="s">
        <v>628</v>
      </c>
      <c r="Y67" s="1">
        <v>788</v>
      </c>
      <c r="Z67" s="1" t="s">
        <v>629</v>
      </c>
      <c r="AA67" s="1">
        <v>745331678</v>
      </c>
      <c r="AB67" s="1" t="s">
        <v>396</v>
      </c>
    </row>
    <row r="68" spans="1:30" ht="15.95" customHeight="1" x14ac:dyDescent="0.2">
      <c r="A68" s="5">
        <v>66</v>
      </c>
      <c r="B68" s="3">
        <v>163125</v>
      </c>
      <c r="C68" s="19" t="s">
        <v>225</v>
      </c>
      <c r="D68" s="19" t="s">
        <v>86</v>
      </c>
      <c r="E68" s="20" t="s">
        <v>226</v>
      </c>
      <c r="F68" s="31"/>
      <c r="G68" s="44">
        <v>10</v>
      </c>
      <c r="H68" s="1" t="s">
        <v>258</v>
      </c>
      <c r="I68" s="1">
        <v>7113809</v>
      </c>
      <c r="J68" s="56">
        <v>38967</v>
      </c>
      <c r="K68" s="1">
        <v>722590375</v>
      </c>
      <c r="L68" s="1">
        <v>566596</v>
      </c>
      <c r="M68" s="1" t="s">
        <v>631</v>
      </c>
      <c r="N68" s="1" t="s">
        <v>528</v>
      </c>
      <c r="O68" s="63">
        <v>41</v>
      </c>
      <c r="P68" s="1" t="s">
        <v>632</v>
      </c>
      <c r="Q68" s="1" t="s">
        <v>633</v>
      </c>
      <c r="R68" s="1" t="s">
        <v>634</v>
      </c>
      <c r="S68" s="1" t="s">
        <v>635</v>
      </c>
      <c r="T68" s="1" t="s">
        <v>299</v>
      </c>
      <c r="U68" s="1" t="s">
        <v>618</v>
      </c>
      <c r="V68" s="1">
        <v>667542620</v>
      </c>
      <c r="W68" s="1" t="s">
        <v>636</v>
      </c>
      <c r="X68" s="1" t="s">
        <v>637</v>
      </c>
      <c r="Y68" s="1">
        <v>475</v>
      </c>
      <c r="Z68" s="1" t="s">
        <v>638</v>
      </c>
      <c r="AA68" s="1">
        <v>717303713</v>
      </c>
      <c r="AB68" s="1" t="s">
        <v>518</v>
      </c>
      <c r="AC68" s="1" t="s">
        <v>326</v>
      </c>
      <c r="AD68" s="1" t="s">
        <v>639</v>
      </c>
    </row>
    <row r="69" spans="1:30" ht="14.25" customHeight="1" x14ac:dyDescent="0.2">
      <c r="A69" s="5">
        <v>67</v>
      </c>
      <c r="B69" s="3">
        <v>170012</v>
      </c>
      <c r="C69" s="6" t="s">
        <v>91</v>
      </c>
      <c r="D69" s="6" t="s">
        <v>92</v>
      </c>
      <c r="E69" s="30" t="s">
        <v>90</v>
      </c>
      <c r="F69" s="31"/>
      <c r="G69" s="44">
        <v>10</v>
      </c>
      <c r="H69" s="1" t="s">
        <v>258</v>
      </c>
      <c r="I69" s="1">
        <v>9429717</v>
      </c>
      <c r="K69" s="1">
        <v>728626487</v>
      </c>
      <c r="L69" s="1">
        <v>3098381</v>
      </c>
      <c r="M69" s="56">
        <v>24838</v>
      </c>
      <c r="N69" s="1" t="s">
        <v>654</v>
      </c>
      <c r="O69" s="63">
        <v>16</v>
      </c>
      <c r="P69" s="1" t="s">
        <v>655</v>
      </c>
      <c r="Q69" s="1" t="s">
        <v>656</v>
      </c>
      <c r="R69" s="1" t="s">
        <v>655</v>
      </c>
      <c r="S69" s="1" t="s">
        <v>655</v>
      </c>
      <c r="T69" s="1" t="s">
        <v>299</v>
      </c>
      <c r="U69" s="1" t="s">
        <v>343</v>
      </c>
      <c r="V69" s="1">
        <v>675218926</v>
      </c>
      <c r="W69" s="1">
        <v>2277917</v>
      </c>
      <c r="X69" s="1" t="s">
        <v>657</v>
      </c>
      <c r="Z69" s="1" t="s">
        <v>658</v>
      </c>
      <c r="AA69" s="1">
        <v>7136635256</v>
      </c>
      <c r="AB69" s="1" t="s">
        <v>329</v>
      </c>
      <c r="AC69" s="1" t="s">
        <v>326</v>
      </c>
      <c r="AD69" s="1" t="s">
        <v>659</v>
      </c>
    </row>
    <row r="70" spans="1:30" ht="14.25" customHeight="1" x14ac:dyDescent="0.2">
      <c r="A70" s="5">
        <v>68</v>
      </c>
      <c r="B70" s="3">
        <v>163079</v>
      </c>
      <c r="C70" s="20" t="s">
        <v>820</v>
      </c>
      <c r="D70" s="20" t="s">
        <v>92</v>
      </c>
      <c r="E70" s="58" t="s">
        <v>34</v>
      </c>
      <c r="F70" s="59"/>
      <c r="G70" s="59">
        <v>10</v>
      </c>
      <c r="H70" s="1" t="s">
        <v>258</v>
      </c>
      <c r="I70" s="1">
        <v>8966122</v>
      </c>
      <c r="J70" s="56">
        <v>33976</v>
      </c>
      <c r="K70" s="1">
        <v>726715055</v>
      </c>
      <c r="L70" s="1">
        <v>2094357</v>
      </c>
      <c r="M70" s="56">
        <v>24473</v>
      </c>
      <c r="N70" s="1" t="s">
        <v>556</v>
      </c>
      <c r="O70" s="63">
        <v>17</v>
      </c>
      <c r="P70" s="1" t="s">
        <v>821</v>
      </c>
      <c r="Q70" s="1" t="s">
        <v>821</v>
      </c>
      <c r="R70" s="1" t="s">
        <v>822</v>
      </c>
      <c r="S70" s="1" t="s">
        <v>822</v>
      </c>
      <c r="T70" s="1" t="s">
        <v>299</v>
      </c>
      <c r="U70" s="1" t="s">
        <v>343</v>
      </c>
      <c r="V70" s="1">
        <v>403910919</v>
      </c>
      <c r="W70" s="1" t="s">
        <v>823</v>
      </c>
      <c r="X70" s="1" t="s">
        <v>824</v>
      </c>
      <c r="Y70" s="1">
        <v>9</v>
      </c>
      <c r="Z70" s="1" t="s">
        <v>825</v>
      </c>
      <c r="AA70" s="1">
        <v>724572280</v>
      </c>
      <c r="AB70" s="1" t="s">
        <v>329</v>
      </c>
      <c r="AC70" s="1" t="s">
        <v>326</v>
      </c>
      <c r="AD70" s="1" t="s">
        <v>826</v>
      </c>
    </row>
    <row r="71" spans="1:30" ht="15" customHeight="1" x14ac:dyDescent="0.2">
      <c r="A71" s="5">
        <v>69</v>
      </c>
      <c r="B71" s="3">
        <v>114020</v>
      </c>
      <c r="C71" s="6" t="s">
        <v>95</v>
      </c>
      <c r="D71" s="6" t="s">
        <v>92</v>
      </c>
      <c r="E71" s="30" t="s">
        <v>96</v>
      </c>
      <c r="F71" s="20"/>
      <c r="G71" s="20">
        <v>12</v>
      </c>
      <c r="H71" s="1" t="s">
        <v>258</v>
      </c>
      <c r="I71" s="1">
        <v>10024181</v>
      </c>
      <c r="J71" s="1">
        <v>2008</v>
      </c>
      <c r="K71" s="1">
        <v>729051721</v>
      </c>
      <c r="L71" s="1">
        <v>8590072</v>
      </c>
      <c r="M71" s="56">
        <v>24752</v>
      </c>
      <c r="N71" s="1" t="s">
        <v>640</v>
      </c>
      <c r="O71" s="63">
        <v>44</v>
      </c>
      <c r="P71" s="1" t="s">
        <v>641</v>
      </c>
      <c r="Q71" s="1" t="s">
        <v>642</v>
      </c>
      <c r="R71" s="1" t="s">
        <v>641</v>
      </c>
      <c r="S71" s="1" t="s">
        <v>641</v>
      </c>
      <c r="T71" s="1" t="s">
        <v>299</v>
      </c>
      <c r="U71" s="1" t="s">
        <v>552</v>
      </c>
      <c r="V71" s="1" t="s">
        <v>643</v>
      </c>
      <c r="W71" s="1">
        <v>660747</v>
      </c>
      <c r="X71" s="1" t="s">
        <v>644</v>
      </c>
      <c r="Y71" s="1">
        <v>112</v>
      </c>
      <c r="Z71" s="1" t="s">
        <v>645</v>
      </c>
      <c r="AA71" s="1">
        <v>742276448</v>
      </c>
      <c r="AB71" s="1" t="s">
        <v>329</v>
      </c>
      <c r="AC71" s="1" t="s">
        <v>326</v>
      </c>
      <c r="AD71" s="1" t="s">
        <v>646</v>
      </c>
    </row>
    <row r="72" spans="1:30" ht="15.95" customHeight="1" x14ac:dyDescent="0.2">
      <c r="A72" s="5">
        <v>70</v>
      </c>
      <c r="B72" s="3">
        <v>183022</v>
      </c>
      <c r="C72" s="6" t="s">
        <v>164</v>
      </c>
      <c r="D72" s="6" t="s">
        <v>86</v>
      </c>
      <c r="E72" s="20" t="s">
        <v>165</v>
      </c>
      <c r="F72" s="20"/>
      <c r="G72" s="20">
        <v>12</v>
      </c>
      <c r="H72" s="1" t="s">
        <v>258</v>
      </c>
      <c r="I72" s="1">
        <v>5304829</v>
      </c>
      <c r="J72" s="56">
        <v>31423</v>
      </c>
      <c r="K72" s="1">
        <v>722458535</v>
      </c>
      <c r="L72" s="1">
        <v>9377910</v>
      </c>
      <c r="M72" s="56">
        <v>23743</v>
      </c>
      <c r="N72" s="1" t="s">
        <v>647</v>
      </c>
      <c r="O72" s="63">
        <v>38</v>
      </c>
      <c r="P72" s="1" t="s">
        <v>647</v>
      </c>
      <c r="Q72" s="1" t="s">
        <v>648</v>
      </c>
      <c r="R72" s="1" t="s">
        <v>649</v>
      </c>
      <c r="S72" s="1" t="s">
        <v>648</v>
      </c>
      <c r="T72" s="1" t="s">
        <v>299</v>
      </c>
      <c r="U72" s="1" t="s">
        <v>650</v>
      </c>
      <c r="V72" s="1">
        <v>697853624</v>
      </c>
      <c r="W72" s="1" t="s">
        <v>651</v>
      </c>
      <c r="X72" s="1" t="s">
        <v>1358</v>
      </c>
      <c r="Y72" s="1">
        <v>232</v>
      </c>
      <c r="Z72" s="1" t="s">
        <v>652</v>
      </c>
      <c r="AA72" s="1">
        <v>715331380</v>
      </c>
      <c r="AB72" s="1" t="s">
        <v>329</v>
      </c>
      <c r="AC72" s="1" t="s">
        <v>326</v>
      </c>
      <c r="AD72" s="1" t="s">
        <v>653</v>
      </c>
    </row>
    <row r="73" spans="1:30" ht="15.95" customHeight="1" x14ac:dyDescent="0.2">
      <c r="A73" s="5">
        <v>71</v>
      </c>
      <c r="B73" s="3">
        <v>221059</v>
      </c>
      <c r="C73" s="6" t="s">
        <v>168</v>
      </c>
      <c r="D73" s="6" t="s">
        <v>86</v>
      </c>
      <c r="E73" s="20" t="s">
        <v>169</v>
      </c>
      <c r="F73" s="31"/>
      <c r="G73" s="44">
        <v>12</v>
      </c>
      <c r="H73" s="1" t="s">
        <v>258</v>
      </c>
      <c r="I73" s="1">
        <v>11357609</v>
      </c>
      <c r="J73" s="56">
        <v>33976</v>
      </c>
      <c r="K73" s="1">
        <v>720773654</v>
      </c>
      <c r="L73" s="1">
        <v>7551586</v>
      </c>
      <c r="M73" s="56">
        <v>26391</v>
      </c>
      <c r="N73" s="1" t="s">
        <v>315</v>
      </c>
      <c r="O73" s="63">
        <v>22</v>
      </c>
      <c r="P73" s="1" t="s">
        <v>1100</v>
      </c>
      <c r="Q73" s="1" t="s">
        <v>1100</v>
      </c>
      <c r="R73" s="1" t="s">
        <v>1101</v>
      </c>
      <c r="S73" s="1" t="s">
        <v>1102</v>
      </c>
      <c r="T73" s="1" t="s">
        <v>299</v>
      </c>
      <c r="U73" s="1" t="s">
        <v>523</v>
      </c>
      <c r="V73" s="1">
        <v>31637914</v>
      </c>
      <c r="W73" s="1" t="s">
        <v>1103</v>
      </c>
      <c r="X73" s="1" t="s">
        <v>1104</v>
      </c>
      <c r="Y73" s="1">
        <v>57</v>
      </c>
      <c r="Z73" s="1" t="s">
        <v>1105</v>
      </c>
      <c r="AA73" s="1">
        <v>115283445</v>
      </c>
      <c r="AB73" s="1" t="s">
        <v>329</v>
      </c>
      <c r="AC73" s="1" t="s">
        <v>427</v>
      </c>
      <c r="AD73" s="1" t="s">
        <v>765</v>
      </c>
    </row>
    <row r="74" spans="1:30" ht="15.95" customHeight="1" x14ac:dyDescent="0.2">
      <c r="A74" s="5">
        <v>72</v>
      </c>
      <c r="B74" s="3">
        <v>167008</v>
      </c>
      <c r="C74" s="6" t="s">
        <v>97</v>
      </c>
      <c r="D74" s="6" t="s">
        <v>86</v>
      </c>
      <c r="E74" s="30" t="s">
        <v>98</v>
      </c>
      <c r="F74" s="20"/>
      <c r="G74" s="20">
        <v>12</v>
      </c>
      <c r="H74" s="1" t="s">
        <v>258</v>
      </c>
      <c r="I74" s="1">
        <v>11642748</v>
      </c>
      <c r="J74" s="56">
        <v>35013</v>
      </c>
      <c r="K74" s="1">
        <v>792194229</v>
      </c>
      <c r="L74" s="1">
        <v>9602828</v>
      </c>
      <c r="M74" s="56">
        <v>26299</v>
      </c>
      <c r="N74" s="1" t="s">
        <v>1363</v>
      </c>
      <c r="O74" s="63">
        <v>25</v>
      </c>
      <c r="P74" s="1" t="s">
        <v>1364</v>
      </c>
      <c r="Q74" s="1" t="s">
        <v>1365</v>
      </c>
      <c r="R74" s="1" t="s">
        <v>1366</v>
      </c>
      <c r="S74" s="1" t="s">
        <v>1367</v>
      </c>
      <c r="T74" s="1" t="s">
        <v>299</v>
      </c>
      <c r="U74" s="1" t="s">
        <v>523</v>
      </c>
      <c r="V74" s="1" t="s">
        <v>1368</v>
      </c>
      <c r="W74" s="1" t="s">
        <v>1369</v>
      </c>
      <c r="X74" s="1" t="s">
        <v>1370</v>
      </c>
      <c r="Y74" s="1">
        <v>215</v>
      </c>
      <c r="Z74" s="1" t="s">
        <v>1371</v>
      </c>
      <c r="AA74" s="1">
        <v>705206506</v>
      </c>
      <c r="AB74" s="1" t="s">
        <v>329</v>
      </c>
      <c r="AC74" s="1" t="s">
        <v>326</v>
      </c>
      <c r="AD74" s="1" t="s">
        <v>304</v>
      </c>
    </row>
    <row r="75" spans="1:30" ht="15.95" customHeight="1" x14ac:dyDescent="0.2">
      <c r="A75" s="5">
        <v>73</v>
      </c>
      <c r="B75" s="3">
        <v>181035</v>
      </c>
      <c r="C75" s="16" t="s">
        <v>1362</v>
      </c>
      <c r="D75" s="16" t="s">
        <v>86</v>
      </c>
      <c r="E75" s="20" t="s">
        <v>94</v>
      </c>
      <c r="F75" s="31"/>
      <c r="G75" s="44">
        <v>13</v>
      </c>
      <c r="H75" s="1" t="s">
        <v>258</v>
      </c>
      <c r="I75" s="1">
        <v>20460243</v>
      </c>
      <c r="J75" s="56">
        <v>36537</v>
      </c>
      <c r="K75" s="1">
        <v>729995131</v>
      </c>
      <c r="L75" s="1">
        <v>3951845</v>
      </c>
      <c r="M75" s="56">
        <v>28281</v>
      </c>
      <c r="N75" s="1" t="s">
        <v>398</v>
      </c>
      <c r="O75" s="63">
        <v>42</v>
      </c>
      <c r="P75" s="1" t="s">
        <v>614</v>
      </c>
      <c r="Q75" s="1" t="s">
        <v>615</v>
      </c>
      <c r="R75" s="1" t="s">
        <v>616</v>
      </c>
      <c r="S75" s="1" t="s">
        <v>617</v>
      </c>
      <c r="T75" s="1" t="s">
        <v>299</v>
      </c>
      <c r="U75" s="1" t="s">
        <v>618</v>
      </c>
      <c r="V75" s="1">
        <v>35053933</v>
      </c>
      <c r="W75" s="1" t="s">
        <v>619</v>
      </c>
      <c r="X75" s="1" t="s">
        <v>620</v>
      </c>
      <c r="Y75" s="1">
        <v>3</v>
      </c>
      <c r="Z75" s="1" t="s">
        <v>621</v>
      </c>
      <c r="AA75" s="1">
        <v>704370928</v>
      </c>
      <c r="AB75" s="1" t="s">
        <v>329</v>
      </c>
      <c r="AC75" s="1" t="s">
        <v>427</v>
      </c>
      <c r="AD75" s="1" t="s">
        <v>622</v>
      </c>
    </row>
    <row r="76" spans="1:30" ht="15.95" customHeight="1" x14ac:dyDescent="0.2">
      <c r="A76" s="5">
        <v>74</v>
      </c>
      <c r="B76" s="3">
        <v>161185</v>
      </c>
      <c r="C76" s="6" t="s">
        <v>93</v>
      </c>
      <c r="D76" s="6" t="s">
        <v>86</v>
      </c>
      <c r="E76" s="30" t="s">
        <v>94</v>
      </c>
      <c r="F76" s="31"/>
      <c r="G76" s="44">
        <v>13</v>
      </c>
      <c r="H76" s="1" t="s">
        <v>258</v>
      </c>
      <c r="I76" s="1">
        <v>21027957</v>
      </c>
      <c r="J76" s="56">
        <v>40337</v>
      </c>
      <c r="K76" s="1">
        <v>718977378</v>
      </c>
      <c r="L76" s="1">
        <v>9608874</v>
      </c>
      <c r="M76" s="56">
        <v>28524</v>
      </c>
      <c r="N76" s="1" t="s">
        <v>474</v>
      </c>
      <c r="O76" s="63">
        <v>32</v>
      </c>
      <c r="P76" s="1" t="s">
        <v>678</v>
      </c>
      <c r="Q76" s="1" t="s">
        <v>679</v>
      </c>
      <c r="R76" s="1" t="s">
        <v>680</v>
      </c>
      <c r="S76" s="1" t="s">
        <v>681</v>
      </c>
      <c r="T76" s="1" t="s">
        <v>299</v>
      </c>
      <c r="U76" s="1" t="s">
        <v>552</v>
      </c>
      <c r="V76" s="1">
        <v>397402910</v>
      </c>
      <c r="W76" s="1">
        <v>2865873</v>
      </c>
      <c r="X76" s="1" t="s">
        <v>682</v>
      </c>
      <c r="Y76" s="1">
        <v>1599</v>
      </c>
      <c r="Z76" s="1" t="s">
        <v>683</v>
      </c>
      <c r="AA76" s="1">
        <v>112635707</v>
      </c>
      <c r="AB76" s="1" t="s">
        <v>518</v>
      </c>
      <c r="AC76" s="1" t="s">
        <v>304</v>
      </c>
      <c r="AD76" s="1" t="s">
        <v>327</v>
      </c>
    </row>
    <row r="77" spans="1:30" ht="15.95" customHeight="1" x14ac:dyDescent="0.2">
      <c r="A77" s="5">
        <v>75</v>
      </c>
      <c r="B77" s="3">
        <v>123007</v>
      </c>
      <c r="C77" s="6" t="s">
        <v>38</v>
      </c>
      <c r="D77" s="6" t="s">
        <v>39</v>
      </c>
      <c r="E77" s="30" t="s">
        <v>41</v>
      </c>
      <c r="F77" s="31"/>
      <c r="G77" s="44">
        <v>4</v>
      </c>
      <c r="H77" s="1" t="s">
        <v>258</v>
      </c>
      <c r="I77" s="1">
        <v>5336502</v>
      </c>
      <c r="J77" s="56">
        <v>31814</v>
      </c>
      <c r="K77" s="1">
        <v>710257414</v>
      </c>
      <c r="L77" s="1">
        <v>674281</v>
      </c>
      <c r="M77" s="1" t="s">
        <v>1236</v>
      </c>
      <c r="N77" s="1" t="s">
        <v>294</v>
      </c>
      <c r="O77" s="63">
        <v>3</v>
      </c>
      <c r="P77" s="1" t="s">
        <v>845</v>
      </c>
      <c r="Q77" s="1" t="s">
        <v>845</v>
      </c>
      <c r="R77" s="1" t="s">
        <v>845</v>
      </c>
      <c r="S77" s="1" t="s">
        <v>1237</v>
      </c>
      <c r="T77" s="1" t="s">
        <v>306</v>
      </c>
      <c r="U77" s="1" t="s">
        <v>441</v>
      </c>
      <c r="V77" s="1">
        <v>617391629</v>
      </c>
      <c r="W77" s="1" t="s">
        <v>1238</v>
      </c>
      <c r="X77" s="1" t="s">
        <v>1239</v>
      </c>
      <c r="Z77" s="1" t="s">
        <v>1240</v>
      </c>
      <c r="AA77" s="1">
        <v>710866925</v>
      </c>
      <c r="AB77" s="1" t="s">
        <v>396</v>
      </c>
      <c r="AC77" s="1" t="s">
        <v>326</v>
      </c>
      <c r="AD77" s="1" t="s">
        <v>327</v>
      </c>
    </row>
    <row r="78" spans="1:30" ht="15.95" customHeight="1" x14ac:dyDescent="0.2">
      <c r="A78" s="5">
        <v>76</v>
      </c>
      <c r="B78" s="3">
        <v>113040</v>
      </c>
      <c r="C78" s="6" t="s">
        <v>237</v>
      </c>
      <c r="D78" s="6" t="s">
        <v>39</v>
      </c>
      <c r="E78" s="30" t="s">
        <v>40</v>
      </c>
      <c r="F78" s="31"/>
      <c r="G78" s="44">
        <v>5</v>
      </c>
      <c r="H78" s="1" t="s">
        <v>259</v>
      </c>
      <c r="I78" s="1">
        <v>21963939</v>
      </c>
      <c r="J78" s="56">
        <v>39427</v>
      </c>
      <c r="K78" s="1">
        <v>722394428</v>
      </c>
      <c r="L78" s="1">
        <v>647468</v>
      </c>
      <c r="M78" s="1" t="s">
        <v>668</v>
      </c>
      <c r="N78" s="1" t="s">
        <v>528</v>
      </c>
      <c r="O78" s="63">
        <v>41</v>
      </c>
      <c r="P78" s="1" t="s">
        <v>669</v>
      </c>
      <c r="Q78" s="1" t="s">
        <v>670</v>
      </c>
      <c r="R78" s="1" t="s">
        <v>671</v>
      </c>
      <c r="S78" s="1" t="s">
        <v>672</v>
      </c>
      <c r="T78" s="1" t="s">
        <v>299</v>
      </c>
      <c r="U78" s="1" t="s">
        <v>333</v>
      </c>
      <c r="V78" s="1">
        <v>945448813</v>
      </c>
      <c r="W78" s="1" t="s">
        <v>673</v>
      </c>
      <c r="X78" s="1" t="s">
        <v>674</v>
      </c>
      <c r="Y78" s="1" t="s">
        <v>675</v>
      </c>
      <c r="Z78" s="1" t="s">
        <v>676</v>
      </c>
      <c r="AA78" s="1">
        <v>721607019</v>
      </c>
      <c r="AB78" s="1" t="s">
        <v>325</v>
      </c>
      <c r="AC78" s="1" t="s">
        <v>326</v>
      </c>
      <c r="AD78" s="1" t="s">
        <v>677</v>
      </c>
    </row>
    <row r="79" spans="1:30" ht="15.95" customHeight="1" x14ac:dyDescent="0.2">
      <c r="A79" s="5">
        <v>77</v>
      </c>
      <c r="B79" s="3">
        <v>241337</v>
      </c>
      <c r="C79" s="19" t="s">
        <v>238</v>
      </c>
      <c r="D79" s="19" t="s">
        <v>39</v>
      </c>
      <c r="E79" s="30" t="s">
        <v>51</v>
      </c>
      <c r="F79" s="31"/>
      <c r="G79" s="44">
        <v>7</v>
      </c>
      <c r="H79" s="1" t="s">
        <v>259</v>
      </c>
      <c r="I79" s="1">
        <v>28189079</v>
      </c>
      <c r="J79" s="56">
        <v>42747</v>
      </c>
      <c r="K79" s="1">
        <v>715614868</v>
      </c>
      <c r="L79" s="1">
        <v>293761</v>
      </c>
      <c r="M79" s="1" t="s">
        <v>1392</v>
      </c>
      <c r="N79" s="1" t="s">
        <v>362</v>
      </c>
      <c r="O79" s="63">
        <v>47</v>
      </c>
      <c r="P79" s="1" t="s">
        <v>364</v>
      </c>
      <c r="Q79" s="1" t="s">
        <v>1393</v>
      </c>
      <c r="R79" s="1" t="s">
        <v>1393</v>
      </c>
      <c r="S79" s="1" t="s">
        <v>1393</v>
      </c>
      <c r="T79" s="1" t="s">
        <v>306</v>
      </c>
      <c r="U79" s="1" t="s">
        <v>441</v>
      </c>
      <c r="V79" s="1">
        <v>2010367685</v>
      </c>
      <c r="W79" s="1">
        <v>6045837</v>
      </c>
      <c r="X79" s="1" t="s">
        <v>1394</v>
      </c>
      <c r="Y79" s="1" t="s">
        <v>1395</v>
      </c>
      <c r="Z79" s="1" t="s">
        <v>1396</v>
      </c>
      <c r="AA79" s="1">
        <v>727297423</v>
      </c>
      <c r="AB79" s="1" t="s">
        <v>325</v>
      </c>
      <c r="AD79" s="1" t="s">
        <v>464</v>
      </c>
    </row>
    <row r="80" spans="1:30" ht="15.95" customHeight="1" x14ac:dyDescent="0.2">
      <c r="A80" s="5">
        <v>78</v>
      </c>
      <c r="B80" s="3">
        <v>241336</v>
      </c>
      <c r="C80" s="6" t="s">
        <v>66</v>
      </c>
      <c r="D80" s="6" t="s">
        <v>39</v>
      </c>
      <c r="E80" s="30" t="s">
        <v>51</v>
      </c>
      <c r="F80" s="31"/>
      <c r="G80" s="44">
        <v>7</v>
      </c>
      <c r="H80" s="1" t="s">
        <v>258</v>
      </c>
      <c r="T80" s="1" t="s">
        <v>299</v>
      </c>
    </row>
    <row r="81" spans="1:30" ht="15.95" customHeight="1" x14ac:dyDescent="0.2">
      <c r="A81" s="5">
        <v>79</v>
      </c>
      <c r="B81" s="3">
        <v>161139</v>
      </c>
      <c r="C81" s="6" t="s">
        <v>44</v>
      </c>
      <c r="D81" s="6" t="s">
        <v>39</v>
      </c>
      <c r="E81" s="30" t="s">
        <v>45</v>
      </c>
      <c r="F81" s="31"/>
      <c r="G81" s="44">
        <v>8</v>
      </c>
      <c r="H81" s="1" t="s">
        <v>259</v>
      </c>
      <c r="I81" s="1">
        <v>13634152</v>
      </c>
      <c r="J81" s="56">
        <v>36896</v>
      </c>
      <c r="K81" s="1">
        <v>727764565</v>
      </c>
      <c r="L81" s="1">
        <v>2956653</v>
      </c>
      <c r="M81" s="56">
        <v>27395</v>
      </c>
      <c r="N81" s="1" t="s">
        <v>684</v>
      </c>
      <c r="O81" s="63">
        <v>38</v>
      </c>
      <c r="P81" s="1" t="s">
        <v>685</v>
      </c>
      <c r="Q81" s="1" t="s">
        <v>685</v>
      </c>
      <c r="R81" s="1" t="s">
        <v>686</v>
      </c>
      <c r="S81" s="1" t="s">
        <v>1376</v>
      </c>
      <c r="T81" s="1" t="s">
        <v>299</v>
      </c>
      <c r="U81" s="1" t="s">
        <v>441</v>
      </c>
      <c r="V81" s="1">
        <v>48403822</v>
      </c>
      <c r="W81" s="1" t="s">
        <v>687</v>
      </c>
      <c r="X81" s="1" t="s">
        <v>688</v>
      </c>
      <c r="Y81" s="1">
        <v>95</v>
      </c>
      <c r="Z81" s="1" t="s">
        <v>1391</v>
      </c>
      <c r="AA81" s="1">
        <v>111970313</v>
      </c>
      <c r="AB81" s="1" t="s">
        <v>396</v>
      </c>
      <c r="AC81" s="1" t="s">
        <v>326</v>
      </c>
      <c r="AD81" s="1" t="s">
        <v>689</v>
      </c>
    </row>
    <row r="82" spans="1:30" ht="15.95" customHeight="1" x14ac:dyDescent="0.2">
      <c r="A82" s="5">
        <v>80</v>
      </c>
      <c r="B82" s="3">
        <v>161141</v>
      </c>
      <c r="C82" s="6" t="s">
        <v>42</v>
      </c>
      <c r="D82" s="6" t="s">
        <v>39</v>
      </c>
      <c r="E82" s="30" t="s">
        <v>1251</v>
      </c>
      <c r="F82" s="20"/>
      <c r="G82" s="20">
        <v>7</v>
      </c>
      <c r="H82" s="1" t="s">
        <v>258</v>
      </c>
      <c r="I82" s="1">
        <v>20742989</v>
      </c>
      <c r="J82" s="56">
        <v>37689</v>
      </c>
      <c r="K82" s="1">
        <v>725269207</v>
      </c>
      <c r="L82" s="1">
        <v>25940</v>
      </c>
      <c r="M82" s="56">
        <v>28408</v>
      </c>
      <c r="N82" s="1" t="s">
        <v>1030</v>
      </c>
      <c r="O82" s="63">
        <v>26</v>
      </c>
      <c r="P82" s="1" t="s">
        <v>1210</v>
      </c>
      <c r="Q82" s="1" t="s">
        <v>662</v>
      </c>
      <c r="R82" s="1" t="s">
        <v>1211</v>
      </c>
      <c r="S82" s="1" t="s">
        <v>1212</v>
      </c>
      <c r="T82" s="1" t="s">
        <v>299</v>
      </c>
      <c r="U82" s="1" t="s">
        <v>441</v>
      </c>
      <c r="V82" s="1">
        <v>306696924</v>
      </c>
      <c r="W82" s="1">
        <v>1997495</v>
      </c>
      <c r="X82" s="1" t="s">
        <v>1213</v>
      </c>
      <c r="Y82" s="1">
        <v>1156</v>
      </c>
      <c r="Z82" s="1" t="s">
        <v>1214</v>
      </c>
      <c r="AA82" s="1">
        <v>710562184</v>
      </c>
      <c r="AB82" s="1" t="s">
        <v>463</v>
      </c>
      <c r="AC82" s="1" t="s">
        <v>326</v>
      </c>
      <c r="AD82" s="1" t="s">
        <v>1215</v>
      </c>
    </row>
    <row r="83" spans="1:30" ht="15.95" customHeight="1" x14ac:dyDescent="0.2">
      <c r="A83" s="5">
        <v>81</v>
      </c>
      <c r="B83" s="3">
        <v>241725</v>
      </c>
      <c r="C83" s="10" t="s">
        <v>1361</v>
      </c>
      <c r="D83" s="10" t="s">
        <v>39</v>
      </c>
      <c r="E83" s="20" t="s">
        <v>203</v>
      </c>
      <c r="F83" s="31"/>
      <c r="G83" s="44">
        <v>8</v>
      </c>
      <c r="H83" s="1" t="s">
        <v>259</v>
      </c>
      <c r="I83" s="1">
        <v>34811881</v>
      </c>
      <c r="J83" s="56" t="s">
        <v>534</v>
      </c>
      <c r="K83" s="1">
        <v>702862469</v>
      </c>
      <c r="L83" s="1" t="str">
        <f>"0"&amp;97749</f>
        <v>097749</v>
      </c>
      <c r="M83" s="56">
        <v>35705</v>
      </c>
      <c r="N83" s="1" t="s">
        <v>486</v>
      </c>
      <c r="O83" s="63">
        <v>10</v>
      </c>
      <c r="P83" s="1" t="s">
        <v>722</v>
      </c>
      <c r="Q83" s="1" t="s">
        <v>488</v>
      </c>
      <c r="R83" s="1" t="s">
        <v>723</v>
      </c>
      <c r="S83" s="1" t="s">
        <v>723</v>
      </c>
      <c r="T83" s="1" t="s">
        <v>306</v>
      </c>
      <c r="U83" s="1" t="s">
        <v>403</v>
      </c>
      <c r="V83" s="1">
        <v>2038070688</v>
      </c>
      <c r="W83" s="1">
        <v>19388384</v>
      </c>
      <c r="X83" s="1" t="s">
        <v>724</v>
      </c>
      <c r="Y83" s="1" t="s">
        <v>725</v>
      </c>
      <c r="Z83" s="1" t="s">
        <v>726</v>
      </c>
      <c r="AA83" s="1">
        <v>725769288</v>
      </c>
      <c r="AB83" s="1" t="s">
        <v>667</v>
      </c>
      <c r="AC83" s="1" t="s">
        <v>326</v>
      </c>
      <c r="AD83" s="1" t="s">
        <v>328</v>
      </c>
    </row>
    <row r="84" spans="1:30" ht="15.95" customHeight="1" x14ac:dyDescent="0.2">
      <c r="A84" s="5">
        <v>82</v>
      </c>
      <c r="B84" s="3">
        <v>112023</v>
      </c>
      <c r="C84" s="20" t="s">
        <v>260</v>
      </c>
      <c r="D84" s="20" t="s">
        <v>39</v>
      </c>
      <c r="E84" s="43" t="s">
        <v>46</v>
      </c>
      <c r="F84" s="42"/>
      <c r="G84" s="44">
        <v>11</v>
      </c>
      <c r="H84" s="1" t="s">
        <v>258</v>
      </c>
      <c r="I84" s="1">
        <v>13501715</v>
      </c>
      <c r="J84" s="56">
        <v>38907</v>
      </c>
      <c r="K84" s="1">
        <v>723338645</v>
      </c>
      <c r="L84" s="1">
        <v>346383</v>
      </c>
      <c r="M84" s="56">
        <v>38907</v>
      </c>
      <c r="N84" s="1" t="s">
        <v>647</v>
      </c>
      <c r="O84" s="63">
        <v>38</v>
      </c>
      <c r="P84" s="1" t="s">
        <v>835</v>
      </c>
      <c r="Q84" s="1" t="s">
        <v>815</v>
      </c>
      <c r="R84" s="1" t="s">
        <v>836</v>
      </c>
      <c r="S84" s="1" t="s">
        <v>837</v>
      </c>
      <c r="T84" s="1" t="s">
        <v>299</v>
      </c>
      <c r="U84" s="1" t="s">
        <v>1274</v>
      </c>
      <c r="V84" s="1">
        <v>156062917</v>
      </c>
      <c r="W84" s="1" t="s">
        <v>838</v>
      </c>
      <c r="X84" s="1" t="s">
        <v>839</v>
      </c>
      <c r="Z84" s="1" t="s">
        <v>840</v>
      </c>
      <c r="AA84" s="1">
        <v>720379997</v>
      </c>
      <c r="AB84" s="1" t="s">
        <v>329</v>
      </c>
      <c r="AC84" s="1" t="s">
        <v>326</v>
      </c>
      <c r="AD84" s="1" t="s">
        <v>464</v>
      </c>
    </row>
    <row r="85" spans="1:30" ht="15.95" customHeight="1" x14ac:dyDescent="0.2">
      <c r="A85" s="5">
        <v>83</v>
      </c>
      <c r="B85" s="3">
        <v>113016</v>
      </c>
      <c r="C85" s="6" t="s">
        <v>43</v>
      </c>
      <c r="D85" s="6" t="s">
        <v>39</v>
      </c>
      <c r="E85" s="30" t="s">
        <v>49</v>
      </c>
      <c r="F85" s="31"/>
      <c r="G85" s="44">
        <v>9</v>
      </c>
      <c r="H85" s="1" t="s">
        <v>258</v>
      </c>
      <c r="I85" s="1">
        <v>9789715</v>
      </c>
      <c r="J85" s="1" t="s">
        <v>1252</v>
      </c>
      <c r="K85" s="1">
        <v>722827459</v>
      </c>
      <c r="M85" s="1" t="s">
        <v>1253</v>
      </c>
      <c r="N85" s="1" t="s">
        <v>416</v>
      </c>
      <c r="O85" s="63">
        <v>37</v>
      </c>
      <c r="P85" s="1" t="s">
        <v>794</v>
      </c>
      <c r="Q85" s="1" t="s">
        <v>794</v>
      </c>
      <c r="R85" s="1" t="s">
        <v>1254</v>
      </c>
      <c r="S85" s="1" t="s">
        <v>1255</v>
      </c>
      <c r="T85" s="1" t="s">
        <v>299</v>
      </c>
      <c r="U85" s="1" t="s">
        <v>523</v>
      </c>
      <c r="V85" s="1">
        <v>944002625</v>
      </c>
      <c r="W85" s="1" t="s">
        <v>1256</v>
      </c>
      <c r="X85" s="1" t="s">
        <v>1257</v>
      </c>
      <c r="Y85" s="1">
        <v>22</v>
      </c>
      <c r="Z85" s="1" t="s">
        <v>1258</v>
      </c>
      <c r="AA85" s="1">
        <v>717629500</v>
      </c>
      <c r="AB85" s="1" t="s">
        <v>518</v>
      </c>
      <c r="AC85" s="1" t="s">
        <v>1259</v>
      </c>
      <c r="AD85" s="1" t="s">
        <v>1260</v>
      </c>
    </row>
    <row r="86" spans="1:30" ht="15.95" customHeight="1" x14ac:dyDescent="0.2">
      <c r="A86" s="5">
        <v>84</v>
      </c>
      <c r="B86" s="3">
        <v>113044</v>
      </c>
      <c r="C86" s="6" t="s">
        <v>57</v>
      </c>
      <c r="D86" s="6" t="s">
        <v>39</v>
      </c>
      <c r="E86" s="30" t="s">
        <v>45</v>
      </c>
      <c r="F86" s="31"/>
      <c r="G86" s="44">
        <v>10</v>
      </c>
      <c r="H86" s="1" t="s">
        <v>258</v>
      </c>
      <c r="I86" s="1">
        <v>10344158</v>
      </c>
      <c r="J86" s="1" t="s">
        <v>893</v>
      </c>
      <c r="K86" s="1">
        <v>723446028</v>
      </c>
      <c r="L86" s="1">
        <v>9224962</v>
      </c>
      <c r="M86" s="1" t="s">
        <v>894</v>
      </c>
      <c r="N86" s="1" t="s">
        <v>528</v>
      </c>
      <c r="O86" s="63">
        <v>41</v>
      </c>
      <c r="P86" s="1" t="s">
        <v>669</v>
      </c>
      <c r="Q86" s="1" t="s">
        <v>895</v>
      </c>
      <c r="R86" s="1" t="s">
        <v>896</v>
      </c>
      <c r="S86" s="1" t="s">
        <v>897</v>
      </c>
      <c r="T86" s="1" t="s">
        <v>299</v>
      </c>
      <c r="U86" s="1" t="s">
        <v>403</v>
      </c>
      <c r="V86" s="1">
        <v>964093626</v>
      </c>
      <c r="W86" s="1" t="s">
        <v>898</v>
      </c>
      <c r="X86" s="1" t="s">
        <v>899</v>
      </c>
      <c r="Y86" s="1">
        <v>1098</v>
      </c>
      <c r="Z86" s="1" t="s">
        <v>900</v>
      </c>
      <c r="AA86" s="1">
        <v>726161861</v>
      </c>
      <c r="AB86" s="1" t="s">
        <v>329</v>
      </c>
      <c r="AC86" s="1" t="s">
        <v>901</v>
      </c>
      <c r="AD86" s="1" t="s">
        <v>902</v>
      </c>
    </row>
    <row r="87" spans="1:30" ht="15.95" customHeight="1" x14ac:dyDescent="0.2">
      <c r="A87" s="5">
        <v>85</v>
      </c>
      <c r="B87" s="3">
        <v>241071</v>
      </c>
      <c r="C87" s="6" t="s">
        <v>58</v>
      </c>
      <c r="D87" s="6" t="s">
        <v>39</v>
      </c>
      <c r="E87" s="30" t="s">
        <v>45</v>
      </c>
      <c r="F87" s="31"/>
      <c r="G87" s="44">
        <v>10</v>
      </c>
      <c r="H87" s="1" t="s">
        <v>259</v>
      </c>
      <c r="I87" s="1">
        <v>26426983</v>
      </c>
      <c r="J87" s="56">
        <v>41640</v>
      </c>
      <c r="K87" s="1">
        <v>710799448</v>
      </c>
      <c r="L87" s="1">
        <v>646458</v>
      </c>
      <c r="M87" s="56">
        <v>32421</v>
      </c>
      <c r="N87" s="1" t="s">
        <v>660</v>
      </c>
      <c r="O87" s="63">
        <v>29</v>
      </c>
      <c r="P87" s="1" t="s">
        <v>340</v>
      </c>
      <c r="Q87" s="1" t="s">
        <v>661</v>
      </c>
      <c r="R87" s="1" t="s">
        <v>662</v>
      </c>
      <c r="S87" s="1" t="s">
        <v>663</v>
      </c>
      <c r="T87" s="1" t="s">
        <v>299</v>
      </c>
      <c r="U87" s="1" t="s">
        <v>403</v>
      </c>
      <c r="V87" s="1" t="s">
        <v>664</v>
      </c>
      <c r="W87" s="1">
        <v>26426983</v>
      </c>
      <c r="X87" s="1" t="s">
        <v>665</v>
      </c>
      <c r="Y87" s="1" t="s">
        <v>323</v>
      </c>
      <c r="Z87" s="1" t="s">
        <v>666</v>
      </c>
      <c r="AA87" s="1">
        <v>723778698</v>
      </c>
      <c r="AB87" s="1" t="s">
        <v>667</v>
      </c>
      <c r="AC87" s="1" t="s">
        <v>326</v>
      </c>
      <c r="AD87" s="1" t="s">
        <v>464</v>
      </c>
    </row>
    <row r="88" spans="1:30" ht="15.95" customHeight="1" x14ac:dyDescent="0.2">
      <c r="A88" s="5">
        <v>86</v>
      </c>
      <c r="B88" s="3">
        <v>241318</v>
      </c>
      <c r="C88" s="6" t="s">
        <v>230</v>
      </c>
      <c r="D88" s="6" t="s">
        <v>39</v>
      </c>
      <c r="E88" s="30" t="s">
        <v>62</v>
      </c>
      <c r="F88" s="31"/>
      <c r="G88" s="44">
        <v>10</v>
      </c>
      <c r="H88" s="1" t="s">
        <v>259</v>
      </c>
      <c r="I88" s="1">
        <v>22538194</v>
      </c>
      <c r="J88" s="56">
        <v>42771</v>
      </c>
      <c r="K88" s="1">
        <v>721804929</v>
      </c>
      <c r="L88" s="1">
        <v>42772</v>
      </c>
      <c r="M88" s="1" t="s">
        <v>727</v>
      </c>
      <c r="N88" s="1" t="s">
        <v>728</v>
      </c>
      <c r="O88" s="63">
        <v>30</v>
      </c>
      <c r="P88" s="1" t="s">
        <v>729</v>
      </c>
      <c r="Q88" s="1" t="s">
        <v>730</v>
      </c>
      <c r="R88" s="1" t="s">
        <v>731</v>
      </c>
      <c r="S88" s="1" t="s">
        <v>732</v>
      </c>
      <c r="T88" s="1" t="s">
        <v>306</v>
      </c>
      <c r="U88" s="1" t="s">
        <v>343</v>
      </c>
      <c r="V88" s="1">
        <v>790652811</v>
      </c>
      <c r="W88" s="1">
        <v>2526403</v>
      </c>
      <c r="X88" s="1" t="s">
        <v>733</v>
      </c>
      <c r="Y88" s="1">
        <v>114</v>
      </c>
      <c r="Z88" s="1" t="s">
        <v>740</v>
      </c>
      <c r="AA88" s="1" t="s">
        <v>304</v>
      </c>
      <c r="AB88" s="1" t="s">
        <v>741</v>
      </c>
      <c r="AC88" s="1" t="s">
        <v>427</v>
      </c>
      <c r="AD88" s="1" t="s">
        <v>464</v>
      </c>
    </row>
    <row r="89" spans="1:30" ht="15.95" customHeight="1" x14ac:dyDescent="0.2">
      <c r="A89" s="5">
        <v>87</v>
      </c>
      <c r="B89" s="3">
        <v>163130</v>
      </c>
      <c r="C89" s="3" t="s">
        <v>224</v>
      </c>
      <c r="D89" s="3" t="s">
        <v>39</v>
      </c>
      <c r="E89" s="3" t="s">
        <v>227</v>
      </c>
      <c r="F89" s="31"/>
      <c r="G89" s="44">
        <v>10</v>
      </c>
      <c r="H89" s="1" t="s">
        <v>259</v>
      </c>
      <c r="I89" s="1">
        <v>22245948</v>
      </c>
      <c r="J89" s="56">
        <v>39153</v>
      </c>
      <c r="K89" s="1">
        <v>720212245</v>
      </c>
      <c r="L89" s="1">
        <v>398567</v>
      </c>
      <c r="M89" s="56">
        <v>28678</v>
      </c>
      <c r="N89" s="1" t="s">
        <v>338</v>
      </c>
      <c r="O89" s="63">
        <v>19</v>
      </c>
      <c r="P89" s="1" t="s">
        <v>742</v>
      </c>
      <c r="Q89" s="1" t="s">
        <v>742</v>
      </c>
      <c r="R89" s="1" t="s">
        <v>743</v>
      </c>
      <c r="S89" s="1" t="s">
        <v>744</v>
      </c>
      <c r="T89" s="1" t="s">
        <v>299</v>
      </c>
      <c r="U89" s="1" t="s">
        <v>376</v>
      </c>
      <c r="V89" s="1">
        <v>940489813</v>
      </c>
      <c r="W89" s="1" t="s">
        <v>745</v>
      </c>
      <c r="X89" s="1" t="s">
        <v>746</v>
      </c>
      <c r="Y89" s="1">
        <v>22</v>
      </c>
      <c r="Z89" s="1" t="s">
        <v>747</v>
      </c>
      <c r="AA89" s="1">
        <v>722211660</v>
      </c>
      <c r="AB89" s="1" t="s">
        <v>325</v>
      </c>
      <c r="AC89" s="1" t="s">
        <v>326</v>
      </c>
      <c r="AD89" s="1" t="s">
        <v>748</v>
      </c>
    </row>
    <row r="90" spans="1:30" ht="15.95" customHeight="1" x14ac:dyDescent="0.2">
      <c r="A90" s="5">
        <v>88</v>
      </c>
      <c r="B90" s="3">
        <v>241112</v>
      </c>
      <c r="C90" s="6" t="s">
        <v>61</v>
      </c>
      <c r="D90" s="6" t="s">
        <v>39</v>
      </c>
      <c r="E90" s="30" t="s">
        <v>54</v>
      </c>
      <c r="F90" s="31"/>
      <c r="G90" s="44">
        <v>10</v>
      </c>
      <c r="H90" s="1" t="s">
        <v>258</v>
      </c>
      <c r="I90" s="1">
        <v>25584197</v>
      </c>
      <c r="J90" s="56">
        <v>40544</v>
      </c>
      <c r="K90" s="1">
        <v>724890127</v>
      </c>
      <c r="L90" s="1">
        <v>3308404</v>
      </c>
      <c r="M90" s="56">
        <v>31963</v>
      </c>
      <c r="N90" s="1" t="s">
        <v>312</v>
      </c>
      <c r="O90" s="63">
        <v>43</v>
      </c>
      <c r="P90" s="1" t="s">
        <v>1185</v>
      </c>
      <c r="Q90" s="1" t="s">
        <v>1186</v>
      </c>
      <c r="R90" s="1" t="s">
        <v>1187</v>
      </c>
      <c r="S90" s="1" t="s">
        <v>1187</v>
      </c>
      <c r="T90" s="1" t="s">
        <v>306</v>
      </c>
      <c r="U90" s="1" t="s">
        <v>343</v>
      </c>
      <c r="V90" s="1">
        <v>523378912</v>
      </c>
      <c r="W90" s="1">
        <v>3129011</v>
      </c>
      <c r="X90" s="1" t="s">
        <v>1188</v>
      </c>
      <c r="Y90" s="1" t="s">
        <v>323</v>
      </c>
      <c r="Z90" s="1" t="s">
        <v>1189</v>
      </c>
      <c r="AA90" s="1">
        <v>727818115</v>
      </c>
      <c r="AB90" s="1" t="s">
        <v>407</v>
      </c>
      <c r="AC90" s="1" t="s">
        <v>326</v>
      </c>
      <c r="AD90" s="1" t="s">
        <v>1190</v>
      </c>
    </row>
    <row r="91" spans="1:30" ht="15.95" customHeight="1" x14ac:dyDescent="0.2">
      <c r="A91" s="5">
        <v>89</v>
      </c>
      <c r="B91" s="3">
        <v>143016</v>
      </c>
      <c r="C91" s="6" t="s">
        <v>47</v>
      </c>
      <c r="D91" s="6" t="s">
        <v>39</v>
      </c>
      <c r="E91" s="30" t="s">
        <v>46</v>
      </c>
      <c r="F91" s="31"/>
      <c r="G91" s="44">
        <v>11</v>
      </c>
      <c r="H91" s="1" t="s">
        <v>258</v>
      </c>
      <c r="I91" s="1">
        <v>11652898</v>
      </c>
      <c r="J91" s="1" t="s">
        <v>701</v>
      </c>
      <c r="K91" s="1">
        <v>721449316</v>
      </c>
      <c r="L91" s="1">
        <v>510151</v>
      </c>
      <c r="M91" s="56">
        <v>25204</v>
      </c>
      <c r="N91" s="1" t="s">
        <v>702</v>
      </c>
      <c r="O91" s="63">
        <v>31</v>
      </c>
      <c r="P91" s="1" t="s">
        <v>703</v>
      </c>
      <c r="Q91" s="1" t="s">
        <v>703</v>
      </c>
      <c r="R91" s="1" t="s">
        <v>704</v>
      </c>
      <c r="S91" s="1" t="s">
        <v>705</v>
      </c>
      <c r="T91" s="1" t="s">
        <v>299</v>
      </c>
      <c r="U91" s="1" t="s">
        <v>523</v>
      </c>
      <c r="V91" s="1">
        <v>403890918</v>
      </c>
      <c r="W91" s="1">
        <v>20309981</v>
      </c>
      <c r="X91" s="1" t="s">
        <v>706</v>
      </c>
      <c r="Y91" s="1">
        <v>205</v>
      </c>
      <c r="Z91" s="1" t="s">
        <v>707</v>
      </c>
      <c r="AA91" s="1">
        <v>710481584</v>
      </c>
      <c r="AB91" s="1" t="s">
        <v>329</v>
      </c>
      <c r="AC91" s="1" t="s">
        <v>326</v>
      </c>
      <c r="AD91" s="1" t="s">
        <v>328</v>
      </c>
    </row>
    <row r="92" spans="1:30" ht="15.95" customHeight="1" x14ac:dyDescent="0.2">
      <c r="A92" s="5">
        <v>90</v>
      </c>
      <c r="B92" s="3">
        <v>172019</v>
      </c>
      <c r="C92" s="6" t="s">
        <v>63</v>
      </c>
      <c r="D92" s="6" t="s">
        <v>39</v>
      </c>
      <c r="E92" s="30" t="s">
        <v>64</v>
      </c>
      <c r="F92" s="31"/>
      <c r="G92" s="44">
        <v>11</v>
      </c>
      <c r="H92" s="1" t="s">
        <v>258</v>
      </c>
      <c r="I92" s="1">
        <v>22657472</v>
      </c>
      <c r="J92" s="56">
        <v>39083</v>
      </c>
      <c r="K92" s="1">
        <v>727018227</v>
      </c>
      <c r="L92" s="1">
        <v>9049649</v>
      </c>
      <c r="M92" s="56">
        <v>28704</v>
      </c>
      <c r="N92" s="1" t="s">
        <v>708</v>
      </c>
      <c r="O92" s="63">
        <v>34</v>
      </c>
      <c r="P92" s="1" t="s">
        <v>709</v>
      </c>
      <c r="Q92" s="1" t="s">
        <v>709</v>
      </c>
      <c r="R92" s="1" t="s">
        <v>710</v>
      </c>
      <c r="S92" s="1" t="s">
        <v>711</v>
      </c>
      <c r="T92" s="1" t="s">
        <v>299</v>
      </c>
      <c r="U92" s="1" t="s">
        <v>376</v>
      </c>
      <c r="V92" s="1">
        <v>15607091</v>
      </c>
      <c r="W92" s="1">
        <v>2516557</v>
      </c>
      <c r="X92" s="1" t="s">
        <v>712</v>
      </c>
      <c r="Y92" s="1">
        <v>22</v>
      </c>
      <c r="Z92" s="1" t="s">
        <v>713</v>
      </c>
      <c r="AA92" s="1">
        <v>724078457</v>
      </c>
      <c r="AB92" s="1" t="s">
        <v>329</v>
      </c>
      <c r="AC92" s="1" t="s">
        <v>326</v>
      </c>
      <c r="AD92" s="1" t="s">
        <v>714</v>
      </c>
    </row>
    <row r="93" spans="1:30" ht="15.75" customHeight="1" x14ac:dyDescent="0.2">
      <c r="A93" s="5">
        <v>91</v>
      </c>
      <c r="B93" s="3">
        <v>163134</v>
      </c>
      <c r="C93" s="6" t="s">
        <v>55</v>
      </c>
      <c r="D93" s="6" t="s">
        <v>39</v>
      </c>
      <c r="E93" s="30" t="s">
        <v>56</v>
      </c>
      <c r="F93" s="31"/>
      <c r="G93" s="44">
        <v>11</v>
      </c>
      <c r="H93" s="1" t="s">
        <v>258</v>
      </c>
      <c r="I93" s="1">
        <v>22145871</v>
      </c>
      <c r="J93" s="56">
        <v>39454</v>
      </c>
      <c r="K93" s="1">
        <v>780179543</v>
      </c>
      <c r="L93" s="1">
        <v>608222</v>
      </c>
      <c r="M93" s="56">
        <v>29321</v>
      </c>
      <c r="N93" s="1" t="s">
        <v>457</v>
      </c>
      <c r="O93" s="63">
        <v>46</v>
      </c>
      <c r="P93" s="1" t="s">
        <v>715</v>
      </c>
      <c r="Q93" s="1" t="s">
        <v>716</v>
      </c>
      <c r="R93" s="1" t="s">
        <v>717</v>
      </c>
      <c r="S93" s="1" t="s">
        <v>718</v>
      </c>
      <c r="T93" s="1" t="s">
        <v>299</v>
      </c>
      <c r="U93" s="1" t="s">
        <v>376</v>
      </c>
      <c r="V93" s="1">
        <v>230508910</v>
      </c>
      <c r="W93" s="1" t="s">
        <v>719</v>
      </c>
      <c r="X93" s="1" t="s">
        <v>720</v>
      </c>
      <c r="Y93" s="1">
        <v>4343</v>
      </c>
      <c r="Z93" s="1" t="s">
        <v>721</v>
      </c>
      <c r="AA93" s="1">
        <v>718878834</v>
      </c>
      <c r="AB93" s="1" t="s">
        <v>329</v>
      </c>
      <c r="AC93" s="1" t="s">
        <v>326</v>
      </c>
      <c r="AD93" s="1" t="s">
        <v>327</v>
      </c>
    </row>
    <row r="94" spans="1:30" ht="15.75" customHeight="1" x14ac:dyDescent="0.2">
      <c r="A94" s="5">
        <v>92</v>
      </c>
      <c r="B94" s="3">
        <v>180035</v>
      </c>
      <c r="C94" s="6" t="s">
        <v>48</v>
      </c>
      <c r="D94" s="6" t="s">
        <v>39</v>
      </c>
      <c r="E94" s="30" t="s">
        <v>49</v>
      </c>
      <c r="F94" s="20"/>
      <c r="G94" s="20">
        <v>11</v>
      </c>
      <c r="H94" s="1" t="s">
        <v>259</v>
      </c>
      <c r="I94" s="1">
        <v>13706972</v>
      </c>
      <c r="J94" s="1" t="s">
        <v>749</v>
      </c>
      <c r="K94" s="1">
        <v>721685844</v>
      </c>
      <c r="L94" s="1">
        <v>548112</v>
      </c>
      <c r="M94" s="1" t="s">
        <v>750</v>
      </c>
      <c r="N94" s="1" t="s">
        <v>654</v>
      </c>
      <c r="O94" s="63">
        <v>16</v>
      </c>
      <c r="P94" s="1" t="s">
        <v>751</v>
      </c>
      <c r="Q94" s="1" t="s">
        <v>566</v>
      </c>
      <c r="R94" s="1" t="s">
        <v>566</v>
      </c>
      <c r="S94" s="1" t="s">
        <v>752</v>
      </c>
      <c r="T94" s="1" t="s">
        <v>299</v>
      </c>
      <c r="U94" s="1" t="s">
        <v>376</v>
      </c>
      <c r="V94" s="1">
        <v>511633615</v>
      </c>
      <c r="W94" s="1" t="s">
        <v>753</v>
      </c>
      <c r="X94" s="1" t="s">
        <v>754</v>
      </c>
      <c r="Y94" s="1">
        <v>11</v>
      </c>
      <c r="Z94" s="1" t="s">
        <v>755</v>
      </c>
      <c r="AA94" s="1">
        <v>701390478</v>
      </c>
      <c r="AB94" s="1" t="s">
        <v>518</v>
      </c>
      <c r="AC94" s="1" t="s">
        <v>326</v>
      </c>
      <c r="AD94" s="1" t="s">
        <v>756</v>
      </c>
    </row>
    <row r="95" spans="1:30" ht="15.95" customHeight="1" x14ac:dyDescent="0.2">
      <c r="A95" s="5">
        <v>93</v>
      </c>
      <c r="B95" s="3">
        <v>241563</v>
      </c>
      <c r="C95" s="6" t="s">
        <v>174</v>
      </c>
      <c r="D95" s="6" t="s">
        <v>39</v>
      </c>
      <c r="E95" s="20" t="s">
        <v>175</v>
      </c>
      <c r="F95" s="31"/>
      <c r="G95" s="44">
        <v>11</v>
      </c>
      <c r="H95" s="1" t="s">
        <v>258</v>
      </c>
      <c r="I95" s="1">
        <v>14620321</v>
      </c>
      <c r="J95" s="56">
        <v>44205</v>
      </c>
      <c r="K95" s="1">
        <v>723789436</v>
      </c>
      <c r="L95" s="1">
        <v>776724</v>
      </c>
      <c r="M95" s="1" t="s">
        <v>886</v>
      </c>
      <c r="N95" s="1" t="s">
        <v>878</v>
      </c>
      <c r="O95" s="63">
        <v>1</v>
      </c>
      <c r="P95" s="1" t="s">
        <v>887</v>
      </c>
      <c r="Q95" s="1" t="s">
        <v>887</v>
      </c>
      <c r="R95" s="1" t="s">
        <v>888</v>
      </c>
      <c r="S95" s="1" t="s">
        <v>888</v>
      </c>
      <c r="T95" s="1" t="s">
        <v>306</v>
      </c>
      <c r="U95" s="1" t="s">
        <v>452</v>
      </c>
      <c r="V95" s="1">
        <v>264285</v>
      </c>
      <c r="W95" s="1">
        <v>505132</v>
      </c>
      <c r="X95" s="1" t="s">
        <v>889</v>
      </c>
      <c r="Y95" s="1" t="s">
        <v>890</v>
      </c>
      <c r="Z95" s="1" t="s">
        <v>891</v>
      </c>
      <c r="AA95" s="1">
        <v>710540400</v>
      </c>
      <c r="AB95" s="1" t="s">
        <v>329</v>
      </c>
      <c r="AC95" s="1" t="s">
        <v>326</v>
      </c>
      <c r="AD95" s="1" t="s">
        <v>892</v>
      </c>
    </row>
    <row r="96" spans="1:30" ht="15.95" customHeight="1" x14ac:dyDescent="0.2">
      <c r="A96" s="5">
        <v>94</v>
      </c>
      <c r="B96" s="3">
        <v>241338</v>
      </c>
      <c r="C96" s="6" t="s">
        <v>65</v>
      </c>
      <c r="D96" s="6" t="s">
        <v>39</v>
      </c>
      <c r="E96" s="30" t="s">
        <v>54</v>
      </c>
      <c r="F96" s="31"/>
      <c r="G96" s="44">
        <v>12</v>
      </c>
      <c r="H96" s="1" t="s">
        <v>258</v>
      </c>
      <c r="I96" s="1">
        <v>35374930</v>
      </c>
      <c r="J96" s="1" t="s">
        <v>757</v>
      </c>
      <c r="K96" s="1">
        <v>707028936</v>
      </c>
      <c r="L96" s="1">
        <v>490922</v>
      </c>
      <c r="M96" s="56">
        <v>33856</v>
      </c>
      <c r="N96" s="1" t="s">
        <v>758</v>
      </c>
      <c r="O96" s="63">
        <v>25</v>
      </c>
      <c r="P96" s="1" t="s">
        <v>759</v>
      </c>
      <c r="Q96" s="1" t="s">
        <v>760</v>
      </c>
      <c r="R96" s="1" t="s">
        <v>761</v>
      </c>
      <c r="S96" s="1" t="s">
        <v>762</v>
      </c>
      <c r="T96" s="1" t="s">
        <v>306</v>
      </c>
      <c r="U96" s="1" t="s">
        <v>618</v>
      </c>
      <c r="V96" s="1">
        <v>2020968633</v>
      </c>
      <c r="W96" s="1">
        <v>7587171</v>
      </c>
      <c r="X96" s="1" t="s">
        <v>763</v>
      </c>
      <c r="Y96" s="1">
        <v>64</v>
      </c>
      <c r="Z96" s="1" t="s">
        <v>764</v>
      </c>
      <c r="AB96" s="1" t="s">
        <v>407</v>
      </c>
      <c r="AC96" s="1" t="s">
        <v>326</v>
      </c>
      <c r="AD96" s="1" t="s">
        <v>765</v>
      </c>
    </row>
    <row r="97" spans="1:30" ht="15.95" customHeight="1" x14ac:dyDescent="0.2">
      <c r="A97" s="5">
        <v>95</v>
      </c>
      <c r="B97" s="3">
        <v>238002</v>
      </c>
      <c r="C97" s="6" t="s">
        <v>50</v>
      </c>
      <c r="D97" s="6" t="s">
        <v>39</v>
      </c>
      <c r="E97" s="30" t="s">
        <v>45</v>
      </c>
      <c r="F97" s="31"/>
      <c r="G97" s="44">
        <v>12</v>
      </c>
      <c r="H97" s="1" t="s">
        <v>258</v>
      </c>
      <c r="I97" s="1">
        <v>6641254</v>
      </c>
      <c r="J97" s="56">
        <v>32516</v>
      </c>
      <c r="K97" s="1">
        <v>716309119</v>
      </c>
      <c r="L97" s="1">
        <v>9049646</v>
      </c>
      <c r="M97" s="56">
        <v>23743</v>
      </c>
      <c r="N97" s="1" t="s">
        <v>647</v>
      </c>
      <c r="O97" s="63">
        <v>38</v>
      </c>
      <c r="P97" s="1" t="s">
        <v>807</v>
      </c>
      <c r="Q97" s="1" t="s">
        <v>808</v>
      </c>
      <c r="R97" s="1" t="s">
        <v>809</v>
      </c>
      <c r="S97" s="1" t="s">
        <v>810</v>
      </c>
      <c r="T97" s="1" t="s">
        <v>299</v>
      </c>
      <c r="U97" s="1" t="s">
        <v>811</v>
      </c>
      <c r="V97" s="1">
        <v>692996621</v>
      </c>
      <c r="W97" s="1">
        <v>20312228</v>
      </c>
      <c r="X97" s="1" t="s">
        <v>812</v>
      </c>
      <c r="Y97" s="1">
        <v>203</v>
      </c>
      <c r="Z97" s="1" t="s">
        <v>813</v>
      </c>
      <c r="AA97" s="1">
        <v>748417076</v>
      </c>
      <c r="AB97" s="1" t="s">
        <v>518</v>
      </c>
      <c r="AC97" s="1" t="s">
        <v>304</v>
      </c>
      <c r="AD97" s="1" t="s">
        <v>689</v>
      </c>
    </row>
    <row r="98" spans="1:30" ht="15.95" customHeight="1" x14ac:dyDescent="0.2">
      <c r="A98" s="5">
        <v>96</v>
      </c>
      <c r="B98" s="3">
        <v>161137</v>
      </c>
      <c r="C98" s="6" t="s">
        <v>1338</v>
      </c>
      <c r="D98" s="6" t="s">
        <v>39</v>
      </c>
      <c r="E98" s="30" t="s">
        <v>45</v>
      </c>
      <c r="F98" s="31"/>
      <c r="G98" s="44">
        <v>12</v>
      </c>
      <c r="H98" s="1" t="s">
        <v>258</v>
      </c>
      <c r="I98" s="1">
        <v>10141052</v>
      </c>
      <c r="J98" s="1">
        <v>1992</v>
      </c>
      <c r="K98" s="1">
        <v>720275536</v>
      </c>
      <c r="L98" s="1">
        <v>3852914</v>
      </c>
      <c r="M98" s="1" t="s">
        <v>1332</v>
      </c>
      <c r="N98" s="1" t="s">
        <v>315</v>
      </c>
      <c r="O98" s="63">
        <v>22</v>
      </c>
      <c r="P98" s="1" t="s">
        <v>781</v>
      </c>
      <c r="Q98" s="1" t="s">
        <v>316</v>
      </c>
      <c r="R98" s="1" t="s">
        <v>1333</v>
      </c>
      <c r="S98" s="1" t="s">
        <v>1334</v>
      </c>
      <c r="T98" s="1" t="s">
        <v>299</v>
      </c>
      <c r="U98" s="1" t="s">
        <v>452</v>
      </c>
      <c r="V98" s="1">
        <v>102997934</v>
      </c>
      <c r="W98" s="1" t="s">
        <v>1335</v>
      </c>
      <c r="X98" s="1" t="s">
        <v>1336</v>
      </c>
      <c r="Z98" s="1" t="s">
        <v>1337</v>
      </c>
      <c r="AA98" s="1">
        <v>708328261</v>
      </c>
      <c r="AB98" s="1" t="s">
        <v>667</v>
      </c>
      <c r="AC98" s="1" t="s">
        <v>427</v>
      </c>
      <c r="AD98" s="1" t="s">
        <v>464</v>
      </c>
    </row>
    <row r="99" spans="1:30" ht="15.95" customHeight="1" x14ac:dyDescent="0.2">
      <c r="A99" s="5">
        <v>97</v>
      </c>
      <c r="B99" s="3">
        <v>143029</v>
      </c>
      <c r="C99" s="6" t="s">
        <v>52</v>
      </c>
      <c r="D99" s="6" t="s">
        <v>39</v>
      </c>
      <c r="E99" s="30" t="s">
        <v>53</v>
      </c>
      <c r="F99" s="31"/>
      <c r="G99" s="44">
        <v>13</v>
      </c>
      <c r="H99" s="1" t="s">
        <v>258</v>
      </c>
      <c r="I99" s="1">
        <v>21717357</v>
      </c>
      <c r="J99" s="1" t="s">
        <v>1302</v>
      </c>
      <c r="K99" s="1">
        <v>700699022</v>
      </c>
      <c r="M99" s="56">
        <v>28678</v>
      </c>
      <c r="N99" s="1" t="s">
        <v>708</v>
      </c>
      <c r="O99" s="63">
        <v>34</v>
      </c>
      <c r="P99" s="1" t="s">
        <v>1299</v>
      </c>
      <c r="Q99" s="1" t="s">
        <v>1300</v>
      </c>
      <c r="R99" s="1" t="s">
        <v>1301</v>
      </c>
      <c r="S99" s="1" t="s">
        <v>1299</v>
      </c>
      <c r="T99" s="1" t="s">
        <v>299</v>
      </c>
      <c r="U99" s="1" t="s">
        <v>811</v>
      </c>
      <c r="V99" s="1">
        <v>156380919</v>
      </c>
      <c r="W99" s="1">
        <v>82047337</v>
      </c>
      <c r="X99" s="1" t="s">
        <v>1303</v>
      </c>
      <c r="Y99" s="1">
        <v>116</v>
      </c>
      <c r="Z99" s="1" t="s">
        <v>1304</v>
      </c>
      <c r="AA99" s="1">
        <v>726700238</v>
      </c>
      <c r="AB99" s="1" t="s">
        <v>329</v>
      </c>
      <c r="AD99" s="1" t="s">
        <v>303</v>
      </c>
    </row>
    <row r="100" spans="1:30" ht="15.95" customHeight="1" x14ac:dyDescent="0.2">
      <c r="A100" s="5">
        <v>98</v>
      </c>
      <c r="B100" s="3">
        <v>241081</v>
      </c>
      <c r="C100" s="6" t="s">
        <v>59</v>
      </c>
      <c r="D100" s="6" t="s">
        <v>39</v>
      </c>
      <c r="E100" s="30" t="s">
        <v>60</v>
      </c>
      <c r="F100" s="31"/>
      <c r="G100" s="44">
        <v>13</v>
      </c>
      <c r="H100" s="1" t="s">
        <v>259</v>
      </c>
      <c r="I100" s="1">
        <v>26041520</v>
      </c>
      <c r="J100" s="56">
        <v>41640</v>
      </c>
      <c r="K100" s="1">
        <v>796903454</v>
      </c>
      <c r="L100" s="1">
        <v>12853</v>
      </c>
      <c r="M100" s="56">
        <v>36155</v>
      </c>
      <c r="N100" s="1" t="s">
        <v>410</v>
      </c>
      <c r="O100" s="63">
        <v>36</v>
      </c>
      <c r="P100" s="1" t="s">
        <v>766</v>
      </c>
      <c r="Q100" s="1" t="s">
        <v>767</v>
      </c>
      <c r="R100" s="1" t="s">
        <v>768</v>
      </c>
      <c r="S100" s="1" t="s">
        <v>769</v>
      </c>
      <c r="T100" s="1" t="s">
        <v>299</v>
      </c>
      <c r="U100" s="1" t="s">
        <v>650</v>
      </c>
      <c r="V100" s="1">
        <v>2001323823</v>
      </c>
      <c r="W100" s="1">
        <v>4604884</v>
      </c>
      <c r="X100" s="1" t="s">
        <v>770</v>
      </c>
      <c r="Y100" s="1">
        <v>43</v>
      </c>
      <c r="Z100" s="1" t="s">
        <v>771</v>
      </c>
      <c r="AA100" s="1">
        <v>728508009</v>
      </c>
      <c r="AB100" s="1" t="s">
        <v>597</v>
      </c>
      <c r="AC100" s="1" t="s">
        <v>326</v>
      </c>
      <c r="AD100" s="1" t="s">
        <v>765</v>
      </c>
    </row>
    <row r="101" spans="1:30" ht="15.95" customHeight="1" x14ac:dyDescent="0.2">
      <c r="A101" s="5">
        <v>99</v>
      </c>
      <c r="B101" s="3">
        <v>241011</v>
      </c>
      <c r="C101" s="6" t="s">
        <v>1353</v>
      </c>
      <c r="D101" s="6" t="s">
        <v>39</v>
      </c>
      <c r="E101" s="30" t="s">
        <v>54</v>
      </c>
      <c r="F101" s="20"/>
      <c r="G101" s="20">
        <v>13</v>
      </c>
      <c r="H101" s="1" t="s">
        <v>258</v>
      </c>
      <c r="I101" s="1">
        <v>10164110</v>
      </c>
      <c r="J101" s="56">
        <v>40915</v>
      </c>
      <c r="K101" s="1">
        <v>711366734</v>
      </c>
      <c r="L101" s="1">
        <v>8628909</v>
      </c>
      <c r="M101" s="1" t="s">
        <v>814</v>
      </c>
      <c r="N101" s="1" t="s">
        <v>647</v>
      </c>
      <c r="O101" s="63">
        <v>38</v>
      </c>
      <c r="P101" s="1" t="s">
        <v>815</v>
      </c>
      <c r="Q101" s="1" t="s">
        <v>815</v>
      </c>
      <c r="R101" s="1" t="s">
        <v>816</v>
      </c>
      <c r="S101" s="1" t="s">
        <v>817</v>
      </c>
      <c r="T101" s="1" t="s">
        <v>299</v>
      </c>
      <c r="U101" s="1" t="s">
        <v>811</v>
      </c>
      <c r="V101" s="1">
        <v>635882914</v>
      </c>
      <c r="W101" s="1">
        <v>3263533</v>
      </c>
      <c r="X101" s="1" t="s">
        <v>818</v>
      </c>
      <c r="Y101" s="1">
        <v>199</v>
      </c>
      <c r="Z101" s="1" t="s">
        <v>819</v>
      </c>
      <c r="AA101" s="1">
        <v>115068340</v>
      </c>
      <c r="AB101" s="1" t="s">
        <v>329</v>
      </c>
      <c r="AC101" s="1" t="s">
        <v>304</v>
      </c>
      <c r="AD101" s="1" t="s">
        <v>328</v>
      </c>
    </row>
    <row r="102" spans="1:30" ht="22.5" customHeight="1" x14ac:dyDescent="0.2">
      <c r="A102" s="5">
        <v>100</v>
      </c>
      <c r="B102" s="3">
        <v>158002</v>
      </c>
      <c r="C102" s="6" t="s">
        <v>248</v>
      </c>
      <c r="D102" s="6" t="s">
        <v>99</v>
      </c>
      <c r="E102" s="30" t="s">
        <v>100</v>
      </c>
      <c r="F102" s="31"/>
      <c r="G102" s="44">
        <v>4</v>
      </c>
      <c r="H102" s="1" t="s">
        <v>258</v>
      </c>
      <c r="I102" s="1">
        <v>8456642</v>
      </c>
      <c r="J102" s="56">
        <v>34705</v>
      </c>
      <c r="K102" s="1">
        <v>701123823</v>
      </c>
      <c r="L102" s="1">
        <v>735029</v>
      </c>
      <c r="M102" s="1" t="s">
        <v>772</v>
      </c>
      <c r="N102" s="1" t="s">
        <v>294</v>
      </c>
      <c r="O102" s="63">
        <v>3</v>
      </c>
      <c r="P102" s="1" t="s">
        <v>773</v>
      </c>
      <c r="Q102" s="1" t="s">
        <v>773</v>
      </c>
      <c r="R102" s="1" t="s">
        <v>774</v>
      </c>
      <c r="S102" s="1" t="s">
        <v>775</v>
      </c>
      <c r="T102" s="1" t="s">
        <v>299</v>
      </c>
      <c r="U102" s="1" t="s">
        <v>333</v>
      </c>
      <c r="V102" s="1">
        <v>970720629</v>
      </c>
      <c r="W102" s="1" t="s">
        <v>776</v>
      </c>
      <c r="X102" s="1" t="s">
        <v>777</v>
      </c>
      <c r="Y102" s="1">
        <v>408</v>
      </c>
      <c r="Z102" s="1" t="s">
        <v>778</v>
      </c>
      <c r="AA102" s="1">
        <v>794840980</v>
      </c>
      <c r="AB102" s="1" t="s">
        <v>329</v>
      </c>
      <c r="AC102" s="1" t="s">
        <v>326</v>
      </c>
      <c r="AD102" s="1" t="s">
        <v>779</v>
      </c>
    </row>
    <row r="103" spans="1:30" ht="21" customHeight="1" x14ac:dyDescent="0.2">
      <c r="A103" s="5">
        <v>101</v>
      </c>
      <c r="B103" s="3">
        <v>180039</v>
      </c>
      <c r="C103" s="20" t="s">
        <v>247</v>
      </c>
      <c r="D103" s="6" t="s">
        <v>99</v>
      </c>
      <c r="E103" s="30" t="s">
        <v>41</v>
      </c>
      <c r="F103" s="31"/>
      <c r="G103" s="44">
        <v>5</v>
      </c>
      <c r="H103" s="1" t="s">
        <v>258</v>
      </c>
      <c r="I103" s="1">
        <v>7466013</v>
      </c>
      <c r="J103" s="56">
        <v>35072</v>
      </c>
      <c r="K103" s="1">
        <v>721332835</v>
      </c>
      <c r="M103" s="56">
        <v>23812</v>
      </c>
      <c r="N103" s="1" t="s">
        <v>362</v>
      </c>
      <c r="O103" s="63">
        <v>47</v>
      </c>
      <c r="P103" s="1" t="s">
        <v>735</v>
      </c>
      <c r="Q103" s="1" t="s">
        <v>735</v>
      </c>
      <c r="R103" s="1" t="s">
        <v>1261</v>
      </c>
      <c r="S103" s="1" t="s">
        <v>1261</v>
      </c>
      <c r="T103" s="1" t="s">
        <v>299</v>
      </c>
      <c r="U103" s="1" t="s">
        <v>441</v>
      </c>
      <c r="V103" s="1" t="s">
        <v>1262</v>
      </c>
      <c r="W103" s="1" t="s">
        <v>1263</v>
      </c>
      <c r="X103" s="1" t="s">
        <v>1264</v>
      </c>
      <c r="Y103" s="1" t="s">
        <v>1265</v>
      </c>
      <c r="Z103" s="1" t="s">
        <v>1266</v>
      </c>
      <c r="AA103" s="1">
        <v>720766241</v>
      </c>
      <c r="AB103" s="1" t="s">
        <v>597</v>
      </c>
      <c r="AC103" s="1" t="s">
        <v>326</v>
      </c>
      <c r="AD103" s="1" t="s">
        <v>1267</v>
      </c>
    </row>
    <row r="104" spans="1:30" ht="22.5" customHeight="1" x14ac:dyDescent="0.2">
      <c r="A104" s="5">
        <v>102</v>
      </c>
      <c r="B104" s="3">
        <v>163132</v>
      </c>
      <c r="C104" s="6" t="s">
        <v>1241</v>
      </c>
      <c r="D104" s="6" t="s">
        <v>99</v>
      </c>
      <c r="E104" s="30" t="s">
        <v>103</v>
      </c>
      <c r="F104" s="31"/>
      <c r="G104" s="44">
        <v>7</v>
      </c>
      <c r="H104" s="1" t="s">
        <v>259</v>
      </c>
      <c r="I104" s="1">
        <v>23837529</v>
      </c>
      <c r="J104" s="56">
        <v>39450</v>
      </c>
      <c r="K104" s="1">
        <v>722596362</v>
      </c>
      <c r="M104" s="1" t="s">
        <v>780</v>
      </c>
      <c r="N104" s="1" t="s">
        <v>315</v>
      </c>
      <c r="O104" s="63">
        <v>22</v>
      </c>
      <c r="P104" s="1" t="s">
        <v>781</v>
      </c>
      <c r="Q104" s="1" t="s">
        <v>782</v>
      </c>
      <c r="R104" s="1" t="s">
        <v>782</v>
      </c>
      <c r="S104" s="1" t="s">
        <v>782</v>
      </c>
      <c r="T104" s="1" t="s">
        <v>299</v>
      </c>
      <c r="U104" s="1" t="s">
        <v>333</v>
      </c>
      <c r="V104" s="1">
        <v>956912818</v>
      </c>
      <c r="W104" s="1" t="s">
        <v>784</v>
      </c>
      <c r="X104" s="1" t="s">
        <v>785</v>
      </c>
      <c r="Z104" s="1" t="s">
        <v>786</v>
      </c>
      <c r="AA104" s="1">
        <v>715054506</v>
      </c>
      <c r="AB104" s="1" t="s">
        <v>597</v>
      </c>
      <c r="AC104" s="1" t="s">
        <v>326</v>
      </c>
      <c r="AD104" s="1" t="s">
        <v>464</v>
      </c>
    </row>
    <row r="105" spans="1:30" ht="19.5" customHeight="1" x14ac:dyDescent="0.2">
      <c r="A105" s="5">
        <v>103</v>
      </c>
      <c r="B105" s="3">
        <v>161165</v>
      </c>
      <c r="C105" s="6" t="s">
        <v>101</v>
      </c>
      <c r="D105" s="6" t="s">
        <v>99</v>
      </c>
      <c r="E105" s="30" t="s">
        <v>102</v>
      </c>
      <c r="F105" s="31"/>
      <c r="G105" s="44">
        <v>10</v>
      </c>
      <c r="H105" s="1" t="s">
        <v>258</v>
      </c>
      <c r="I105" s="1">
        <v>26202665</v>
      </c>
      <c r="J105" s="1" t="s">
        <v>292</v>
      </c>
      <c r="K105" s="1">
        <v>721384048</v>
      </c>
      <c r="L105" s="1">
        <v>729542</v>
      </c>
      <c r="M105" s="1" t="s">
        <v>293</v>
      </c>
      <c r="N105" s="1" t="s">
        <v>294</v>
      </c>
      <c r="O105" s="63">
        <v>3</v>
      </c>
      <c r="P105" s="1" t="s">
        <v>295</v>
      </c>
      <c r="Q105" s="1" t="s">
        <v>296</v>
      </c>
      <c r="R105" s="1" t="s">
        <v>297</v>
      </c>
      <c r="S105" s="1" t="s">
        <v>298</v>
      </c>
      <c r="T105" s="1" t="s">
        <v>299</v>
      </c>
      <c r="U105" s="1" t="s">
        <v>300</v>
      </c>
      <c r="V105" s="1">
        <v>842605924</v>
      </c>
      <c r="W105" s="1" t="s">
        <v>783</v>
      </c>
      <c r="X105" s="1" t="s">
        <v>301</v>
      </c>
      <c r="Z105" s="1" t="s">
        <v>302</v>
      </c>
      <c r="AA105" s="1">
        <v>724726802</v>
      </c>
      <c r="AC105" s="1" t="s">
        <v>304</v>
      </c>
      <c r="AD105" s="1" t="s">
        <v>303</v>
      </c>
    </row>
    <row r="106" spans="1:30" ht="14.25" customHeight="1" x14ac:dyDescent="0.2">
      <c r="A106" s="5">
        <v>104</v>
      </c>
      <c r="B106" s="3">
        <v>174024</v>
      </c>
      <c r="C106" s="6" t="s">
        <v>244</v>
      </c>
      <c r="D106" s="6" t="s">
        <v>155</v>
      </c>
      <c r="E106" s="30" t="s">
        <v>40</v>
      </c>
      <c r="F106" s="31"/>
      <c r="G106" s="44">
        <v>5</v>
      </c>
      <c r="H106" s="1" t="s">
        <v>259</v>
      </c>
      <c r="L106" s="1">
        <v>80590</v>
      </c>
      <c r="T106" s="1" t="s">
        <v>299</v>
      </c>
    </row>
    <row r="107" spans="1:30" ht="25.5" customHeight="1" x14ac:dyDescent="0.2">
      <c r="A107" s="5">
        <v>105</v>
      </c>
      <c r="B107" s="3">
        <v>163120</v>
      </c>
      <c r="C107" s="6" t="s">
        <v>245</v>
      </c>
      <c r="D107" s="6" t="s">
        <v>155</v>
      </c>
      <c r="E107" s="30" t="s">
        <v>40</v>
      </c>
      <c r="F107" s="31"/>
      <c r="G107" s="44">
        <v>5</v>
      </c>
      <c r="H107" s="1" t="s">
        <v>258</v>
      </c>
      <c r="I107" s="1">
        <v>2050332</v>
      </c>
      <c r="J107" s="56">
        <v>39089</v>
      </c>
      <c r="K107" s="1">
        <v>721470420</v>
      </c>
      <c r="M107" s="56">
        <v>28071</v>
      </c>
      <c r="N107" s="1" t="s">
        <v>556</v>
      </c>
      <c r="O107" s="63">
        <v>17</v>
      </c>
      <c r="P107" s="1" t="s">
        <v>1406</v>
      </c>
      <c r="Q107" s="1" t="s">
        <v>1407</v>
      </c>
      <c r="R107" s="1" t="s">
        <v>1408</v>
      </c>
      <c r="S107" s="1" t="s">
        <v>1408</v>
      </c>
      <c r="T107" s="1" t="s">
        <v>299</v>
      </c>
      <c r="U107" s="1" t="s">
        <v>333</v>
      </c>
      <c r="V107" s="1">
        <v>441485928</v>
      </c>
      <c r="W107" s="1" t="s">
        <v>1409</v>
      </c>
      <c r="X107" s="1" t="s">
        <v>1410</v>
      </c>
      <c r="Y107" s="1">
        <v>151</v>
      </c>
      <c r="Z107" s="1" t="s">
        <v>1411</v>
      </c>
      <c r="AA107" s="1">
        <v>726398832</v>
      </c>
      <c r="AB107" s="1" t="s">
        <v>329</v>
      </c>
      <c r="AC107" s="1" t="s">
        <v>326</v>
      </c>
      <c r="AD107" s="1" t="s">
        <v>659</v>
      </c>
    </row>
    <row r="108" spans="1:30" ht="18" customHeight="1" x14ac:dyDescent="0.2">
      <c r="A108" s="5">
        <v>106</v>
      </c>
      <c r="B108" s="3">
        <v>171162</v>
      </c>
      <c r="C108" s="6" t="s">
        <v>246</v>
      </c>
      <c r="D108" s="6" t="s">
        <v>155</v>
      </c>
      <c r="E108" s="30" t="s">
        <v>111</v>
      </c>
      <c r="F108" s="31"/>
      <c r="G108" s="44">
        <v>5</v>
      </c>
      <c r="H108" s="1" t="s">
        <v>258</v>
      </c>
      <c r="I108" s="1">
        <v>21301415</v>
      </c>
      <c r="J108" s="56">
        <v>37264</v>
      </c>
      <c r="K108" s="1">
        <v>722594878</v>
      </c>
      <c r="L108" s="1">
        <v>829908</v>
      </c>
      <c r="M108" s="1" t="s">
        <v>787</v>
      </c>
      <c r="N108" s="1" t="s">
        <v>571</v>
      </c>
      <c r="O108" s="63">
        <v>21</v>
      </c>
      <c r="P108" s="1" t="s">
        <v>788</v>
      </c>
      <c r="Q108" s="1" t="s">
        <v>788</v>
      </c>
      <c r="R108" s="1" t="s">
        <v>789</v>
      </c>
      <c r="S108" s="1" t="s">
        <v>789</v>
      </c>
      <c r="T108" s="1" t="s">
        <v>299</v>
      </c>
      <c r="U108" s="1" t="s">
        <v>333</v>
      </c>
      <c r="V108" s="1">
        <v>121526935</v>
      </c>
      <c r="W108" s="1" t="s">
        <v>790</v>
      </c>
      <c r="X108" s="1" t="s">
        <v>791</v>
      </c>
      <c r="Y108" s="1">
        <v>176</v>
      </c>
      <c r="Z108" s="1" t="s">
        <v>792</v>
      </c>
      <c r="AA108" s="1">
        <v>721512488</v>
      </c>
      <c r="AB108" s="1" t="s">
        <v>329</v>
      </c>
      <c r="AC108" s="1" t="s">
        <v>326</v>
      </c>
      <c r="AD108" s="1" t="s">
        <v>793</v>
      </c>
    </row>
    <row r="109" spans="1:30" ht="17.25" customHeight="1" x14ac:dyDescent="0.2">
      <c r="A109" s="5">
        <v>107</v>
      </c>
      <c r="B109" s="3">
        <v>146019</v>
      </c>
      <c r="C109" s="6" t="s">
        <v>104</v>
      </c>
      <c r="D109" s="6" t="s">
        <v>155</v>
      </c>
      <c r="E109" s="30" t="s">
        <v>40</v>
      </c>
      <c r="F109" s="31"/>
      <c r="G109" s="44">
        <v>5</v>
      </c>
      <c r="H109" s="1" t="s">
        <v>258</v>
      </c>
      <c r="T109" s="1" t="s">
        <v>299</v>
      </c>
    </row>
    <row r="110" spans="1:30" ht="18" customHeight="1" x14ac:dyDescent="0.2">
      <c r="A110" s="5">
        <v>108</v>
      </c>
      <c r="B110" s="3">
        <v>208012</v>
      </c>
      <c r="C110" s="6" t="s">
        <v>105</v>
      </c>
      <c r="D110" s="6" t="s">
        <v>155</v>
      </c>
      <c r="E110" s="30" t="s">
        <v>106</v>
      </c>
      <c r="F110" s="31"/>
      <c r="G110" s="44">
        <v>6</v>
      </c>
      <c r="H110" s="1" t="s">
        <v>259</v>
      </c>
      <c r="I110" s="62"/>
      <c r="J110" s="62"/>
      <c r="T110" s="1" t="s">
        <v>299</v>
      </c>
    </row>
    <row r="111" spans="1:30" ht="15.95" customHeight="1" x14ac:dyDescent="0.2">
      <c r="A111" s="5">
        <v>109</v>
      </c>
      <c r="B111" s="3">
        <v>241625</v>
      </c>
      <c r="C111" s="6" t="s">
        <v>1308</v>
      </c>
      <c r="D111" s="6" t="s">
        <v>155</v>
      </c>
      <c r="E111" s="20" t="s">
        <v>121</v>
      </c>
      <c r="F111" s="20"/>
      <c r="G111" s="20">
        <v>8</v>
      </c>
      <c r="H111" s="1" t="s">
        <v>259</v>
      </c>
      <c r="I111" s="1">
        <v>28782265</v>
      </c>
      <c r="J111" s="56">
        <v>44621</v>
      </c>
      <c r="K111" s="1">
        <v>713058079</v>
      </c>
      <c r="L111" s="1">
        <v>660722</v>
      </c>
      <c r="M111" s="56">
        <v>33429</v>
      </c>
      <c r="N111" s="1" t="s">
        <v>416</v>
      </c>
      <c r="O111" s="63">
        <v>37</v>
      </c>
      <c r="P111" s="1" t="s">
        <v>794</v>
      </c>
      <c r="Q111" s="1" t="s">
        <v>794</v>
      </c>
      <c r="R111" s="1" t="s">
        <v>795</v>
      </c>
      <c r="S111" s="1" t="s">
        <v>796</v>
      </c>
      <c r="T111" s="1" t="s">
        <v>306</v>
      </c>
      <c r="U111" s="1" t="s">
        <v>403</v>
      </c>
      <c r="V111" s="1">
        <v>2015367801</v>
      </c>
      <c r="W111" s="1">
        <v>9683593</v>
      </c>
      <c r="X111" s="1" t="s">
        <v>797</v>
      </c>
      <c r="Y111" s="1" t="s">
        <v>798</v>
      </c>
      <c r="Z111" s="1" t="s">
        <v>799</v>
      </c>
      <c r="AA111" s="1">
        <v>718182248</v>
      </c>
      <c r="AB111" s="1" t="s">
        <v>407</v>
      </c>
      <c r="AC111" s="1" t="s">
        <v>326</v>
      </c>
      <c r="AD111" s="1" t="s">
        <v>800</v>
      </c>
    </row>
    <row r="112" spans="1:30" ht="15.75" customHeight="1" x14ac:dyDescent="0.2">
      <c r="A112" s="5">
        <v>110</v>
      </c>
      <c r="B112" s="3">
        <v>180031</v>
      </c>
      <c r="C112" s="6" t="s">
        <v>107</v>
      </c>
      <c r="D112" s="6" t="s">
        <v>155</v>
      </c>
      <c r="E112" s="30" t="s">
        <v>108</v>
      </c>
      <c r="F112" s="31"/>
      <c r="G112" s="44">
        <v>12</v>
      </c>
      <c r="H112" s="1" t="s">
        <v>258</v>
      </c>
      <c r="I112" s="1">
        <v>9225573</v>
      </c>
      <c r="J112" s="1">
        <v>1992</v>
      </c>
      <c r="K112" s="1">
        <v>702111582</v>
      </c>
      <c r="L112" s="1">
        <v>9515618</v>
      </c>
      <c r="M112" s="1">
        <v>1968</v>
      </c>
      <c r="N112" s="1" t="s">
        <v>654</v>
      </c>
      <c r="O112" s="63">
        <v>16</v>
      </c>
      <c r="P112" s="1" t="s">
        <v>656</v>
      </c>
      <c r="Q112" s="1" t="s">
        <v>1108</v>
      </c>
      <c r="R112" s="1" t="s">
        <v>1109</v>
      </c>
      <c r="S112" s="1" t="s">
        <v>1110</v>
      </c>
      <c r="T112" s="1" t="s">
        <v>299</v>
      </c>
      <c r="U112" s="1" t="s">
        <v>343</v>
      </c>
      <c r="V112" s="1">
        <v>20541910</v>
      </c>
      <c r="W112" s="1" t="s">
        <v>1111</v>
      </c>
      <c r="X112" s="1" t="s">
        <v>1112</v>
      </c>
      <c r="Y112" s="1">
        <v>58</v>
      </c>
      <c r="Z112" s="1" t="s">
        <v>1113</v>
      </c>
      <c r="AA112" s="1">
        <v>702111582</v>
      </c>
      <c r="AB112" s="1" t="s">
        <v>329</v>
      </c>
      <c r="AD112" s="1" t="s">
        <v>756</v>
      </c>
    </row>
    <row r="113" spans="1:30" ht="21.75" customHeight="1" x14ac:dyDescent="0.2">
      <c r="A113" s="5">
        <v>111</v>
      </c>
      <c r="B113" s="3">
        <v>176081</v>
      </c>
      <c r="C113" s="6" t="s">
        <v>240</v>
      </c>
      <c r="D113" s="6" t="s">
        <v>8</v>
      </c>
      <c r="E113" s="30" t="s">
        <v>117</v>
      </c>
      <c r="F113" s="31"/>
      <c r="G113" s="44">
        <v>3</v>
      </c>
      <c r="H113" s="1" t="s">
        <v>258</v>
      </c>
      <c r="I113" s="1">
        <v>14450937</v>
      </c>
      <c r="J113" s="56">
        <v>40182</v>
      </c>
      <c r="K113" s="1">
        <v>724306688</v>
      </c>
      <c r="L113" s="1">
        <v>230812</v>
      </c>
      <c r="M113" s="1" t="s">
        <v>1268</v>
      </c>
      <c r="N113" s="1" t="s">
        <v>457</v>
      </c>
      <c r="O113" s="63">
        <v>46</v>
      </c>
      <c r="P113" s="1" t="s">
        <v>503</v>
      </c>
      <c r="Q113" s="1" t="s">
        <v>1269</v>
      </c>
      <c r="R113" s="1" t="s">
        <v>1269</v>
      </c>
      <c r="S113" s="1" t="s">
        <v>1270</v>
      </c>
      <c r="T113" s="1" t="s">
        <v>299</v>
      </c>
      <c r="U113" s="1" t="s">
        <v>333</v>
      </c>
      <c r="V113" s="1">
        <v>370935918</v>
      </c>
      <c r="W113" s="1">
        <v>916729</v>
      </c>
      <c r="X113" s="1" t="s">
        <v>1271</v>
      </c>
      <c r="Y113" s="1" t="s">
        <v>1272</v>
      </c>
      <c r="Z113" s="1" t="s">
        <v>1273</v>
      </c>
      <c r="AA113" s="1">
        <v>721242600</v>
      </c>
      <c r="AB113" s="1" t="s">
        <v>463</v>
      </c>
      <c r="AC113" s="1" t="s">
        <v>326</v>
      </c>
      <c r="AD113" s="1" t="s">
        <v>328</v>
      </c>
    </row>
    <row r="114" spans="1:30" ht="20.25" customHeight="1" x14ac:dyDescent="0.2">
      <c r="A114" s="5">
        <v>112</v>
      </c>
      <c r="B114" s="3">
        <v>114006</v>
      </c>
      <c r="C114" s="6" t="s">
        <v>239</v>
      </c>
      <c r="D114" s="6" t="s">
        <v>163</v>
      </c>
      <c r="E114" s="30" t="s">
        <v>109</v>
      </c>
      <c r="F114" s="31"/>
      <c r="G114" s="44">
        <v>4</v>
      </c>
      <c r="H114" s="1" t="s">
        <v>258</v>
      </c>
      <c r="I114" s="1">
        <v>3988162</v>
      </c>
      <c r="J114" s="1" t="s">
        <v>1385</v>
      </c>
      <c r="K114" s="1">
        <v>722459266</v>
      </c>
      <c r="L114" s="1">
        <v>946884</v>
      </c>
      <c r="M114" s="56">
        <v>31789</v>
      </c>
      <c r="N114" s="1" t="s">
        <v>398</v>
      </c>
      <c r="O114" s="63">
        <v>42</v>
      </c>
      <c r="P114" s="1" t="s">
        <v>931</v>
      </c>
      <c r="Q114" s="1" t="s">
        <v>932</v>
      </c>
      <c r="R114" s="1" t="s">
        <v>1386</v>
      </c>
      <c r="S114" s="1" t="s">
        <v>1387</v>
      </c>
      <c r="T114" s="1" t="s">
        <v>299</v>
      </c>
      <c r="U114" s="1" t="s">
        <v>333</v>
      </c>
      <c r="V114" s="1">
        <v>976414627</v>
      </c>
      <c r="W114" s="1" t="s">
        <v>1388</v>
      </c>
      <c r="X114" s="1" t="s">
        <v>1389</v>
      </c>
      <c r="Y114" s="1">
        <v>41</v>
      </c>
      <c r="Z114" s="1" t="s">
        <v>1390</v>
      </c>
      <c r="AA114" s="1">
        <v>711845754</v>
      </c>
      <c r="AB114" s="1" t="s">
        <v>329</v>
      </c>
      <c r="AC114" s="1" t="s">
        <v>326</v>
      </c>
      <c r="AD114" s="1" t="s">
        <v>677</v>
      </c>
    </row>
    <row r="115" spans="1:30" ht="23.25" customHeight="1" x14ac:dyDescent="0.2">
      <c r="A115" s="5">
        <v>113</v>
      </c>
      <c r="B115" s="3">
        <v>183052</v>
      </c>
      <c r="C115" s="6" t="s">
        <v>241</v>
      </c>
      <c r="D115" s="6" t="s">
        <v>8</v>
      </c>
      <c r="E115" s="30" t="s">
        <v>112</v>
      </c>
      <c r="F115" s="31"/>
      <c r="G115" s="44">
        <v>4</v>
      </c>
      <c r="H115" s="1" t="s">
        <v>259</v>
      </c>
      <c r="I115" s="1">
        <v>9759334</v>
      </c>
      <c r="J115" s="56">
        <v>39091</v>
      </c>
      <c r="K115" s="1">
        <v>722332037</v>
      </c>
      <c r="L115" s="1">
        <v>327288</v>
      </c>
      <c r="M115" s="1" t="s">
        <v>1221</v>
      </c>
      <c r="N115" s="1" t="s">
        <v>528</v>
      </c>
      <c r="O115" s="63">
        <v>41</v>
      </c>
      <c r="P115" s="1" t="s">
        <v>1222</v>
      </c>
      <c r="Q115" s="1" t="s">
        <v>1223</v>
      </c>
      <c r="R115" s="1" t="s">
        <v>1224</v>
      </c>
      <c r="S115" s="1" t="s">
        <v>1225</v>
      </c>
      <c r="T115" s="1" t="s">
        <v>299</v>
      </c>
      <c r="U115" s="1" t="s">
        <v>333</v>
      </c>
      <c r="V115" s="1">
        <v>836089812</v>
      </c>
      <c r="W115" s="1" t="s">
        <v>1226</v>
      </c>
      <c r="X115" s="1" t="s">
        <v>1227</v>
      </c>
      <c r="Y115" s="1">
        <v>1456</v>
      </c>
      <c r="Z115" s="1" t="s">
        <v>1228</v>
      </c>
      <c r="AA115" s="1">
        <v>717870176</v>
      </c>
      <c r="AB115" s="1" t="s">
        <v>396</v>
      </c>
      <c r="AC115" s="1" t="s">
        <v>326</v>
      </c>
      <c r="AD115" s="1" t="s">
        <v>1229</v>
      </c>
    </row>
    <row r="116" spans="1:30" ht="22.5" customHeight="1" x14ac:dyDescent="0.2">
      <c r="A116" s="5">
        <v>114</v>
      </c>
      <c r="B116" s="3">
        <v>241339</v>
      </c>
      <c r="C116" s="6" t="s">
        <v>110</v>
      </c>
      <c r="D116" s="6" t="s">
        <v>8</v>
      </c>
      <c r="E116" s="30" t="s">
        <v>111</v>
      </c>
      <c r="F116" s="20"/>
      <c r="G116" s="20">
        <v>5</v>
      </c>
      <c r="H116" s="1" t="s">
        <v>259</v>
      </c>
      <c r="I116" s="1">
        <v>2376027</v>
      </c>
      <c r="J116" s="1" t="s">
        <v>1324</v>
      </c>
      <c r="K116" s="1">
        <v>722912543</v>
      </c>
      <c r="L116" s="1">
        <v>858981</v>
      </c>
      <c r="M116" s="56">
        <v>31385</v>
      </c>
      <c r="N116" s="1" t="s">
        <v>938</v>
      </c>
      <c r="O116" s="63">
        <v>14</v>
      </c>
      <c r="P116" s="1" t="s">
        <v>1325</v>
      </c>
      <c r="Q116" s="1" t="s">
        <v>1326</v>
      </c>
      <c r="R116" s="1" t="s">
        <v>1326</v>
      </c>
      <c r="S116" s="1" t="s">
        <v>1326</v>
      </c>
      <c r="T116" s="1" t="s">
        <v>299</v>
      </c>
      <c r="U116" s="1" t="s">
        <v>333</v>
      </c>
      <c r="V116" s="1">
        <v>2020932354</v>
      </c>
      <c r="W116" s="1">
        <v>7576130</v>
      </c>
      <c r="X116" s="1" t="s">
        <v>1327</v>
      </c>
      <c r="Y116" s="1">
        <v>9767</v>
      </c>
      <c r="Z116" s="1" t="s">
        <v>1328</v>
      </c>
      <c r="AA116" s="1">
        <v>722831331</v>
      </c>
      <c r="AB116" s="1" t="s">
        <v>1329</v>
      </c>
    </row>
    <row r="117" spans="1:30" ht="24.75" customHeight="1" x14ac:dyDescent="0.2">
      <c r="A117" s="5">
        <v>115</v>
      </c>
      <c r="B117" s="3">
        <v>241693</v>
      </c>
      <c r="C117" s="6" t="s">
        <v>242</v>
      </c>
      <c r="D117" s="6" t="s">
        <v>194</v>
      </c>
      <c r="E117" s="20" t="s">
        <v>204</v>
      </c>
      <c r="F117" s="31"/>
      <c r="G117" s="44">
        <v>5</v>
      </c>
      <c r="H117" s="1" t="s">
        <v>259</v>
      </c>
      <c r="I117" s="1">
        <v>27925378</v>
      </c>
      <c r="J117" s="56">
        <v>44562</v>
      </c>
      <c r="K117" s="1">
        <v>725007000</v>
      </c>
      <c r="L117" s="1" t="str">
        <f>"0"&amp;94925</f>
        <v>094925</v>
      </c>
      <c r="M117" s="1" t="s">
        <v>1312</v>
      </c>
      <c r="N117" s="1" t="s">
        <v>362</v>
      </c>
      <c r="O117" s="63">
        <v>47</v>
      </c>
      <c r="P117" s="1" t="s">
        <v>735</v>
      </c>
      <c r="Q117" s="1" t="s">
        <v>735</v>
      </c>
      <c r="R117" s="1" t="s">
        <v>1313</v>
      </c>
      <c r="S117" s="1" t="s">
        <v>1314</v>
      </c>
      <c r="T117" s="1" t="s">
        <v>306</v>
      </c>
      <c r="U117" s="1" t="s">
        <v>333</v>
      </c>
      <c r="V117" s="1">
        <v>2038048702</v>
      </c>
      <c r="W117" s="1">
        <v>19381024</v>
      </c>
      <c r="X117" s="1" t="s">
        <v>1315</v>
      </c>
      <c r="Y117" s="1" t="s">
        <v>1316</v>
      </c>
      <c r="Z117" s="1" t="s">
        <v>1317</v>
      </c>
      <c r="AA117" s="1">
        <v>722514046</v>
      </c>
      <c r="AB117" s="1" t="s">
        <v>407</v>
      </c>
    </row>
    <row r="118" spans="1:30" ht="26.25" customHeight="1" x14ac:dyDescent="0.2">
      <c r="A118" s="5">
        <v>116</v>
      </c>
      <c r="B118" s="3">
        <v>175157</v>
      </c>
      <c r="C118" s="6" t="s">
        <v>243</v>
      </c>
      <c r="D118" s="6" t="s">
        <v>8</v>
      </c>
      <c r="E118" s="30" t="s">
        <v>40</v>
      </c>
      <c r="F118" s="31"/>
      <c r="G118" s="44">
        <v>5</v>
      </c>
      <c r="H118" s="1" t="s">
        <v>258</v>
      </c>
      <c r="I118" s="1">
        <v>13646789</v>
      </c>
      <c r="J118" s="56">
        <v>38725</v>
      </c>
      <c r="K118" s="1">
        <v>723432901</v>
      </c>
      <c r="L118" s="1">
        <v>127682</v>
      </c>
      <c r="M118" s="1" t="s">
        <v>1023</v>
      </c>
      <c r="N118" s="1" t="s">
        <v>801</v>
      </c>
      <c r="O118" s="63">
        <v>18</v>
      </c>
      <c r="P118" s="1" t="s">
        <v>802</v>
      </c>
      <c r="Q118" s="1" t="s">
        <v>1024</v>
      </c>
      <c r="R118" s="1" t="s">
        <v>1024</v>
      </c>
      <c r="S118" s="1" t="s">
        <v>1025</v>
      </c>
      <c r="T118" s="1" t="s">
        <v>299</v>
      </c>
      <c r="U118" s="1" t="s">
        <v>333</v>
      </c>
      <c r="V118" s="1">
        <v>694897922</v>
      </c>
      <c r="W118" s="1" t="s">
        <v>1026</v>
      </c>
      <c r="X118" s="1" t="s">
        <v>1027</v>
      </c>
      <c r="Z118" s="1" t="s">
        <v>1028</v>
      </c>
      <c r="AA118" s="1">
        <v>72374453</v>
      </c>
      <c r="AB118" s="1" t="s">
        <v>329</v>
      </c>
      <c r="AD118" s="1" t="s">
        <v>765</v>
      </c>
    </row>
    <row r="119" spans="1:30" ht="21.75" customHeight="1" x14ac:dyDescent="0.2">
      <c r="A119" s="5">
        <v>117</v>
      </c>
      <c r="B119" s="3">
        <v>163126</v>
      </c>
      <c r="C119" s="6" t="s">
        <v>113</v>
      </c>
      <c r="D119" s="6" t="s">
        <v>8</v>
      </c>
      <c r="E119" s="30" t="s">
        <v>41</v>
      </c>
      <c r="F119" s="31"/>
      <c r="G119" s="44">
        <v>6</v>
      </c>
      <c r="H119" s="1" t="s">
        <v>258</v>
      </c>
      <c r="T119" s="1" t="s">
        <v>299</v>
      </c>
    </row>
    <row r="120" spans="1:30" ht="21" customHeight="1" x14ac:dyDescent="0.2">
      <c r="A120" s="5">
        <v>118</v>
      </c>
      <c r="B120" s="3">
        <v>165019</v>
      </c>
      <c r="C120" s="6" t="s">
        <v>118</v>
      </c>
      <c r="D120" s="6" t="s">
        <v>8</v>
      </c>
      <c r="E120" s="30" t="s">
        <v>119</v>
      </c>
      <c r="F120" s="31"/>
      <c r="G120" s="44">
        <v>7</v>
      </c>
      <c r="H120" s="1" t="s">
        <v>258</v>
      </c>
      <c r="I120" s="1">
        <v>23575227</v>
      </c>
      <c r="J120" s="56">
        <v>36903</v>
      </c>
      <c r="K120" s="1">
        <v>722287593</v>
      </c>
      <c r="L120" s="1">
        <v>867267</v>
      </c>
      <c r="M120" s="1">
        <v>1983</v>
      </c>
      <c r="N120" s="1" t="s">
        <v>801</v>
      </c>
      <c r="O120" s="63">
        <v>18</v>
      </c>
      <c r="P120" s="1" t="s">
        <v>802</v>
      </c>
      <c r="Q120" s="1" t="s">
        <v>803</v>
      </c>
      <c r="R120" s="1" t="s">
        <v>803</v>
      </c>
      <c r="S120" s="1" t="s">
        <v>803</v>
      </c>
      <c r="T120" s="1" t="s">
        <v>299</v>
      </c>
      <c r="U120" s="1" t="s">
        <v>441</v>
      </c>
      <c r="V120" s="1">
        <v>289890917</v>
      </c>
      <c r="W120" s="1">
        <v>2843590</v>
      </c>
      <c r="X120" s="1" t="s">
        <v>804</v>
      </c>
      <c r="Y120" s="1" t="s">
        <v>805</v>
      </c>
      <c r="Z120" s="1" t="s">
        <v>806</v>
      </c>
      <c r="AA120" s="1">
        <v>729637713</v>
      </c>
      <c r="AB120" s="1" t="s">
        <v>329</v>
      </c>
    </row>
    <row r="121" spans="1:30" ht="21" customHeight="1" x14ac:dyDescent="0.2">
      <c r="A121" s="5">
        <v>119</v>
      </c>
      <c r="B121" s="3">
        <v>241158</v>
      </c>
      <c r="C121" s="6" t="s">
        <v>268</v>
      </c>
      <c r="D121" s="6" t="s">
        <v>8</v>
      </c>
      <c r="E121" s="30" t="s">
        <v>40</v>
      </c>
      <c r="F121" s="31"/>
      <c r="G121" s="44">
        <v>7</v>
      </c>
      <c r="H121" s="1" t="s">
        <v>259</v>
      </c>
      <c r="I121" s="1">
        <v>24946509</v>
      </c>
      <c r="J121" s="56">
        <v>42740</v>
      </c>
      <c r="K121" s="1">
        <v>726174225</v>
      </c>
      <c r="L121" s="1">
        <v>5477074</v>
      </c>
      <c r="M121" s="1" t="s">
        <v>1029</v>
      </c>
      <c r="N121" s="1" t="s">
        <v>1030</v>
      </c>
      <c r="O121" s="63">
        <v>26</v>
      </c>
      <c r="P121" s="1" t="s">
        <v>1031</v>
      </c>
      <c r="Q121" s="1" t="s">
        <v>1032</v>
      </c>
      <c r="R121" s="1" t="s">
        <v>1032</v>
      </c>
      <c r="S121" s="1" t="s">
        <v>1032</v>
      </c>
      <c r="T121" s="1" t="s">
        <v>306</v>
      </c>
      <c r="U121" s="1" t="s">
        <v>333</v>
      </c>
      <c r="V121" s="1">
        <v>2010091728</v>
      </c>
      <c r="W121" s="1">
        <v>5999683</v>
      </c>
      <c r="X121" s="1" t="s">
        <v>1033</v>
      </c>
      <c r="Y121" s="1" t="s">
        <v>1034</v>
      </c>
      <c r="Z121" s="1" t="s">
        <v>1035</v>
      </c>
      <c r="AA121" s="1">
        <v>722435364</v>
      </c>
      <c r="AB121" s="1" t="s">
        <v>407</v>
      </c>
      <c r="AC121" s="1" t="s">
        <v>326</v>
      </c>
      <c r="AD121" s="1" t="s">
        <v>464</v>
      </c>
    </row>
    <row r="122" spans="1:30" ht="22.5" customHeight="1" x14ac:dyDescent="0.2">
      <c r="A122" s="5">
        <v>120</v>
      </c>
      <c r="B122" s="3">
        <v>241332</v>
      </c>
      <c r="C122" s="6" t="s">
        <v>122</v>
      </c>
      <c r="D122" s="6" t="s">
        <v>8</v>
      </c>
      <c r="E122" s="30" t="s">
        <v>40</v>
      </c>
      <c r="F122" s="31"/>
      <c r="G122" s="44">
        <v>7</v>
      </c>
      <c r="H122" s="1" t="s">
        <v>259</v>
      </c>
      <c r="I122" s="1">
        <v>10032595</v>
      </c>
      <c r="J122" s="1" t="s">
        <v>1045</v>
      </c>
      <c r="K122" s="1">
        <v>724770371</v>
      </c>
      <c r="M122" s="1" t="s">
        <v>1159</v>
      </c>
      <c r="N122" s="1" t="s">
        <v>1160</v>
      </c>
      <c r="P122" s="1" t="s">
        <v>1161</v>
      </c>
      <c r="R122" s="1" t="s">
        <v>362</v>
      </c>
      <c r="S122" s="1" t="s">
        <v>1162</v>
      </c>
      <c r="T122" s="1" t="s">
        <v>306</v>
      </c>
      <c r="U122" s="1" t="s">
        <v>441</v>
      </c>
      <c r="V122" s="1">
        <v>2020330491</v>
      </c>
      <c r="W122" s="1">
        <v>7801606</v>
      </c>
      <c r="X122" s="1" t="s">
        <v>1163</v>
      </c>
      <c r="Z122" s="1" t="s">
        <v>1164</v>
      </c>
      <c r="AA122" s="1">
        <v>726939079</v>
      </c>
      <c r="AB122" s="1" t="s">
        <v>325</v>
      </c>
    </row>
    <row r="123" spans="1:30" ht="24" customHeight="1" x14ac:dyDescent="0.2">
      <c r="A123" s="5">
        <v>121</v>
      </c>
      <c r="B123" s="3">
        <v>184008</v>
      </c>
      <c r="C123" s="6" t="s">
        <v>116</v>
      </c>
      <c r="D123" s="6" t="s">
        <v>8</v>
      </c>
      <c r="E123" s="30" t="s">
        <v>115</v>
      </c>
      <c r="F123" s="24"/>
      <c r="G123" s="46">
        <v>8</v>
      </c>
      <c r="H123" s="1" t="s">
        <v>258</v>
      </c>
      <c r="I123" s="1">
        <v>4023126</v>
      </c>
      <c r="J123" s="56">
        <v>31473</v>
      </c>
      <c r="K123" s="1">
        <v>722615945</v>
      </c>
      <c r="L123" s="1">
        <v>222668</v>
      </c>
      <c r="M123" s="1" t="s">
        <v>1008</v>
      </c>
      <c r="N123" s="1" t="s">
        <v>312</v>
      </c>
      <c r="O123" s="63">
        <v>43</v>
      </c>
      <c r="P123" s="1" t="s">
        <v>1009</v>
      </c>
      <c r="Q123" s="1" t="s">
        <v>1010</v>
      </c>
      <c r="R123" s="1" t="s">
        <v>1011</v>
      </c>
      <c r="S123" s="1" t="s">
        <v>1012</v>
      </c>
      <c r="T123" s="1" t="s">
        <v>299</v>
      </c>
      <c r="U123" s="1" t="s">
        <v>343</v>
      </c>
      <c r="V123" s="1">
        <v>694258624</v>
      </c>
      <c r="W123" s="1" t="s">
        <v>1013</v>
      </c>
      <c r="X123" s="1" t="s">
        <v>1014</v>
      </c>
      <c r="Y123" s="1" t="s">
        <v>304</v>
      </c>
      <c r="Z123" s="1" t="s">
        <v>1015</v>
      </c>
      <c r="AA123" s="1">
        <v>720228435</v>
      </c>
      <c r="AB123" s="1" t="s">
        <v>329</v>
      </c>
      <c r="AC123" s="1" t="s">
        <v>326</v>
      </c>
      <c r="AD123" s="1" t="s">
        <v>1016</v>
      </c>
    </row>
    <row r="124" spans="1:30" ht="21.75" customHeight="1" x14ac:dyDescent="0.2">
      <c r="A124" s="5">
        <v>122</v>
      </c>
      <c r="B124" s="3">
        <v>241523</v>
      </c>
      <c r="C124" s="6" t="s">
        <v>161</v>
      </c>
      <c r="D124" s="7" t="s">
        <v>188</v>
      </c>
      <c r="E124" s="23" t="s">
        <v>121</v>
      </c>
      <c r="F124" s="31"/>
      <c r="G124" s="44">
        <v>8</v>
      </c>
      <c r="H124" s="1" t="s">
        <v>258</v>
      </c>
      <c r="I124" s="1">
        <v>28561000</v>
      </c>
      <c r="J124" s="1" t="s">
        <v>1287</v>
      </c>
      <c r="K124" s="1">
        <v>741527254</v>
      </c>
      <c r="L124" s="1">
        <v>6374399</v>
      </c>
      <c r="M124" s="1" t="s">
        <v>1288</v>
      </c>
      <c r="N124" s="1" t="s">
        <v>801</v>
      </c>
      <c r="O124" s="63">
        <v>18</v>
      </c>
      <c r="P124" s="1" t="s">
        <v>1289</v>
      </c>
      <c r="Q124" s="1" t="s">
        <v>1024</v>
      </c>
      <c r="R124" s="1" t="s">
        <v>1024</v>
      </c>
      <c r="S124" s="1" t="s">
        <v>1290</v>
      </c>
      <c r="T124" s="1" t="s">
        <v>306</v>
      </c>
      <c r="U124" s="1" t="s">
        <v>403</v>
      </c>
      <c r="V124" s="1">
        <v>2008563984</v>
      </c>
      <c r="W124" s="1">
        <v>5805464</v>
      </c>
      <c r="X124" s="1" t="s">
        <v>1291</v>
      </c>
      <c r="Y124" s="1">
        <v>22</v>
      </c>
      <c r="Z124" s="1" t="s">
        <v>1292</v>
      </c>
      <c r="AA124" s="1">
        <v>702578998</v>
      </c>
      <c r="AB124" s="1" t="s">
        <v>329</v>
      </c>
      <c r="AC124" s="1" t="s">
        <v>326</v>
      </c>
      <c r="AD124" s="1" t="s">
        <v>765</v>
      </c>
    </row>
    <row r="125" spans="1:30" ht="26.25" customHeight="1" x14ac:dyDescent="0.2">
      <c r="A125" s="5">
        <v>123</v>
      </c>
      <c r="B125" s="3">
        <v>175169</v>
      </c>
      <c r="C125" s="6" t="s">
        <v>120</v>
      </c>
      <c r="D125" s="6" t="s">
        <v>8</v>
      </c>
      <c r="E125" s="30" t="s">
        <v>121</v>
      </c>
      <c r="F125" s="24"/>
      <c r="G125" s="46">
        <v>8</v>
      </c>
      <c r="H125" s="1" t="s">
        <v>258</v>
      </c>
      <c r="I125" s="1">
        <v>12710851</v>
      </c>
      <c r="J125" s="56">
        <v>38725</v>
      </c>
      <c r="K125" s="1">
        <v>799003266</v>
      </c>
      <c r="L125" s="1">
        <v>800013</v>
      </c>
      <c r="M125" s="1" t="s">
        <v>1119</v>
      </c>
      <c r="N125" s="1" t="s">
        <v>315</v>
      </c>
      <c r="O125" s="63">
        <v>22</v>
      </c>
      <c r="P125" s="1" t="s">
        <v>1120</v>
      </c>
      <c r="Q125" s="1" t="s">
        <v>1120</v>
      </c>
      <c r="R125" s="1" t="s">
        <v>1121</v>
      </c>
      <c r="S125" s="1" t="s">
        <v>1121</v>
      </c>
      <c r="T125" s="1" t="s">
        <v>299</v>
      </c>
      <c r="U125" s="1" t="s">
        <v>403</v>
      </c>
      <c r="V125" s="1">
        <v>156133911</v>
      </c>
      <c r="W125" s="1" t="s">
        <v>1122</v>
      </c>
      <c r="X125" s="1" t="s">
        <v>1123</v>
      </c>
      <c r="Y125" s="1" t="s">
        <v>1124</v>
      </c>
      <c r="Z125" s="1" t="s">
        <v>1125</v>
      </c>
      <c r="AA125" s="1">
        <v>727779186</v>
      </c>
      <c r="AB125" s="1" t="s">
        <v>329</v>
      </c>
      <c r="AD125" s="1" t="s">
        <v>464</v>
      </c>
    </row>
    <row r="126" spans="1:30" ht="21" customHeight="1" x14ac:dyDescent="0.2">
      <c r="A126" s="5">
        <v>124</v>
      </c>
      <c r="B126" s="3">
        <v>241569</v>
      </c>
      <c r="C126" s="6" t="s">
        <v>183</v>
      </c>
      <c r="D126" s="7" t="s">
        <v>8</v>
      </c>
      <c r="E126" s="23" t="s">
        <v>184</v>
      </c>
      <c r="F126" s="24"/>
      <c r="G126" s="46">
        <v>8</v>
      </c>
      <c r="H126" s="1" t="s">
        <v>259</v>
      </c>
      <c r="I126" s="1">
        <v>32689152</v>
      </c>
      <c r="J126" s="56">
        <v>44205</v>
      </c>
      <c r="K126" s="1">
        <v>717395206</v>
      </c>
      <c r="L126" s="1">
        <v>751800</v>
      </c>
      <c r="M126" s="1" t="s">
        <v>1001</v>
      </c>
      <c r="N126" s="1" t="s">
        <v>398</v>
      </c>
      <c r="O126" s="63">
        <v>42</v>
      </c>
      <c r="P126" s="1" t="s">
        <v>614</v>
      </c>
      <c r="Q126" s="1" t="s">
        <v>1002</v>
      </c>
      <c r="R126" s="1" t="s">
        <v>1003</v>
      </c>
      <c r="S126" s="1" t="s">
        <v>1004</v>
      </c>
      <c r="T126" s="1" t="s">
        <v>306</v>
      </c>
      <c r="U126" s="1" t="s">
        <v>403</v>
      </c>
      <c r="V126" s="1">
        <v>2035733786</v>
      </c>
      <c r="W126" s="1">
        <v>16595554</v>
      </c>
      <c r="X126" s="1" t="s">
        <v>1005</v>
      </c>
      <c r="Y126" s="1" t="s">
        <v>304</v>
      </c>
      <c r="Z126" s="1" t="s">
        <v>1006</v>
      </c>
      <c r="AA126" s="1">
        <v>701260904</v>
      </c>
      <c r="AB126" s="1" t="s">
        <v>667</v>
      </c>
      <c r="AC126" s="1" t="s">
        <v>326</v>
      </c>
      <c r="AD126" s="1" t="s">
        <v>1007</v>
      </c>
    </row>
    <row r="127" spans="1:30" ht="24" customHeight="1" x14ac:dyDescent="0.2">
      <c r="A127" s="5">
        <v>125</v>
      </c>
      <c r="B127" s="3">
        <v>241600</v>
      </c>
      <c r="C127" s="6" t="s">
        <v>193</v>
      </c>
      <c r="D127" s="7" t="s">
        <v>194</v>
      </c>
      <c r="E127" s="23" t="s">
        <v>121</v>
      </c>
      <c r="F127" s="31"/>
      <c r="G127" s="44">
        <v>8</v>
      </c>
      <c r="H127" s="1" t="s">
        <v>258</v>
      </c>
      <c r="I127" s="1">
        <v>29609713</v>
      </c>
      <c r="J127" s="56">
        <v>44562</v>
      </c>
      <c r="K127" s="1">
        <v>723124258</v>
      </c>
      <c r="L127" s="1">
        <v>782955</v>
      </c>
      <c r="M127" s="1" t="s">
        <v>1017</v>
      </c>
      <c r="N127" s="1" t="s">
        <v>708</v>
      </c>
      <c r="O127" s="63">
        <v>34</v>
      </c>
      <c r="P127" s="1" t="s">
        <v>1018</v>
      </c>
      <c r="Q127" s="1" t="s">
        <v>709</v>
      </c>
      <c r="R127" s="1" t="s">
        <v>710</v>
      </c>
      <c r="S127" s="1" t="s">
        <v>1019</v>
      </c>
      <c r="T127" s="1" t="s">
        <v>306</v>
      </c>
      <c r="U127" s="1" t="s">
        <v>403</v>
      </c>
      <c r="V127" s="1">
        <v>217871319</v>
      </c>
      <c r="W127" s="1">
        <v>15684553</v>
      </c>
      <c r="X127" s="1" t="s">
        <v>1020</v>
      </c>
      <c r="Y127" s="1" t="s">
        <v>1021</v>
      </c>
      <c r="Z127" s="1" t="s">
        <v>1022</v>
      </c>
      <c r="AA127" s="1">
        <v>722933345</v>
      </c>
      <c r="AB127" s="1" t="s">
        <v>667</v>
      </c>
      <c r="AC127" s="1" t="s">
        <v>326</v>
      </c>
      <c r="AD127" s="1" t="s">
        <v>464</v>
      </c>
    </row>
    <row r="128" spans="1:30" ht="24" customHeight="1" x14ac:dyDescent="0.2">
      <c r="A128" s="5">
        <v>126</v>
      </c>
      <c r="B128" s="3">
        <v>141008</v>
      </c>
      <c r="C128" s="6" t="s">
        <v>114</v>
      </c>
      <c r="D128" s="6" t="s">
        <v>8</v>
      </c>
      <c r="E128" s="30" t="s">
        <v>115</v>
      </c>
      <c r="F128" s="24"/>
      <c r="G128" s="46">
        <v>9</v>
      </c>
      <c r="H128" s="1" t="s">
        <v>259</v>
      </c>
      <c r="I128" s="1">
        <v>8341746</v>
      </c>
      <c r="J128" s="1" t="s">
        <v>1375</v>
      </c>
      <c r="K128" s="1">
        <v>714498009</v>
      </c>
      <c r="L128" s="1">
        <v>198398</v>
      </c>
      <c r="M128" s="1" t="s">
        <v>1036</v>
      </c>
      <c r="N128" s="1" t="s">
        <v>647</v>
      </c>
      <c r="O128" s="63">
        <v>38</v>
      </c>
      <c r="P128" s="1" t="s">
        <v>1037</v>
      </c>
      <c r="Q128" s="1" t="s">
        <v>1038</v>
      </c>
      <c r="R128" s="1" t="s">
        <v>686</v>
      </c>
      <c r="S128" s="1" t="s">
        <v>1039</v>
      </c>
      <c r="T128" s="1" t="s">
        <v>299</v>
      </c>
      <c r="U128" s="1" t="s">
        <v>343</v>
      </c>
      <c r="V128" s="1" t="s">
        <v>1040</v>
      </c>
      <c r="W128" s="1" t="s">
        <v>1041</v>
      </c>
      <c r="X128" s="1" t="s">
        <v>1042</v>
      </c>
      <c r="Z128" s="1" t="s">
        <v>1043</v>
      </c>
      <c r="AB128" s="1" t="s">
        <v>396</v>
      </c>
      <c r="AC128" s="1" t="s">
        <v>326</v>
      </c>
      <c r="AD128" s="1" t="s">
        <v>1044</v>
      </c>
    </row>
    <row r="129" spans="1:30" ht="26.25" customHeight="1" x14ac:dyDescent="0.2">
      <c r="A129" s="5">
        <v>127</v>
      </c>
      <c r="B129" s="3">
        <v>241562</v>
      </c>
      <c r="C129" s="6" t="s">
        <v>181</v>
      </c>
      <c r="D129" s="7" t="s">
        <v>8</v>
      </c>
      <c r="E129" s="23" t="s">
        <v>25</v>
      </c>
      <c r="F129" s="35"/>
      <c r="G129" s="46" t="s">
        <v>259</v>
      </c>
      <c r="H129" s="1" t="s">
        <v>259</v>
      </c>
      <c r="I129" s="1">
        <v>27819882</v>
      </c>
      <c r="J129" s="56">
        <v>44416</v>
      </c>
      <c r="K129" s="1">
        <v>717144177</v>
      </c>
      <c r="L129" s="1">
        <v>562521</v>
      </c>
      <c r="M129" s="56">
        <v>32910</v>
      </c>
      <c r="N129" s="1" t="s">
        <v>315</v>
      </c>
      <c r="O129" s="63">
        <v>22</v>
      </c>
      <c r="P129" s="1" t="s">
        <v>1120</v>
      </c>
      <c r="Q129" s="1" t="s">
        <v>1120</v>
      </c>
      <c r="R129" s="1" t="s">
        <v>1120</v>
      </c>
      <c r="S129" s="1" t="s">
        <v>1120</v>
      </c>
      <c r="T129" s="1" t="s">
        <v>25</v>
      </c>
      <c r="U129" s="1" t="s">
        <v>403</v>
      </c>
      <c r="V129" s="1">
        <v>625421825</v>
      </c>
      <c r="W129" s="1">
        <v>4173110</v>
      </c>
      <c r="X129" s="1" t="s">
        <v>1126</v>
      </c>
      <c r="Y129" s="1" t="s">
        <v>1127</v>
      </c>
      <c r="Z129" s="1" t="s">
        <v>1128</v>
      </c>
      <c r="AA129" s="1">
        <v>705883545</v>
      </c>
      <c r="AB129" s="1" t="s">
        <v>446</v>
      </c>
      <c r="AD129" s="1" t="s">
        <v>464</v>
      </c>
    </row>
    <row r="130" spans="1:30" ht="23.25" customHeight="1" x14ac:dyDescent="0.2">
      <c r="A130" s="5">
        <v>128</v>
      </c>
      <c r="B130" s="3">
        <v>241504</v>
      </c>
      <c r="C130" s="6" t="s">
        <v>269</v>
      </c>
      <c r="D130" s="7" t="s">
        <v>8</v>
      </c>
      <c r="E130" s="34" t="s">
        <v>25</v>
      </c>
      <c r="F130" s="24"/>
      <c r="G130" s="46" t="s">
        <v>259</v>
      </c>
      <c r="H130" s="1" t="s">
        <v>259</v>
      </c>
      <c r="I130" s="1">
        <v>32747838</v>
      </c>
      <c r="J130" s="56">
        <v>44205</v>
      </c>
      <c r="K130" s="1">
        <v>710239309</v>
      </c>
      <c r="L130" s="1">
        <v>35649</v>
      </c>
      <c r="M130" s="56">
        <v>34949</v>
      </c>
      <c r="N130" s="1" t="s">
        <v>911</v>
      </c>
      <c r="O130" s="63">
        <v>47</v>
      </c>
      <c r="P130" s="1" t="s">
        <v>991</v>
      </c>
      <c r="Q130" s="1" t="s">
        <v>991</v>
      </c>
      <c r="R130" s="1" t="s">
        <v>992</v>
      </c>
      <c r="S130" s="1" t="s">
        <v>992</v>
      </c>
      <c r="T130" s="1" t="s">
        <v>25</v>
      </c>
      <c r="U130" s="1" t="s">
        <v>403</v>
      </c>
      <c r="V130" s="1" t="s">
        <v>993</v>
      </c>
      <c r="W130" s="1">
        <v>966265</v>
      </c>
      <c r="X130" s="1" t="s">
        <v>994</v>
      </c>
      <c r="Y130" s="1" t="s">
        <v>995</v>
      </c>
      <c r="Z130" s="1" t="s">
        <v>996</v>
      </c>
      <c r="AA130" s="1">
        <v>741280842</v>
      </c>
      <c r="AB130" s="1" t="s">
        <v>446</v>
      </c>
      <c r="AC130" s="1" t="s">
        <v>326</v>
      </c>
      <c r="AD130" s="1" t="s">
        <v>304</v>
      </c>
    </row>
    <row r="131" spans="1:30" ht="26.25" customHeight="1" x14ac:dyDescent="0.2">
      <c r="A131" s="5">
        <v>129</v>
      </c>
      <c r="B131" s="3">
        <v>241560</v>
      </c>
      <c r="C131" s="6" t="s">
        <v>185</v>
      </c>
      <c r="D131" s="7" t="s">
        <v>8</v>
      </c>
      <c r="E131" s="23" t="s">
        <v>25</v>
      </c>
      <c r="F131" s="24"/>
      <c r="G131" s="46" t="s">
        <v>259</v>
      </c>
      <c r="H131" s="1" t="s">
        <v>259</v>
      </c>
      <c r="I131" s="1">
        <v>31141408</v>
      </c>
      <c r="J131" s="56">
        <v>44416</v>
      </c>
      <c r="K131" s="1">
        <v>707882964</v>
      </c>
      <c r="L131" s="1">
        <v>374020</v>
      </c>
      <c r="M131" s="1" t="s">
        <v>1178</v>
      </c>
      <c r="N131" s="1" t="s">
        <v>474</v>
      </c>
      <c r="O131" s="63">
        <v>32</v>
      </c>
      <c r="P131" s="1" t="s">
        <v>1179</v>
      </c>
      <c r="Q131" s="1" t="s">
        <v>1180</v>
      </c>
      <c r="R131" s="1" t="s">
        <v>1181</v>
      </c>
      <c r="S131" s="1" t="s">
        <v>1182</v>
      </c>
      <c r="T131" s="1" t="s">
        <v>25</v>
      </c>
      <c r="U131" s="1" t="s">
        <v>403</v>
      </c>
      <c r="V131" s="1">
        <v>2024755632</v>
      </c>
      <c r="W131" s="1">
        <v>8701516</v>
      </c>
      <c r="X131" s="1" t="s">
        <v>1183</v>
      </c>
      <c r="Y131" s="1">
        <v>512</v>
      </c>
      <c r="Z131" s="1" t="s">
        <v>1184</v>
      </c>
      <c r="AA131" s="1">
        <v>700908555</v>
      </c>
      <c r="AB131" s="1" t="s">
        <v>597</v>
      </c>
      <c r="AC131" s="1" t="s">
        <v>326</v>
      </c>
      <c r="AD131" s="1" t="s">
        <v>464</v>
      </c>
    </row>
    <row r="132" spans="1:30" ht="24.75" customHeight="1" x14ac:dyDescent="0.2">
      <c r="A132" s="5">
        <v>130</v>
      </c>
      <c r="B132" s="3">
        <v>241745</v>
      </c>
      <c r="C132" s="20" t="s">
        <v>265</v>
      </c>
      <c r="D132" s="25" t="s">
        <v>194</v>
      </c>
      <c r="E132" s="49" t="s">
        <v>25</v>
      </c>
      <c r="F132" s="50"/>
      <c r="G132" s="50" t="s">
        <v>259</v>
      </c>
      <c r="H132" s="1" t="s">
        <v>259</v>
      </c>
      <c r="I132" s="1">
        <v>35658919</v>
      </c>
      <c r="J132" s="56">
        <v>44928</v>
      </c>
      <c r="K132" s="1">
        <v>723399165</v>
      </c>
      <c r="L132" s="1">
        <v>428092</v>
      </c>
      <c r="M132" s="1" t="s">
        <v>734</v>
      </c>
      <c r="N132" s="1" t="s">
        <v>362</v>
      </c>
      <c r="O132" s="63">
        <v>47</v>
      </c>
      <c r="P132" s="1" t="s">
        <v>735</v>
      </c>
      <c r="Q132" s="1" t="s">
        <v>736</v>
      </c>
      <c r="R132" s="1" t="s">
        <v>736</v>
      </c>
      <c r="S132" s="1" t="s">
        <v>736</v>
      </c>
      <c r="T132" s="1" t="s">
        <v>25</v>
      </c>
      <c r="U132" s="1" t="s">
        <v>737</v>
      </c>
      <c r="V132" s="1">
        <v>2045714613</v>
      </c>
      <c r="W132" s="1">
        <v>21759066</v>
      </c>
      <c r="X132" s="1" t="s">
        <v>738</v>
      </c>
      <c r="Z132" s="1" t="s">
        <v>739</v>
      </c>
      <c r="AA132" s="1">
        <v>722530334</v>
      </c>
      <c r="AB132" s="1" t="s">
        <v>667</v>
      </c>
    </row>
    <row r="133" spans="1:30" ht="16.5" customHeight="1" x14ac:dyDescent="0.2">
      <c r="A133" s="5">
        <v>131</v>
      </c>
      <c r="B133" s="3">
        <v>204008</v>
      </c>
      <c r="C133" s="6" t="s">
        <v>249</v>
      </c>
      <c r="D133" s="7" t="s">
        <v>123</v>
      </c>
      <c r="E133" s="23" t="s">
        <v>133</v>
      </c>
      <c r="F133" s="31"/>
      <c r="G133" s="44">
        <v>2</v>
      </c>
      <c r="H133" s="1" t="s">
        <v>258</v>
      </c>
      <c r="I133" s="1">
        <v>8821281</v>
      </c>
      <c r="J133" s="56">
        <v>35072</v>
      </c>
      <c r="K133" s="1">
        <v>721483326</v>
      </c>
      <c r="M133" s="1" t="s">
        <v>903</v>
      </c>
      <c r="N133" s="1" t="s">
        <v>640</v>
      </c>
      <c r="O133" s="63">
        <v>44</v>
      </c>
      <c r="P133" s="1" t="s">
        <v>641</v>
      </c>
      <c r="Q133" s="1" t="s">
        <v>857</v>
      </c>
      <c r="R133" s="1" t="s">
        <v>905</v>
      </c>
      <c r="S133" s="1" t="s">
        <v>904</v>
      </c>
      <c r="T133" s="1" t="s">
        <v>299</v>
      </c>
      <c r="U133" s="1" t="s">
        <v>333</v>
      </c>
      <c r="V133" s="1">
        <v>988788624</v>
      </c>
      <c r="W133" s="1" t="s">
        <v>906</v>
      </c>
      <c r="X133" s="1" t="s">
        <v>907</v>
      </c>
      <c r="Y133" s="1">
        <v>814</v>
      </c>
      <c r="Z133" s="1" t="s">
        <v>908</v>
      </c>
      <c r="AA133" s="1">
        <v>722427974</v>
      </c>
      <c r="AB133" s="1" t="s">
        <v>329</v>
      </c>
      <c r="AC133" s="1" t="s">
        <v>909</v>
      </c>
      <c r="AD133" s="1" t="s">
        <v>910</v>
      </c>
    </row>
    <row r="134" spans="1:30" ht="15" customHeight="1" x14ac:dyDescent="0.2">
      <c r="A134" s="5">
        <v>132</v>
      </c>
      <c r="B134" s="3">
        <v>241050</v>
      </c>
      <c r="C134" s="6" t="s">
        <v>250</v>
      </c>
      <c r="D134" s="6" t="s">
        <v>123</v>
      </c>
      <c r="E134" s="30" t="s">
        <v>133</v>
      </c>
      <c r="F134" s="31"/>
      <c r="G134" s="44">
        <v>4</v>
      </c>
      <c r="H134" s="1" t="s">
        <v>259</v>
      </c>
      <c r="I134" s="1">
        <v>23482428</v>
      </c>
      <c r="K134" s="1">
        <v>721486000</v>
      </c>
      <c r="L134" s="1">
        <v>342</v>
      </c>
      <c r="M134" s="56">
        <v>27555</v>
      </c>
      <c r="N134" s="1" t="s">
        <v>312</v>
      </c>
      <c r="O134" s="63">
        <v>43</v>
      </c>
      <c r="P134" s="1" t="s">
        <v>1009</v>
      </c>
      <c r="Q134" s="1" t="s">
        <v>1010</v>
      </c>
      <c r="R134" s="1" t="s">
        <v>1318</v>
      </c>
      <c r="S134" s="1" t="s">
        <v>1319</v>
      </c>
      <c r="T134" s="1" t="s">
        <v>299</v>
      </c>
      <c r="U134" s="1" t="s">
        <v>333</v>
      </c>
      <c r="V134" s="1">
        <v>1939658828</v>
      </c>
      <c r="W134" s="1">
        <v>2855296</v>
      </c>
      <c r="X134" s="1" t="s">
        <v>1320</v>
      </c>
      <c r="Y134" s="1">
        <v>25291</v>
      </c>
      <c r="Z134" s="1" t="s">
        <v>1323</v>
      </c>
      <c r="AA134" s="1">
        <v>725212089</v>
      </c>
      <c r="AB134" s="1" t="s">
        <v>446</v>
      </c>
      <c r="AC134" s="1" t="s">
        <v>1321</v>
      </c>
      <c r="AD134" s="1" t="s">
        <v>1322</v>
      </c>
    </row>
    <row r="135" spans="1:30" ht="14.25" customHeight="1" x14ac:dyDescent="0.2">
      <c r="A135" s="5">
        <v>133</v>
      </c>
      <c r="B135" s="3">
        <v>181044</v>
      </c>
      <c r="C135" s="6" t="s">
        <v>251</v>
      </c>
      <c r="D135" s="6" t="s">
        <v>123</v>
      </c>
      <c r="E135" s="30" t="s">
        <v>40</v>
      </c>
      <c r="F135" s="31"/>
      <c r="G135" s="44">
        <v>5</v>
      </c>
      <c r="H135" s="1" t="s">
        <v>259</v>
      </c>
      <c r="I135" s="1">
        <v>2256912</v>
      </c>
      <c r="K135" s="1">
        <v>722993666</v>
      </c>
      <c r="M135" s="1" t="s">
        <v>1293</v>
      </c>
      <c r="N135" s="1" t="s">
        <v>911</v>
      </c>
      <c r="O135" s="63">
        <v>47</v>
      </c>
      <c r="P135" s="1" t="s">
        <v>911</v>
      </c>
      <c r="Q135" s="1" t="s">
        <v>911</v>
      </c>
      <c r="R135" s="1" t="s">
        <v>911</v>
      </c>
      <c r="S135" s="1" t="s">
        <v>911</v>
      </c>
      <c r="T135" s="1" t="s">
        <v>299</v>
      </c>
      <c r="U135" s="1" t="s">
        <v>333</v>
      </c>
      <c r="V135" s="1" t="s">
        <v>1294</v>
      </c>
      <c r="W135" s="1" t="s">
        <v>1295</v>
      </c>
      <c r="X135" s="1" t="s">
        <v>1296</v>
      </c>
      <c r="Y135" s="1">
        <v>69495</v>
      </c>
      <c r="Z135" s="1" t="s">
        <v>1297</v>
      </c>
      <c r="AA135" s="1">
        <v>724747458</v>
      </c>
      <c r="AB135" s="1" t="s">
        <v>325</v>
      </c>
      <c r="AC135" s="1" t="s">
        <v>326</v>
      </c>
      <c r="AD135" s="1" t="s">
        <v>1298</v>
      </c>
    </row>
    <row r="136" spans="1:30" ht="16.5" customHeight="1" x14ac:dyDescent="0.2">
      <c r="A136" s="5">
        <v>134</v>
      </c>
      <c r="B136" s="3">
        <v>180022</v>
      </c>
      <c r="C136" s="6" t="s">
        <v>125</v>
      </c>
      <c r="D136" s="6" t="s">
        <v>123</v>
      </c>
      <c r="E136" s="30" t="s">
        <v>126</v>
      </c>
      <c r="F136" s="31"/>
      <c r="G136" s="44">
        <v>6</v>
      </c>
      <c r="H136" s="1" t="s">
        <v>258</v>
      </c>
      <c r="I136" s="1">
        <v>8527439</v>
      </c>
      <c r="J136" s="56">
        <v>31695</v>
      </c>
      <c r="K136" s="1">
        <v>722945935</v>
      </c>
      <c r="L136" s="1">
        <v>505055</v>
      </c>
      <c r="M136" s="56">
        <v>23834</v>
      </c>
      <c r="N136" s="1" t="s">
        <v>294</v>
      </c>
      <c r="O136" s="63">
        <v>3</v>
      </c>
      <c r="P136" s="1" t="s">
        <v>1203</v>
      </c>
      <c r="Q136" s="1" t="s">
        <v>1204</v>
      </c>
      <c r="R136" s="1" t="s">
        <v>1205</v>
      </c>
      <c r="S136" s="1" t="s">
        <v>1205</v>
      </c>
      <c r="T136" s="1" t="s">
        <v>299</v>
      </c>
      <c r="U136" s="1" t="s">
        <v>356</v>
      </c>
      <c r="V136" s="1">
        <v>692212620</v>
      </c>
      <c r="W136" s="1" t="s">
        <v>1206</v>
      </c>
      <c r="X136" s="1" t="s">
        <v>1207</v>
      </c>
      <c r="Z136" s="1" t="s">
        <v>1208</v>
      </c>
      <c r="AA136" s="1">
        <v>7033709750</v>
      </c>
      <c r="AB136" s="1" t="s">
        <v>329</v>
      </c>
      <c r="AC136" s="1" t="s">
        <v>326</v>
      </c>
      <c r="AD136" s="1" t="s">
        <v>1209</v>
      </c>
    </row>
    <row r="137" spans="1:30" ht="15.95" customHeight="1" x14ac:dyDescent="0.2">
      <c r="A137" s="5">
        <v>135</v>
      </c>
      <c r="B137" s="3">
        <v>161161</v>
      </c>
      <c r="C137" s="20" t="s">
        <v>254</v>
      </c>
      <c r="D137" s="20" t="s">
        <v>123</v>
      </c>
      <c r="E137" s="36" t="s">
        <v>133</v>
      </c>
      <c r="F137" s="37"/>
      <c r="G137" s="44">
        <v>7</v>
      </c>
      <c r="H137" s="1" t="s">
        <v>258</v>
      </c>
      <c r="I137" s="1">
        <v>22469470</v>
      </c>
      <c r="J137" s="56">
        <v>39451</v>
      </c>
      <c r="K137" s="1">
        <v>743420804</v>
      </c>
      <c r="L137" s="1">
        <v>5748041</v>
      </c>
      <c r="M137" s="1" t="s">
        <v>974</v>
      </c>
      <c r="N137" s="1" t="s">
        <v>911</v>
      </c>
      <c r="O137" s="63">
        <v>47</v>
      </c>
      <c r="P137" s="1" t="s">
        <v>364</v>
      </c>
      <c r="Q137" s="1" t="s">
        <v>975</v>
      </c>
      <c r="R137" s="1" t="s">
        <v>976</v>
      </c>
      <c r="S137" s="1" t="s">
        <v>977</v>
      </c>
      <c r="T137" s="1" t="s">
        <v>299</v>
      </c>
      <c r="U137" s="1" t="s">
        <v>333</v>
      </c>
      <c r="V137" s="1">
        <v>169466914</v>
      </c>
      <c r="W137" s="1">
        <v>2232504</v>
      </c>
      <c r="X137" s="1" t="s">
        <v>978</v>
      </c>
      <c r="Y137" s="1">
        <v>61235</v>
      </c>
      <c r="Z137" s="1" t="s">
        <v>979</v>
      </c>
      <c r="AA137" s="1">
        <v>721990890</v>
      </c>
      <c r="AB137" s="1" t="s">
        <v>667</v>
      </c>
      <c r="AC137" s="1" t="s">
        <v>326</v>
      </c>
      <c r="AD137" s="1" t="s">
        <v>464</v>
      </c>
    </row>
    <row r="138" spans="1:30" ht="13.5" customHeight="1" x14ac:dyDescent="0.2">
      <c r="A138" s="5">
        <v>136</v>
      </c>
      <c r="B138" s="3">
        <v>180052</v>
      </c>
      <c r="C138" s="6" t="s">
        <v>127</v>
      </c>
      <c r="D138" s="6" t="s">
        <v>123</v>
      </c>
      <c r="E138" s="30" t="s">
        <v>40</v>
      </c>
      <c r="F138" s="31"/>
      <c r="G138" s="44">
        <v>7</v>
      </c>
      <c r="H138" s="1" t="s">
        <v>259</v>
      </c>
      <c r="L138" s="1">
        <v>434648</v>
      </c>
      <c r="T138" s="1" t="s">
        <v>306</v>
      </c>
    </row>
    <row r="139" spans="1:30" ht="15" customHeight="1" x14ac:dyDescent="0.2">
      <c r="A139" s="5">
        <v>137</v>
      </c>
      <c r="B139" s="3">
        <v>114010</v>
      </c>
      <c r="C139" s="6" t="s">
        <v>128</v>
      </c>
      <c r="D139" s="6" t="s">
        <v>123</v>
      </c>
      <c r="E139" s="30" t="s">
        <v>124</v>
      </c>
      <c r="F139" s="31"/>
      <c r="G139" s="44">
        <v>7</v>
      </c>
      <c r="H139" s="1" t="s">
        <v>259</v>
      </c>
      <c r="I139" s="1">
        <v>10176803</v>
      </c>
      <c r="J139" s="56">
        <v>33612</v>
      </c>
      <c r="K139" s="1">
        <v>795030349</v>
      </c>
      <c r="L139" s="1">
        <v>356896</v>
      </c>
      <c r="M139" s="1" t="s">
        <v>1046</v>
      </c>
      <c r="N139" s="1" t="s">
        <v>647</v>
      </c>
      <c r="O139" s="63">
        <v>38</v>
      </c>
      <c r="P139" s="1" t="s">
        <v>685</v>
      </c>
      <c r="Q139" s="1" t="s">
        <v>1047</v>
      </c>
      <c r="R139" s="1" t="s">
        <v>1048</v>
      </c>
      <c r="S139" s="1" t="s">
        <v>1049</v>
      </c>
      <c r="T139" s="1" t="s">
        <v>299</v>
      </c>
      <c r="U139" s="1" t="s">
        <v>403</v>
      </c>
      <c r="V139" s="1">
        <v>522371817</v>
      </c>
      <c r="W139" s="1" t="s">
        <v>1050</v>
      </c>
      <c r="X139" s="1" t="s">
        <v>1051</v>
      </c>
      <c r="Y139" s="1">
        <v>14</v>
      </c>
      <c r="Z139" s="1" t="s">
        <v>1052</v>
      </c>
      <c r="AA139" s="1">
        <v>792564378</v>
      </c>
      <c r="AB139" s="1" t="s">
        <v>463</v>
      </c>
      <c r="AC139" s="1" t="s">
        <v>326</v>
      </c>
      <c r="AD139" s="1" t="s">
        <v>1053</v>
      </c>
    </row>
    <row r="140" spans="1:30" ht="14.25" customHeight="1" x14ac:dyDescent="0.2">
      <c r="A140" s="5">
        <v>138</v>
      </c>
      <c r="B140" s="3">
        <v>221055</v>
      </c>
      <c r="C140" s="6" t="s">
        <v>1310</v>
      </c>
      <c r="D140" s="6" t="s">
        <v>123</v>
      </c>
      <c r="E140" s="30" t="s">
        <v>124</v>
      </c>
      <c r="F140" s="31"/>
      <c r="G140" s="44">
        <v>7</v>
      </c>
      <c r="H140" s="1" t="s">
        <v>258</v>
      </c>
      <c r="I140" s="1">
        <v>8796575</v>
      </c>
      <c r="J140" s="1">
        <v>1991</v>
      </c>
      <c r="K140" s="1">
        <v>722678944</v>
      </c>
      <c r="L140" s="1">
        <v>189257</v>
      </c>
      <c r="M140" s="1">
        <v>1966</v>
      </c>
      <c r="N140" s="1" t="s">
        <v>1165</v>
      </c>
      <c r="O140" s="63">
        <v>20</v>
      </c>
      <c r="P140" s="1" t="s">
        <v>1166</v>
      </c>
      <c r="Q140" s="1" t="s">
        <v>1167</v>
      </c>
      <c r="R140" s="1" t="s">
        <v>1167</v>
      </c>
      <c r="S140" s="1" t="s">
        <v>1168</v>
      </c>
      <c r="T140" s="1" t="s">
        <v>299</v>
      </c>
      <c r="U140" s="1" t="s">
        <v>441</v>
      </c>
      <c r="V140" s="1">
        <v>26372916</v>
      </c>
      <c r="W140" s="1" t="s">
        <v>1169</v>
      </c>
      <c r="X140" s="1" t="s">
        <v>1170</v>
      </c>
      <c r="Y140" s="1">
        <v>198</v>
      </c>
      <c r="Z140" s="1" t="s">
        <v>1171</v>
      </c>
      <c r="AA140" s="1">
        <v>722424752</v>
      </c>
      <c r="AB140" s="1" t="s">
        <v>329</v>
      </c>
      <c r="AC140" s="1" t="s">
        <v>326</v>
      </c>
      <c r="AD140" s="1" t="s">
        <v>327</v>
      </c>
    </row>
    <row r="141" spans="1:30" ht="15.95" customHeight="1" x14ac:dyDescent="0.2">
      <c r="A141" s="5">
        <v>139</v>
      </c>
      <c r="B141" s="3">
        <v>241465</v>
      </c>
      <c r="C141" s="6" t="s">
        <v>159</v>
      </c>
      <c r="D141" s="6" t="s">
        <v>123</v>
      </c>
      <c r="E141" s="20" t="s">
        <v>106</v>
      </c>
      <c r="F141" s="22"/>
      <c r="G141" s="44">
        <v>7</v>
      </c>
      <c r="H141" s="1" t="s">
        <v>258</v>
      </c>
      <c r="I141" s="1">
        <v>27576131</v>
      </c>
      <c r="J141" s="56">
        <v>43625</v>
      </c>
      <c r="K141" s="1">
        <v>701060312</v>
      </c>
      <c r="L141" s="1" t="str">
        <f>"0"&amp;213562</f>
        <v>0213562</v>
      </c>
      <c r="M141" s="1" t="s">
        <v>1230</v>
      </c>
      <c r="N141" s="1" t="s">
        <v>528</v>
      </c>
      <c r="O141" s="63">
        <v>41</v>
      </c>
      <c r="P141" s="1" t="s">
        <v>669</v>
      </c>
      <c r="Q141" s="1" t="s">
        <v>1231</v>
      </c>
      <c r="R141" s="1" t="s">
        <v>1232</v>
      </c>
      <c r="S141" s="1" t="s">
        <v>1233</v>
      </c>
      <c r="T141" s="1" t="s">
        <v>306</v>
      </c>
      <c r="U141" s="1" t="s">
        <v>403</v>
      </c>
      <c r="V141" s="1">
        <v>972637915</v>
      </c>
      <c r="W141" s="1">
        <v>4108220</v>
      </c>
      <c r="X141" s="1" t="s">
        <v>1234</v>
      </c>
      <c r="Y141" s="1" t="s">
        <v>323</v>
      </c>
      <c r="Z141" s="1" t="s">
        <v>1235</v>
      </c>
      <c r="AA141" s="1">
        <v>713174663</v>
      </c>
      <c r="AB141" s="1" t="s">
        <v>329</v>
      </c>
      <c r="AC141" s="1" t="s">
        <v>326</v>
      </c>
      <c r="AD141" s="1" t="s">
        <v>677</v>
      </c>
    </row>
    <row r="142" spans="1:30" ht="17.25" customHeight="1" x14ac:dyDescent="0.2">
      <c r="A142" s="5">
        <v>140</v>
      </c>
      <c r="B142" s="3">
        <v>171197</v>
      </c>
      <c r="C142" s="6" t="s">
        <v>162</v>
      </c>
      <c r="D142" s="6" t="s">
        <v>123</v>
      </c>
      <c r="E142" s="21" t="s">
        <v>119</v>
      </c>
      <c r="F142" s="20"/>
      <c r="G142" s="20">
        <v>7</v>
      </c>
      <c r="H142" s="1" t="s">
        <v>258</v>
      </c>
      <c r="I142" s="1">
        <v>23523136</v>
      </c>
      <c r="J142" s="56">
        <v>40547</v>
      </c>
      <c r="K142" s="1">
        <v>724780091</v>
      </c>
      <c r="L142" s="1">
        <v>287614</v>
      </c>
      <c r="M142" s="56">
        <v>30716</v>
      </c>
      <c r="N142" s="1" t="s">
        <v>911</v>
      </c>
      <c r="O142" s="63">
        <v>47</v>
      </c>
      <c r="P142" s="1" t="s">
        <v>912</v>
      </c>
      <c r="Q142" s="1" t="s">
        <v>913</v>
      </c>
      <c r="R142" s="1" t="s">
        <v>913</v>
      </c>
      <c r="S142" s="1" t="s">
        <v>913</v>
      </c>
      <c r="T142" s="1" t="s">
        <v>299</v>
      </c>
      <c r="U142" s="1" t="s">
        <v>441</v>
      </c>
      <c r="V142" s="1">
        <v>265790916</v>
      </c>
      <c r="W142" s="1">
        <v>2579817</v>
      </c>
      <c r="X142" s="1" t="s">
        <v>914</v>
      </c>
      <c r="Y142" s="1" t="s">
        <v>915</v>
      </c>
      <c r="Z142" s="1" t="s">
        <v>916</v>
      </c>
      <c r="AA142" s="1">
        <v>7010055108</v>
      </c>
      <c r="AB142" s="1" t="s">
        <v>597</v>
      </c>
      <c r="AD142" s="1" t="s">
        <v>327</v>
      </c>
    </row>
    <row r="143" spans="1:30" ht="14.25" customHeight="1" x14ac:dyDescent="0.2">
      <c r="A143" s="5">
        <v>141</v>
      </c>
      <c r="B143" s="3">
        <v>241033</v>
      </c>
      <c r="C143" s="6" t="s">
        <v>157</v>
      </c>
      <c r="D143" s="6" t="s">
        <v>123</v>
      </c>
      <c r="E143" s="20" t="s">
        <v>158</v>
      </c>
      <c r="F143" s="31"/>
      <c r="G143" s="44">
        <v>7</v>
      </c>
      <c r="H143" s="1" t="s">
        <v>259</v>
      </c>
      <c r="T143" s="1" t="s">
        <v>306</v>
      </c>
    </row>
    <row r="144" spans="1:30" ht="17.25" customHeight="1" x14ac:dyDescent="0.2">
      <c r="A144" s="5">
        <v>142</v>
      </c>
      <c r="B144" s="3">
        <v>113045</v>
      </c>
      <c r="C144" s="6" t="s">
        <v>252</v>
      </c>
      <c r="D144" s="6" t="s">
        <v>123</v>
      </c>
      <c r="E144" s="30" t="s">
        <v>106</v>
      </c>
      <c r="F144" s="20"/>
      <c r="G144" s="20">
        <v>7</v>
      </c>
      <c r="H144" s="1" t="s">
        <v>259</v>
      </c>
      <c r="I144" s="1">
        <v>22466666</v>
      </c>
      <c r="J144" s="56">
        <v>43833</v>
      </c>
      <c r="K144" s="1">
        <v>722341125</v>
      </c>
      <c r="M144" s="1" t="s">
        <v>1246</v>
      </c>
      <c r="N144" s="1" t="s">
        <v>528</v>
      </c>
      <c r="O144" s="63">
        <v>41</v>
      </c>
      <c r="P144" s="1" t="s">
        <v>1222</v>
      </c>
      <c r="Q144" s="1" t="s">
        <v>1247</v>
      </c>
      <c r="R144" s="1" t="s">
        <v>1248</v>
      </c>
      <c r="S144" s="1" t="s">
        <v>1249</v>
      </c>
      <c r="T144" s="1" t="s">
        <v>299</v>
      </c>
      <c r="U144" s="1" t="s">
        <v>333</v>
      </c>
      <c r="V144" s="1">
        <v>982294816</v>
      </c>
      <c r="W144" s="1">
        <v>2404957</v>
      </c>
      <c r="X144" s="1" t="s">
        <v>1242</v>
      </c>
      <c r="Y144" s="1" t="s">
        <v>1243</v>
      </c>
      <c r="Z144" s="1" t="s">
        <v>1244</v>
      </c>
      <c r="AA144" s="1">
        <v>702753401</v>
      </c>
      <c r="AB144" s="1" t="s">
        <v>1245</v>
      </c>
      <c r="AC144" s="1" t="s">
        <v>1250</v>
      </c>
      <c r="AD144" s="1" t="s">
        <v>408</v>
      </c>
    </row>
    <row r="145" spans="1:30" ht="15.95" customHeight="1" x14ac:dyDescent="0.2">
      <c r="A145" s="5">
        <v>143</v>
      </c>
      <c r="B145" s="3">
        <v>241537</v>
      </c>
      <c r="C145" s="6" t="s">
        <v>166</v>
      </c>
      <c r="D145" s="6" t="s">
        <v>123</v>
      </c>
      <c r="E145" s="20" t="s">
        <v>121</v>
      </c>
      <c r="F145" s="31"/>
      <c r="G145" s="44">
        <v>8</v>
      </c>
      <c r="H145" s="1" t="s">
        <v>259</v>
      </c>
      <c r="I145" s="1">
        <v>27841844</v>
      </c>
      <c r="J145" s="56">
        <v>44384</v>
      </c>
      <c r="K145" s="1">
        <v>725300294</v>
      </c>
      <c r="L145" s="1">
        <v>907724</v>
      </c>
      <c r="M145" s="56">
        <v>33032</v>
      </c>
      <c r="N145" s="1" t="s">
        <v>338</v>
      </c>
      <c r="O145" s="63">
        <v>19</v>
      </c>
      <c r="P145" s="1" t="s">
        <v>917</v>
      </c>
      <c r="Q145" s="1" t="s">
        <v>918</v>
      </c>
      <c r="R145" s="1" t="s">
        <v>918</v>
      </c>
      <c r="S145" s="1" t="s">
        <v>919</v>
      </c>
      <c r="T145" s="1" t="s">
        <v>306</v>
      </c>
      <c r="U145" s="1" t="s">
        <v>441</v>
      </c>
      <c r="V145" s="1">
        <v>2020026204</v>
      </c>
      <c r="W145" s="1">
        <v>7124155</v>
      </c>
      <c r="X145" s="1" t="s">
        <v>920</v>
      </c>
      <c r="Y145" s="1" t="s">
        <v>921</v>
      </c>
      <c r="Z145" s="1" t="s">
        <v>922</v>
      </c>
      <c r="AA145" s="1">
        <v>702481205</v>
      </c>
      <c r="AB145" s="1" t="s">
        <v>446</v>
      </c>
      <c r="AD145" s="1" t="s">
        <v>464</v>
      </c>
    </row>
    <row r="146" spans="1:30" ht="15.95" customHeight="1" x14ac:dyDescent="0.2">
      <c r="A146" s="5">
        <v>144</v>
      </c>
      <c r="B146" s="3">
        <v>182029</v>
      </c>
      <c r="C146" s="6" t="s">
        <v>131</v>
      </c>
      <c r="D146" s="6" t="s">
        <v>123</v>
      </c>
      <c r="E146" s="30" t="s">
        <v>132</v>
      </c>
      <c r="F146" s="31"/>
      <c r="G146" s="44">
        <v>10</v>
      </c>
      <c r="H146" s="1" t="s">
        <v>258</v>
      </c>
      <c r="I146" s="1">
        <v>22324592</v>
      </c>
      <c r="J146" s="1" t="s">
        <v>923</v>
      </c>
      <c r="K146" s="1">
        <v>725708750</v>
      </c>
      <c r="L146" s="1">
        <v>964634</v>
      </c>
      <c r="M146" s="1" t="s">
        <v>924</v>
      </c>
      <c r="N146" s="1" t="s">
        <v>640</v>
      </c>
      <c r="O146" s="63">
        <v>44</v>
      </c>
      <c r="P146" s="1" t="s">
        <v>642</v>
      </c>
      <c r="Q146" s="1" t="s">
        <v>925</v>
      </c>
      <c r="R146" s="1" t="s">
        <v>926</v>
      </c>
      <c r="S146" s="1" t="s">
        <v>927</v>
      </c>
      <c r="T146" s="1" t="s">
        <v>299</v>
      </c>
      <c r="U146" s="1" t="s">
        <v>343</v>
      </c>
      <c r="V146" s="1">
        <v>370980913</v>
      </c>
      <c r="W146" s="1">
        <v>2839701</v>
      </c>
      <c r="X146" s="1" t="s">
        <v>928</v>
      </c>
      <c r="Z146" s="1" t="s">
        <v>929</v>
      </c>
      <c r="AA146" s="1">
        <v>722384773</v>
      </c>
      <c r="AB146" s="1" t="s">
        <v>329</v>
      </c>
      <c r="AC146" s="1" t="s">
        <v>326</v>
      </c>
      <c r="AD146" s="1" t="s">
        <v>677</v>
      </c>
    </row>
    <row r="147" spans="1:30" ht="15.95" customHeight="1" x14ac:dyDescent="0.2">
      <c r="A147" s="5">
        <v>145</v>
      </c>
      <c r="B147" s="3">
        <v>241359</v>
      </c>
      <c r="C147" s="6" t="s">
        <v>129</v>
      </c>
      <c r="D147" s="6" t="s">
        <v>123</v>
      </c>
      <c r="E147" s="30" t="s">
        <v>130</v>
      </c>
      <c r="F147" s="20"/>
      <c r="G147" s="20" t="s">
        <v>259</v>
      </c>
      <c r="H147" s="1" t="s">
        <v>259</v>
      </c>
      <c r="I147" s="1">
        <v>29577586</v>
      </c>
      <c r="J147" s="56">
        <v>43101</v>
      </c>
      <c r="K147" s="1">
        <v>702352079</v>
      </c>
      <c r="L147" s="1">
        <v>416123</v>
      </c>
      <c r="M147" s="1" t="s">
        <v>963</v>
      </c>
      <c r="N147" s="1" t="s">
        <v>294</v>
      </c>
      <c r="O147" s="63">
        <v>3</v>
      </c>
      <c r="P147" s="1" t="s">
        <v>294</v>
      </c>
      <c r="Q147" s="1" t="s">
        <v>964</v>
      </c>
      <c r="R147" s="1" t="s">
        <v>965</v>
      </c>
      <c r="S147" s="1" t="s">
        <v>966</v>
      </c>
      <c r="T147" s="1" t="s">
        <v>25</v>
      </c>
      <c r="U147" s="1" t="s">
        <v>441</v>
      </c>
      <c r="V147" s="1">
        <v>2012574465</v>
      </c>
      <c r="W147" s="1">
        <v>6333048</v>
      </c>
      <c r="X147" s="1" t="s">
        <v>967</v>
      </c>
      <c r="Y147" s="1">
        <v>1642</v>
      </c>
      <c r="Z147" s="1" t="s">
        <v>968</v>
      </c>
      <c r="AA147" s="1">
        <v>721712468</v>
      </c>
      <c r="AB147" s="1" t="s">
        <v>597</v>
      </c>
      <c r="AC147" s="1" t="s">
        <v>326</v>
      </c>
      <c r="AD147" s="1" t="s">
        <v>464</v>
      </c>
    </row>
    <row r="148" spans="1:30" ht="15.95" customHeight="1" x14ac:dyDescent="0.2">
      <c r="A148" s="5">
        <v>146</v>
      </c>
      <c r="B148" s="3">
        <v>241525</v>
      </c>
      <c r="C148" s="6" t="s">
        <v>160</v>
      </c>
      <c r="D148" s="6" t="s">
        <v>123</v>
      </c>
      <c r="E148" s="20" t="s">
        <v>25</v>
      </c>
      <c r="F148" s="20"/>
      <c r="G148" s="20" t="s">
        <v>259</v>
      </c>
      <c r="H148" s="1" t="s">
        <v>258</v>
      </c>
      <c r="I148" s="1">
        <v>27175116</v>
      </c>
      <c r="J148" s="56">
        <v>44534</v>
      </c>
      <c r="K148" s="1">
        <v>720234563</v>
      </c>
      <c r="L148" s="1">
        <v>537927</v>
      </c>
      <c r="M148" s="1" t="s">
        <v>930</v>
      </c>
      <c r="N148" s="1" t="s">
        <v>398</v>
      </c>
      <c r="O148" s="63">
        <v>42</v>
      </c>
      <c r="P148" s="1" t="s">
        <v>931</v>
      </c>
      <c r="Q148" s="1" t="s">
        <v>932</v>
      </c>
      <c r="R148" s="1" t="s">
        <v>633</v>
      </c>
      <c r="S148" s="1" t="s">
        <v>933</v>
      </c>
      <c r="T148" s="1" t="s">
        <v>25</v>
      </c>
      <c r="U148" s="1" t="s">
        <v>403</v>
      </c>
      <c r="V148" s="1">
        <v>20286306564</v>
      </c>
      <c r="W148" s="1">
        <v>8996072</v>
      </c>
      <c r="X148" s="1" t="s">
        <v>934</v>
      </c>
      <c r="Y148" s="1">
        <v>491</v>
      </c>
      <c r="Z148" s="1" t="s">
        <v>935</v>
      </c>
      <c r="AA148" s="1">
        <v>703254520</v>
      </c>
      <c r="AB148" s="1" t="s">
        <v>329</v>
      </c>
    </row>
    <row r="149" spans="1:30" ht="15.95" customHeight="1" x14ac:dyDescent="0.2">
      <c r="A149" s="5">
        <v>147</v>
      </c>
      <c r="B149" s="3">
        <v>241651</v>
      </c>
      <c r="C149" s="6" t="s">
        <v>200</v>
      </c>
      <c r="D149" s="6" t="s">
        <v>123</v>
      </c>
      <c r="E149" s="20" t="s">
        <v>25</v>
      </c>
      <c r="F149" s="31"/>
      <c r="G149" s="44" t="s">
        <v>259</v>
      </c>
      <c r="H149" s="1" t="s">
        <v>259</v>
      </c>
      <c r="I149" s="1">
        <v>33612960</v>
      </c>
      <c r="J149" s="1" t="s">
        <v>936</v>
      </c>
      <c r="K149" s="1">
        <v>713599222</v>
      </c>
      <c r="L149" s="1">
        <v>282729</v>
      </c>
      <c r="M149" s="1" t="s">
        <v>937</v>
      </c>
      <c r="N149" s="1" t="s">
        <v>938</v>
      </c>
      <c r="O149" s="63">
        <v>14</v>
      </c>
      <c r="P149" s="1" t="s">
        <v>939</v>
      </c>
      <c r="Q149" s="1" t="s">
        <v>940</v>
      </c>
      <c r="R149" s="1" t="s">
        <v>941</v>
      </c>
      <c r="S149" s="1" t="s">
        <v>942</v>
      </c>
      <c r="T149" s="1" t="s">
        <v>1384</v>
      </c>
      <c r="U149" s="1" t="s">
        <v>403</v>
      </c>
      <c r="V149" s="1" t="s">
        <v>943</v>
      </c>
      <c r="W149" s="1">
        <v>15556152</v>
      </c>
      <c r="X149" s="1" t="s">
        <v>960</v>
      </c>
      <c r="Z149" s="1" t="s">
        <v>944</v>
      </c>
      <c r="AA149" s="1">
        <v>720081299</v>
      </c>
      <c r="AB149" s="1" t="s">
        <v>407</v>
      </c>
    </row>
    <row r="150" spans="1:30" ht="15.75" customHeight="1" x14ac:dyDescent="0.2">
      <c r="A150" s="5">
        <v>148</v>
      </c>
      <c r="B150" s="3">
        <v>115016</v>
      </c>
      <c r="C150" s="6" t="s">
        <v>1377</v>
      </c>
      <c r="D150" s="6" t="s">
        <v>134</v>
      </c>
      <c r="E150" s="30" t="s">
        <v>135</v>
      </c>
      <c r="F150" s="31"/>
      <c r="G150" s="44">
        <v>9</v>
      </c>
      <c r="H150" s="1" t="s">
        <v>259</v>
      </c>
      <c r="I150" s="1">
        <v>7304854</v>
      </c>
      <c r="J150" s="56">
        <v>32882</v>
      </c>
      <c r="K150" s="1">
        <v>721204475</v>
      </c>
      <c r="L150" s="1">
        <v>9273032</v>
      </c>
      <c r="M150" s="1">
        <v>1966</v>
      </c>
      <c r="N150" s="1" t="s">
        <v>457</v>
      </c>
      <c r="O150" s="63">
        <v>46</v>
      </c>
      <c r="P150" s="1" t="s">
        <v>458</v>
      </c>
      <c r="Q150" s="1" t="s">
        <v>458</v>
      </c>
      <c r="R150" s="1" t="s">
        <v>997</v>
      </c>
      <c r="S150" s="1" t="s">
        <v>998</v>
      </c>
      <c r="T150" s="1" t="s">
        <v>299</v>
      </c>
      <c r="U150" s="1" t="s">
        <v>618</v>
      </c>
      <c r="V150" s="1">
        <v>368635811</v>
      </c>
      <c r="W150" s="1">
        <v>977725</v>
      </c>
      <c r="X150" s="1" t="s">
        <v>999</v>
      </c>
      <c r="Y150" s="1">
        <v>308</v>
      </c>
      <c r="Z150" s="1" t="s">
        <v>1000</v>
      </c>
      <c r="AA150" s="1">
        <v>748206171</v>
      </c>
      <c r="AB150" s="1" t="s">
        <v>396</v>
      </c>
      <c r="AC150" s="1" t="s">
        <v>326</v>
      </c>
      <c r="AD150" s="1" t="s">
        <v>630</v>
      </c>
    </row>
    <row r="151" spans="1:30" ht="15.95" customHeight="1" x14ac:dyDescent="0.2">
      <c r="A151" s="5">
        <v>149</v>
      </c>
      <c r="B151" s="1">
        <v>241138</v>
      </c>
      <c r="C151" s="6" t="s">
        <v>1422</v>
      </c>
      <c r="D151" s="6" t="s">
        <v>136</v>
      </c>
      <c r="E151" s="30" t="s">
        <v>137</v>
      </c>
      <c r="F151" s="20"/>
      <c r="G151" s="20">
        <v>9</v>
      </c>
      <c r="H151" s="1" t="s">
        <v>259</v>
      </c>
      <c r="I151" s="1">
        <v>26673037</v>
      </c>
      <c r="J151" s="56">
        <v>42132</v>
      </c>
      <c r="K151" s="1">
        <v>712900467</v>
      </c>
      <c r="L151" s="1" t="str">
        <f>"0"&amp;36879</f>
        <v>036879</v>
      </c>
      <c r="M151" s="56">
        <v>32302</v>
      </c>
      <c r="N151" s="1" t="s">
        <v>649</v>
      </c>
      <c r="O151" s="63">
        <v>39</v>
      </c>
      <c r="P151" s="1" t="s">
        <v>945</v>
      </c>
      <c r="Q151" s="1" t="s">
        <v>946</v>
      </c>
      <c r="R151" s="1" t="s">
        <v>947</v>
      </c>
      <c r="S151" s="1" t="s">
        <v>947</v>
      </c>
      <c r="T151" s="1" t="s">
        <v>299</v>
      </c>
      <c r="U151" s="1" t="s">
        <v>403</v>
      </c>
      <c r="V151" s="1">
        <v>2008633238</v>
      </c>
      <c r="W151" s="1">
        <v>5994836</v>
      </c>
      <c r="X151" s="1" t="s">
        <v>948</v>
      </c>
      <c r="Y151" s="1">
        <v>28</v>
      </c>
      <c r="Z151" s="1" t="s">
        <v>949</v>
      </c>
      <c r="AA151" s="1">
        <v>727719369</v>
      </c>
      <c r="AB151" s="1" t="s">
        <v>325</v>
      </c>
      <c r="AC151" s="1" t="s">
        <v>326</v>
      </c>
      <c r="AD151" s="1" t="s">
        <v>950</v>
      </c>
    </row>
    <row r="152" spans="1:30" ht="15.95" customHeight="1" x14ac:dyDescent="0.2">
      <c r="A152" s="5">
        <v>150</v>
      </c>
      <c r="B152" s="3">
        <v>241601</v>
      </c>
      <c r="C152" s="6" t="s">
        <v>197</v>
      </c>
      <c r="D152" s="6" t="s">
        <v>136</v>
      </c>
      <c r="E152" s="20" t="s">
        <v>198</v>
      </c>
      <c r="F152" s="20"/>
      <c r="G152" s="20">
        <v>12</v>
      </c>
      <c r="H152" s="1" t="s">
        <v>258</v>
      </c>
      <c r="I152" s="1">
        <v>32316111</v>
      </c>
      <c r="J152" s="1" t="s">
        <v>534</v>
      </c>
      <c r="K152" s="1">
        <v>768985416</v>
      </c>
      <c r="L152" s="1">
        <v>208784</v>
      </c>
      <c r="M152" s="56">
        <v>34617</v>
      </c>
      <c r="N152" s="1" t="s">
        <v>528</v>
      </c>
      <c r="O152" s="63">
        <v>41</v>
      </c>
      <c r="P152" s="1" t="s">
        <v>669</v>
      </c>
      <c r="Q152" s="1" t="s">
        <v>670</v>
      </c>
      <c r="R152" s="1" t="s">
        <v>951</v>
      </c>
      <c r="S152" s="1" t="s">
        <v>952</v>
      </c>
      <c r="T152" s="1" t="s">
        <v>306</v>
      </c>
      <c r="U152" s="1" t="s">
        <v>307</v>
      </c>
      <c r="V152" s="1">
        <v>2005883513</v>
      </c>
      <c r="W152" s="1">
        <v>5436742</v>
      </c>
      <c r="X152" s="1" t="s">
        <v>953</v>
      </c>
      <c r="Z152" s="1" t="s">
        <v>954</v>
      </c>
      <c r="AA152" s="1">
        <v>793620451</v>
      </c>
      <c r="AB152" s="1" t="s">
        <v>396</v>
      </c>
      <c r="AC152" s="1" t="s">
        <v>326</v>
      </c>
    </row>
    <row r="153" spans="1:30" ht="15.95" customHeight="1" x14ac:dyDescent="0.2">
      <c r="A153" s="5">
        <v>151</v>
      </c>
      <c r="B153" s="3">
        <v>241274</v>
      </c>
      <c r="C153" s="3" t="s">
        <v>31</v>
      </c>
      <c r="D153" s="6" t="s">
        <v>136</v>
      </c>
      <c r="E153" s="20" t="s">
        <v>30</v>
      </c>
      <c r="F153" s="31"/>
      <c r="G153" s="44">
        <v>12</v>
      </c>
      <c r="H153" s="1" t="s">
        <v>258</v>
      </c>
      <c r="I153" s="1">
        <v>27758071</v>
      </c>
      <c r="J153" s="56">
        <v>42653</v>
      </c>
      <c r="K153" s="1">
        <v>706044735</v>
      </c>
      <c r="L153" s="1">
        <v>285799</v>
      </c>
      <c r="M153" s="1" t="s">
        <v>311</v>
      </c>
      <c r="N153" s="1" t="s">
        <v>312</v>
      </c>
      <c r="O153" s="63">
        <v>43</v>
      </c>
      <c r="P153" s="54" t="s">
        <v>305</v>
      </c>
      <c r="Q153" s="55" t="s">
        <v>313</v>
      </c>
      <c r="R153" s="1" t="s">
        <v>1106</v>
      </c>
      <c r="S153" s="1" t="s">
        <v>1107</v>
      </c>
      <c r="T153" s="1" t="s">
        <v>306</v>
      </c>
      <c r="U153" s="1" t="s">
        <v>307</v>
      </c>
      <c r="V153" s="1">
        <v>2013862686</v>
      </c>
      <c r="W153" s="1">
        <v>6749899</v>
      </c>
      <c r="X153" s="1" t="s">
        <v>301</v>
      </c>
      <c r="Y153" s="1">
        <v>6674</v>
      </c>
      <c r="Z153" s="1" t="s">
        <v>308</v>
      </c>
      <c r="AA153" s="1" t="s">
        <v>309</v>
      </c>
      <c r="AB153" s="1" t="s">
        <v>310</v>
      </c>
      <c r="AC153" s="1" t="s">
        <v>326</v>
      </c>
      <c r="AD153" s="1" t="s">
        <v>303</v>
      </c>
    </row>
    <row r="154" spans="1:30" ht="15.95" customHeight="1" x14ac:dyDescent="0.2">
      <c r="A154" s="5">
        <v>152</v>
      </c>
      <c r="B154" s="3">
        <v>151022</v>
      </c>
      <c r="C154" s="6" t="s">
        <v>29</v>
      </c>
      <c r="D154" s="6" t="s">
        <v>136</v>
      </c>
      <c r="E154" s="30" t="s">
        <v>30</v>
      </c>
      <c r="F154" s="31"/>
      <c r="G154" s="44">
        <v>12</v>
      </c>
      <c r="H154" s="1" t="s">
        <v>258</v>
      </c>
      <c r="I154" s="1">
        <v>25144899</v>
      </c>
      <c r="J154" s="1" t="s">
        <v>292</v>
      </c>
      <c r="K154" s="1">
        <v>721627827</v>
      </c>
      <c r="L154" s="1">
        <v>558281</v>
      </c>
      <c r="M154" s="56">
        <v>31564</v>
      </c>
      <c r="N154" s="1" t="s">
        <v>878</v>
      </c>
      <c r="O154" s="63">
        <v>1</v>
      </c>
      <c r="P154" s="1" t="s">
        <v>887</v>
      </c>
      <c r="Q154" s="1" t="s">
        <v>887</v>
      </c>
      <c r="R154" s="1" t="s">
        <v>1114</v>
      </c>
      <c r="S154" s="1" t="s">
        <v>1115</v>
      </c>
      <c r="T154" s="1" t="s">
        <v>1116</v>
      </c>
      <c r="W154" s="1">
        <v>2841973</v>
      </c>
      <c r="X154" s="1" t="s">
        <v>1117</v>
      </c>
      <c r="Y154" s="1">
        <v>96463</v>
      </c>
      <c r="Z154" s="1" t="s">
        <v>1118</v>
      </c>
      <c r="AA154" s="1">
        <v>746596915</v>
      </c>
      <c r="AB154" s="1" t="s">
        <v>329</v>
      </c>
      <c r="AD154" s="1" t="s">
        <v>303</v>
      </c>
    </row>
    <row r="155" spans="1:30" ht="16.5" customHeight="1" x14ac:dyDescent="0.2">
      <c r="A155" s="5">
        <v>153</v>
      </c>
      <c r="B155" s="3">
        <v>241026</v>
      </c>
      <c r="C155" s="6" t="s">
        <v>253</v>
      </c>
      <c r="D155" s="6" t="s">
        <v>139</v>
      </c>
      <c r="E155" s="30" t="s">
        <v>6</v>
      </c>
      <c r="F155" s="31"/>
      <c r="G155" s="44">
        <v>6</v>
      </c>
      <c r="H155" s="1" t="s">
        <v>258</v>
      </c>
      <c r="I155" s="1">
        <v>24416334</v>
      </c>
      <c r="J155" s="56">
        <v>40916</v>
      </c>
      <c r="K155" s="1">
        <v>725422041</v>
      </c>
      <c r="L155" s="1">
        <v>694967</v>
      </c>
      <c r="M155" s="1" t="s">
        <v>1070</v>
      </c>
      <c r="N155" s="1" t="s">
        <v>528</v>
      </c>
      <c r="O155" s="63">
        <v>41</v>
      </c>
      <c r="P155" s="1" t="s">
        <v>669</v>
      </c>
      <c r="Q155" s="1" t="s">
        <v>895</v>
      </c>
      <c r="R155" s="1" t="s">
        <v>896</v>
      </c>
      <c r="S155" s="1" t="s">
        <v>897</v>
      </c>
      <c r="T155" s="1" t="s">
        <v>299</v>
      </c>
      <c r="U155" s="1" t="s">
        <v>441</v>
      </c>
      <c r="V155" s="1">
        <v>814573916</v>
      </c>
      <c r="W155" s="1">
        <v>3827585</v>
      </c>
      <c r="X155" s="1" t="s">
        <v>1071</v>
      </c>
      <c r="Z155" s="1" t="s">
        <v>1072</v>
      </c>
      <c r="AA155" s="1">
        <v>702522030</v>
      </c>
      <c r="AB155" s="1" t="s">
        <v>329</v>
      </c>
      <c r="AD155" s="1" t="s">
        <v>1073</v>
      </c>
    </row>
    <row r="156" spans="1:30" ht="15.95" customHeight="1" x14ac:dyDescent="0.2">
      <c r="A156" s="5">
        <v>154</v>
      </c>
      <c r="B156" s="3">
        <v>241402</v>
      </c>
      <c r="C156" s="6" t="s">
        <v>144</v>
      </c>
      <c r="D156" s="6" t="s">
        <v>139</v>
      </c>
      <c r="E156" s="30" t="s">
        <v>203</v>
      </c>
      <c r="F156" s="4"/>
      <c r="G156" s="4">
        <v>8</v>
      </c>
      <c r="H156" s="1" t="s">
        <v>259</v>
      </c>
      <c r="I156" s="1">
        <v>27494151</v>
      </c>
      <c r="J156" s="1" t="s">
        <v>850</v>
      </c>
      <c r="K156" s="1">
        <v>721973492</v>
      </c>
      <c r="L156" s="1" t="str">
        <f>"00"&amp;31353</f>
        <v>0031353</v>
      </c>
      <c r="M156" s="1" t="s">
        <v>955</v>
      </c>
      <c r="N156" s="1" t="s">
        <v>702</v>
      </c>
      <c r="O156" s="63">
        <v>31</v>
      </c>
      <c r="P156" s="1" t="s">
        <v>956</v>
      </c>
      <c r="Q156" s="1" t="s">
        <v>957</v>
      </c>
      <c r="R156" s="1" t="s">
        <v>958</v>
      </c>
      <c r="S156" s="1" t="s">
        <v>959</v>
      </c>
      <c r="T156" s="1" t="s">
        <v>306</v>
      </c>
      <c r="U156" s="1" t="s">
        <v>403</v>
      </c>
      <c r="V156" s="1">
        <v>201213706</v>
      </c>
      <c r="W156" s="1">
        <v>27494151</v>
      </c>
      <c r="X156" s="1" t="s">
        <v>961</v>
      </c>
      <c r="Y156" s="1">
        <v>1173</v>
      </c>
      <c r="Z156" s="1" t="s">
        <v>962</v>
      </c>
      <c r="AA156" s="1">
        <v>721973492</v>
      </c>
      <c r="AB156" s="1" t="s">
        <v>407</v>
      </c>
      <c r="AC156" s="1" t="s">
        <v>427</v>
      </c>
    </row>
    <row r="157" spans="1:30" x14ac:dyDescent="0.2">
      <c r="A157" s="5">
        <v>155</v>
      </c>
      <c r="B157" s="4">
        <v>241666</v>
      </c>
      <c r="C157" s="4" t="s">
        <v>1305</v>
      </c>
      <c r="D157" s="4" t="s">
        <v>139</v>
      </c>
      <c r="E157" s="4" t="s">
        <v>203</v>
      </c>
      <c r="F157" s="31"/>
      <c r="G157" s="44">
        <v>8</v>
      </c>
      <c r="H157" s="1" t="s">
        <v>259</v>
      </c>
      <c r="I157" s="1">
        <v>27895831</v>
      </c>
      <c r="J157" s="1" t="s">
        <v>534</v>
      </c>
      <c r="K157" s="1">
        <v>713448018</v>
      </c>
      <c r="L157" s="1">
        <v>840662</v>
      </c>
      <c r="M157" s="56">
        <v>32544</v>
      </c>
      <c r="N157" s="1" t="s">
        <v>362</v>
      </c>
      <c r="O157" s="63">
        <v>47</v>
      </c>
      <c r="P157" s="1" t="s">
        <v>488</v>
      </c>
      <c r="T157" s="1" t="s">
        <v>25</v>
      </c>
    </row>
    <row r="158" spans="1:30" ht="15.95" customHeight="1" x14ac:dyDescent="0.2">
      <c r="A158" s="5">
        <v>156</v>
      </c>
      <c r="B158" s="3">
        <v>241404</v>
      </c>
      <c r="C158" s="6" t="s">
        <v>140</v>
      </c>
      <c r="D158" s="6" t="s">
        <v>139</v>
      </c>
      <c r="E158" s="30" t="s">
        <v>141</v>
      </c>
      <c r="F158" s="31"/>
      <c r="G158" s="44" t="s">
        <v>259</v>
      </c>
      <c r="H158" s="1" t="s">
        <v>258</v>
      </c>
      <c r="I158" s="1">
        <v>28484103</v>
      </c>
      <c r="J158" s="1" t="s">
        <v>850</v>
      </c>
      <c r="K158" s="1">
        <v>702573050</v>
      </c>
      <c r="L158" s="1">
        <v>51818</v>
      </c>
      <c r="M158" s="1" t="s">
        <v>851</v>
      </c>
      <c r="N158" s="1" t="s">
        <v>708</v>
      </c>
      <c r="O158" s="63">
        <v>34</v>
      </c>
      <c r="P158" s="1" t="s">
        <v>852</v>
      </c>
      <c r="Q158" s="1" t="s">
        <v>709</v>
      </c>
      <c r="R158" s="1" t="s">
        <v>710</v>
      </c>
      <c r="S158" s="1" t="s">
        <v>710</v>
      </c>
      <c r="T158" s="1" t="s">
        <v>25</v>
      </c>
      <c r="U158" s="1" t="s">
        <v>343</v>
      </c>
      <c r="V158" s="1" t="s">
        <v>853</v>
      </c>
      <c r="W158" s="1">
        <v>8079876</v>
      </c>
      <c r="X158" s="1" t="s">
        <v>854</v>
      </c>
      <c r="Y158" s="1" t="s">
        <v>855</v>
      </c>
      <c r="Z158" s="1" t="s">
        <v>856</v>
      </c>
      <c r="AA158" s="1">
        <v>720818048</v>
      </c>
      <c r="AB158" s="1" t="s">
        <v>597</v>
      </c>
      <c r="AC158" s="1" t="s">
        <v>304</v>
      </c>
      <c r="AD158" s="1" t="s">
        <v>304</v>
      </c>
    </row>
    <row r="159" spans="1:30" ht="15.95" customHeight="1" x14ac:dyDescent="0.2">
      <c r="A159" s="5">
        <v>157</v>
      </c>
      <c r="B159" s="3">
        <v>241385</v>
      </c>
      <c r="C159" s="6" t="s">
        <v>142</v>
      </c>
      <c r="D159" s="6" t="s">
        <v>139</v>
      </c>
      <c r="E159" s="30" t="s">
        <v>143</v>
      </c>
      <c r="F159" s="31"/>
      <c r="G159" s="44" t="s">
        <v>259</v>
      </c>
      <c r="H159" s="1" t="s">
        <v>258</v>
      </c>
      <c r="I159" s="1">
        <v>33852077</v>
      </c>
      <c r="J159" s="56">
        <v>43133</v>
      </c>
      <c r="K159" s="1">
        <v>702764863</v>
      </c>
      <c r="L159" s="1">
        <v>646393</v>
      </c>
      <c r="M159" s="56">
        <v>35466</v>
      </c>
      <c r="N159" s="1" t="s">
        <v>640</v>
      </c>
      <c r="O159" s="63">
        <v>44</v>
      </c>
      <c r="P159" s="1" t="s">
        <v>641</v>
      </c>
      <c r="Q159" s="1" t="s">
        <v>857</v>
      </c>
      <c r="R159" s="1" t="s">
        <v>858</v>
      </c>
      <c r="S159" s="1" t="s">
        <v>859</v>
      </c>
      <c r="T159" s="1" t="s">
        <v>25</v>
      </c>
      <c r="U159" s="1" t="s">
        <v>452</v>
      </c>
      <c r="V159" s="1">
        <v>202194439</v>
      </c>
      <c r="W159" s="1">
        <v>7737647</v>
      </c>
      <c r="X159" s="1" t="s">
        <v>860</v>
      </c>
      <c r="Y159" s="1">
        <v>47</v>
      </c>
      <c r="Z159" s="1" t="s">
        <v>861</v>
      </c>
      <c r="AA159" s="1">
        <v>700833195</v>
      </c>
      <c r="AB159" s="1" t="s">
        <v>329</v>
      </c>
      <c r="AC159" s="1" t="s">
        <v>326</v>
      </c>
      <c r="AD159" s="1" t="s">
        <v>303</v>
      </c>
    </row>
    <row r="160" spans="1:30" ht="15.95" customHeight="1" x14ac:dyDescent="0.2">
      <c r="A160" s="5">
        <v>158</v>
      </c>
      <c r="B160" s="3">
        <v>241384</v>
      </c>
      <c r="C160" s="6" t="s">
        <v>145</v>
      </c>
      <c r="D160" s="6" t="s">
        <v>139</v>
      </c>
      <c r="E160" s="30" t="s">
        <v>213</v>
      </c>
      <c r="F160" s="31"/>
      <c r="G160" s="44">
        <v>8</v>
      </c>
      <c r="H160" s="1" t="s">
        <v>258</v>
      </c>
      <c r="I160" s="1">
        <v>23065759</v>
      </c>
      <c r="J160" s="56">
        <v>43102</v>
      </c>
      <c r="K160" s="1">
        <v>725996640</v>
      </c>
      <c r="L160" s="1">
        <v>4985296</v>
      </c>
      <c r="M160" s="56">
        <v>29993</v>
      </c>
      <c r="N160" s="1" t="s">
        <v>430</v>
      </c>
      <c r="O160" s="63">
        <v>45</v>
      </c>
      <c r="P160" s="1" t="s">
        <v>862</v>
      </c>
      <c r="Q160" s="1" t="s">
        <v>863</v>
      </c>
      <c r="R160" s="1" t="s">
        <v>864</v>
      </c>
      <c r="S160" s="1" t="s">
        <v>865</v>
      </c>
      <c r="T160" s="1" t="s">
        <v>306</v>
      </c>
      <c r="U160" s="1" t="s">
        <v>343</v>
      </c>
      <c r="V160" s="1">
        <v>947272925</v>
      </c>
      <c r="W160" s="1">
        <v>2876005</v>
      </c>
      <c r="X160" s="1" t="s">
        <v>866</v>
      </c>
      <c r="Y160" s="1">
        <v>870</v>
      </c>
      <c r="Z160" s="1" t="s">
        <v>867</v>
      </c>
      <c r="AA160" s="1">
        <v>711101544</v>
      </c>
      <c r="AB160" s="1" t="s">
        <v>329</v>
      </c>
      <c r="AC160" s="1" t="s">
        <v>427</v>
      </c>
      <c r="AD160" s="1" t="s">
        <v>304</v>
      </c>
    </row>
    <row r="161" spans="1:30" ht="15.95" customHeight="1" x14ac:dyDescent="0.2">
      <c r="A161" s="5">
        <v>159</v>
      </c>
      <c r="B161" s="3">
        <v>241459</v>
      </c>
      <c r="C161" s="6" t="s">
        <v>146</v>
      </c>
      <c r="D161" s="6" t="s">
        <v>139</v>
      </c>
      <c r="E161" s="30" t="s">
        <v>25</v>
      </c>
      <c r="F161" s="31"/>
      <c r="G161" s="44" t="s">
        <v>259</v>
      </c>
      <c r="H161" s="1" t="s">
        <v>258</v>
      </c>
      <c r="I161" s="1">
        <v>22231664</v>
      </c>
      <c r="J161" s="56">
        <v>43471</v>
      </c>
      <c r="K161" s="1">
        <v>729729703</v>
      </c>
      <c r="L161" s="1">
        <v>302748</v>
      </c>
      <c r="M161" s="56">
        <v>29346</v>
      </c>
      <c r="N161" s="1" t="s">
        <v>684</v>
      </c>
      <c r="O161" s="63">
        <v>38</v>
      </c>
      <c r="P161" s="1" t="s">
        <v>807</v>
      </c>
      <c r="Q161" s="1" t="s">
        <v>808</v>
      </c>
      <c r="R161" s="1" t="s">
        <v>841</v>
      </c>
      <c r="S161" s="1" t="s">
        <v>842</v>
      </c>
      <c r="T161" s="1" t="s">
        <v>25</v>
      </c>
      <c r="U161" s="1" t="s">
        <v>343</v>
      </c>
      <c r="V161" s="1">
        <v>864097921</v>
      </c>
      <c r="W161" s="1">
        <v>4981139</v>
      </c>
      <c r="X161" s="1" t="s">
        <v>843</v>
      </c>
      <c r="Y161" s="1">
        <v>47</v>
      </c>
      <c r="Z161" s="1" t="s">
        <v>844</v>
      </c>
      <c r="AA161" s="1">
        <v>729913580</v>
      </c>
      <c r="AB161" s="1" t="s">
        <v>329</v>
      </c>
      <c r="AC161" s="1" t="s">
        <v>304</v>
      </c>
      <c r="AD161" s="1" t="s">
        <v>303</v>
      </c>
    </row>
    <row r="162" spans="1:30" ht="15.95" customHeight="1" x14ac:dyDescent="0.2">
      <c r="A162" s="5">
        <v>160</v>
      </c>
      <c r="B162" s="3">
        <v>241462</v>
      </c>
      <c r="C162" s="6" t="s">
        <v>147</v>
      </c>
      <c r="D162" s="6" t="s">
        <v>139</v>
      </c>
      <c r="E162" s="30" t="s">
        <v>25</v>
      </c>
      <c r="F162" s="31"/>
      <c r="G162" s="44">
        <v>8</v>
      </c>
      <c r="H162" s="1" t="s">
        <v>258</v>
      </c>
      <c r="I162" s="1">
        <v>30099524</v>
      </c>
      <c r="J162" s="56">
        <v>43471</v>
      </c>
      <c r="K162" s="1">
        <v>700469234</v>
      </c>
      <c r="M162" s="56">
        <v>34132</v>
      </c>
      <c r="N162" s="1" t="s">
        <v>362</v>
      </c>
      <c r="O162" s="63">
        <v>47</v>
      </c>
      <c r="P162" s="1" t="s">
        <v>980</v>
      </c>
      <c r="Q162" s="1" t="s">
        <v>913</v>
      </c>
      <c r="R162" s="1" t="s">
        <v>913</v>
      </c>
      <c r="S162" s="1" t="s">
        <v>913</v>
      </c>
      <c r="T162" s="1" t="s">
        <v>306</v>
      </c>
      <c r="U162" s="1" t="s">
        <v>403</v>
      </c>
      <c r="V162" s="1">
        <v>202790779</v>
      </c>
      <c r="W162" s="1">
        <v>9654243</v>
      </c>
      <c r="X162" s="1" t="s">
        <v>981</v>
      </c>
      <c r="Y162" s="1">
        <v>9402</v>
      </c>
      <c r="Z162" s="1" t="s">
        <v>982</v>
      </c>
      <c r="AA162" s="1">
        <v>700469234</v>
      </c>
      <c r="AB162" s="1" t="s">
        <v>396</v>
      </c>
      <c r="AC162" s="1" t="s">
        <v>326</v>
      </c>
    </row>
    <row r="163" spans="1:30" ht="15.95" customHeight="1" x14ac:dyDescent="0.2">
      <c r="A163" s="5">
        <v>161</v>
      </c>
      <c r="B163" s="3">
        <v>241506</v>
      </c>
      <c r="C163" s="6" t="s">
        <v>148</v>
      </c>
      <c r="D163" s="6" t="s">
        <v>139</v>
      </c>
      <c r="E163" s="30" t="s">
        <v>25</v>
      </c>
      <c r="F163" s="31"/>
      <c r="G163" s="44" t="s">
        <v>259</v>
      </c>
      <c r="H163" s="1" t="s">
        <v>258</v>
      </c>
      <c r="I163" s="1">
        <v>29398568</v>
      </c>
      <c r="J163" s="1" t="s">
        <v>1064</v>
      </c>
      <c r="K163" s="1">
        <v>708320728</v>
      </c>
      <c r="L163" s="1">
        <v>117011</v>
      </c>
      <c r="M163" s="56">
        <v>33611</v>
      </c>
      <c r="N163" s="1" t="s">
        <v>647</v>
      </c>
      <c r="O163" s="63">
        <v>38</v>
      </c>
      <c r="P163" s="1" t="s">
        <v>647</v>
      </c>
      <c r="Q163" s="1" t="s">
        <v>647</v>
      </c>
      <c r="R163" s="1" t="s">
        <v>1065</v>
      </c>
      <c r="S163" s="1" t="s">
        <v>1066</v>
      </c>
      <c r="T163" s="1" t="s">
        <v>25</v>
      </c>
      <c r="U163" s="1" t="s">
        <v>403</v>
      </c>
      <c r="V163" s="1">
        <v>2030934737</v>
      </c>
      <c r="W163" s="1">
        <v>9504643</v>
      </c>
      <c r="X163" s="1" t="s">
        <v>1067</v>
      </c>
      <c r="Y163" s="1" t="s">
        <v>1068</v>
      </c>
      <c r="Z163" s="1" t="s">
        <v>1069</v>
      </c>
      <c r="AA163" s="1">
        <v>701730527</v>
      </c>
      <c r="AB163" s="1" t="s">
        <v>407</v>
      </c>
      <c r="AC163" s="1" t="s">
        <v>427</v>
      </c>
    </row>
    <row r="164" spans="1:30" ht="15.95" customHeight="1" x14ac:dyDescent="0.2">
      <c r="A164" s="5">
        <v>162</v>
      </c>
      <c r="B164" s="3">
        <v>241509</v>
      </c>
      <c r="C164" s="6" t="s">
        <v>149</v>
      </c>
      <c r="D164" s="6" t="s">
        <v>139</v>
      </c>
      <c r="E164" s="30" t="s">
        <v>25</v>
      </c>
      <c r="F164" s="4"/>
      <c r="G164" s="4" t="s">
        <v>259</v>
      </c>
      <c r="H164" s="1" t="s">
        <v>259</v>
      </c>
      <c r="I164" s="1">
        <v>25037835</v>
      </c>
      <c r="J164" s="1" t="s">
        <v>983</v>
      </c>
      <c r="K164" s="1">
        <v>718560818</v>
      </c>
      <c r="L164" s="1">
        <v>6597050</v>
      </c>
      <c r="M164" s="56">
        <v>31968</v>
      </c>
      <c r="N164" s="1" t="s">
        <v>416</v>
      </c>
      <c r="O164" s="63">
        <v>37</v>
      </c>
      <c r="P164" s="1" t="s">
        <v>1054</v>
      </c>
      <c r="Q164" s="1" t="s">
        <v>1055</v>
      </c>
      <c r="R164" s="1" t="s">
        <v>1056</v>
      </c>
      <c r="S164" s="1" t="s">
        <v>1057</v>
      </c>
      <c r="T164" s="1" t="s">
        <v>25</v>
      </c>
      <c r="U164" s="1" t="s">
        <v>403</v>
      </c>
      <c r="V164" s="1">
        <v>2002505508</v>
      </c>
      <c r="W164" s="1">
        <v>4806938</v>
      </c>
      <c r="X164" s="1" t="s">
        <v>1058</v>
      </c>
      <c r="Z164" s="1" t="s">
        <v>1059</v>
      </c>
      <c r="AA164" s="1">
        <v>724144987</v>
      </c>
      <c r="AB164" s="1" t="s">
        <v>1060</v>
      </c>
      <c r="AC164" s="1" t="s">
        <v>427</v>
      </c>
    </row>
    <row r="165" spans="1:30" x14ac:dyDescent="0.2">
      <c r="A165" s="5">
        <v>163</v>
      </c>
      <c r="B165" s="4">
        <v>241550</v>
      </c>
      <c r="C165" s="4" t="s">
        <v>176</v>
      </c>
      <c r="D165" s="4" t="s">
        <v>139</v>
      </c>
      <c r="E165" s="4" t="s">
        <v>25</v>
      </c>
      <c r="F165" s="4"/>
      <c r="G165" s="4" t="s">
        <v>259</v>
      </c>
      <c r="H165" s="1" t="s">
        <v>258</v>
      </c>
      <c r="I165" s="1">
        <v>32487813</v>
      </c>
      <c r="J165" s="56">
        <v>44206</v>
      </c>
      <c r="K165" s="1">
        <v>710379545</v>
      </c>
      <c r="L165" s="1">
        <v>5973165</v>
      </c>
      <c r="M165" s="56">
        <v>34523</v>
      </c>
      <c r="N165" s="1" t="s">
        <v>294</v>
      </c>
      <c r="O165" s="63">
        <v>3</v>
      </c>
      <c r="P165" s="1" t="s">
        <v>845</v>
      </c>
      <c r="Q165" s="1" t="s">
        <v>845</v>
      </c>
      <c r="R165" s="1" t="s">
        <v>846</v>
      </c>
      <c r="S165" s="1" t="s">
        <v>846</v>
      </c>
      <c r="T165" s="1" t="s">
        <v>25</v>
      </c>
      <c r="U165" s="1" t="s">
        <v>403</v>
      </c>
      <c r="V165" s="1">
        <v>2019367659</v>
      </c>
      <c r="W165" s="1">
        <v>14252767</v>
      </c>
      <c r="X165" s="1" t="s">
        <v>847</v>
      </c>
      <c r="Y165" s="1" t="s">
        <v>848</v>
      </c>
      <c r="Z165" s="1" t="s">
        <v>849</v>
      </c>
      <c r="AA165" s="1">
        <v>726124270</v>
      </c>
      <c r="AB165" s="1" t="s">
        <v>407</v>
      </c>
      <c r="AC165" s="1" t="s">
        <v>304</v>
      </c>
      <c r="AD165" s="1" t="s">
        <v>304</v>
      </c>
    </row>
    <row r="166" spans="1:30" x14ac:dyDescent="0.2">
      <c r="A166" s="5">
        <v>164</v>
      </c>
      <c r="B166" s="4">
        <v>241558</v>
      </c>
      <c r="C166" s="4" t="s">
        <v>177</v>
      </c>
      <c r="D166" s="4" t="s">
        <v>139</v>
      </c>
      <c r="E166" s="4" t="s">
        <v>25</v>
      </c>
      <c r="F166" s="4"/>
      <c r="G166" s="4" t="s">
        <v>259</v>
      </c>
      <c r="H166" s="1" t="s">
        <v>258</v>
      </c>
      <c r="I166" s="1">
        <v>30866902</v>
      </c>
      <c r="J166" s="56">
        <v>44205</v>
      </c>
      <c r="K166" s="1">
        <v>730040022</v>
      </c>
      <c r="L166" s="1">
        <v>487592</v>
      </c>
      <c r="M166" s="56">
        <v>34036</v>
      </c>
      <c r="N166" s="1" t="s">
        <v>528</v>
      </c>
      <c r="O166" s="63">
        <v>41</v>
      </c>
      <c r="P166" s="1" t="s">
        <v>669</v>
      </c>
      <c r="Q166" s="1" t="s">
        <v>895</v>
      </c>
      <c r="R166" s="1" t="s">
        <v>896</v>
      </c>
      <c r="S166" s="1" t="s">
        <v>1061</v>
      </c>
      <c r="T166" s="1" t="s">
        <v>25</v>
      </c>
      <c r="U166" s="1" t="s">
        <v>403</v>
      </c>
      <c r="V166" s="1">
        <v>2034532111</v>
      </c>
      <c r="W166" s="1">
        <v>15691231</v>
      </c>
      <c r="X166" s="1" t="s">
        <v>1062</v>
      </c>
      <c r="Y166" s="1">
        <v>30</v>
      </c>
      <c r="Z166" s="1" t="s">
        <v>1063</v>
      </c>
      <c r="AA166" s="1">
        <v>792199151</v>
      </c>
      <c r="AB166" s="1" t="s">
        <v>407</v>
      </c>
      <c r="AC166" s="1" t="s">
        <v>427</v>
      </c>
    </row>
    <row r="167" spans="1:30" x14ac:dyDescent="0.2">
      <c r="A167" s="5">
        <v>165</v>
      </c>
      <c r="B167" s="4">
        <v>241557</v>
      </c>
      <c r="C167" s="4" t="s">
        <v>178</v>
      </c>
      <c r="D167" s="4" t="s">
        <v>139</v>
      </c>
      <c r="E167" s="4" t="s">
        <v>25</v>
      </c>
      <c r="F167" s="4"/>
      <c r="G167" s="4" t="s">
        <v>259</v>
      </c>
      <c r="H167" s="1" t="s">
        <v>258</v>
      </c>
      <c r="I167" s="1">
        <v>11710039</v>
      </c>
      <c r="K167" s="1">
        <v>7120229040</v>
      </c>
      <c r="M167" s="56">
        <v>26852</v>
      </c>
      <c r="N167" s="1" t="s">
        <v>833</v>
      </c>
      <c r="O167" s="63">
        <v>33</v>
      </c>
      <c r="T167" s="1" t="s">
        <v>25</v>
      </c>
    </row>
    <row r="168" spans="1:30" x14ac:dyDescent="0.2">
      <c r="A168" s="5">
        <v>166</v>
      </c>
      <c r="B168" s="4">
        <v>241554</v>
      </c>
      <c r="C168" s="4" t="s">
        <v>179</v>
      </c>
      <c r="D168" s="4" t="s">
        <v>139</v>
      </c>
      <c r="E168" s="4" t="s">
        <v>25</v>
      </c>
      <c r="F168" s="4"/>
      <c r="G168" s="4" t="s">
        <v>259</v>
      </c>
      <c r="H168" s="1" t="s">
        <v>258</v>
      </c>
      <c r="I168" s="1">
        <v>35337775</v>
      </c>
      <c r="J168" s="56">
        <v>44204</v>
      </c>
      <c r="K168" s="1">
        <v>728906994</v>
      </c>
      <c r="M168" s="56">
        <v>35431</v>
      </c>
      <c r="N168" s="1" t="s">
        <v>1152</v>
      </c>
      <c r="O168" s="63">
        <v>9</v>
      </c>
      <c r="P168" s="1" t="s">
        <v>1153</v>
      </c>
      <c r="Q168" s="1" t="s">
        <v>1154</v>
      </c>
      <c r="R168" s="1" t="s">
        <v>1155</v>
      </c>
      <c r="S168" s="1" t="s">
        <v>1155</v>
      </c>
      <c r="T168" s="1" t="s">
        <v>25</v>
      </c>
      <c r="U168" s="1" t="s">
        <v>811</v>
      </c>
      <c r="V168" s="1">
        <v>2035108253</v>
      </c>
      <c r="W168" s="1">
        <v>15934209</v>
      </c>
      <c r="X168" s="1" t="s">
        <v>1156</v>
      </c>
      <c r="Y168" s="1" t="s">
        <v>1157</v>
      </c>
      <c r="Z168" s="1" t="s">
        <v>1158</v>
      </c>
      <c r="AA168" s="1">
        <v>727697630</v>
      </c>
      <c r="AB168" s="1" t="s">
        <v>597</v>
      </c>
      <c r="AC168" s="1" t="s">
        <v>326</v>
      </c>
    </row>
    <row r="169" spans="1:30" x14ac:dyDescent="0.2">
      <c r="A169" s="5">
        <v>167</v>
      </c>
      <c r="B169" s="4">
        <v>241561</v>
      </c>
      <c r="C169" s="4" t="s">
        <v>180</v>
      </c>
      <c r="D169" s="4" t="s">
        <v>139</v>
      </c>
      <c r="E169" s="4" t="s">
        <v>25</v>
      </c>
      <c r="F169" s="4"/>
      <c r="G169" s="4" t="s">
        <v>259</v>
      </c>
      <c r="H169" s="1" t="s">
        <v>259</v>
      </c>
      <c r="I169" s="1">
        <v>782066</v>
      </c>
      <c r="J169" s="56">
        <v>44205</v>
      </c>
      <c r="K169" s="1">
        <v>712221837</v>
      </c>
      <c r="L169" s="1">
        <v>311122</v>
      </c>
      <c r="M169" s="56">
        <v>35225</v>
      </c>
      <c r="N169" s="1" t="s">
        <v>315</v>
      </c>
      <c r="O169" s="63">
        <v>22</v>
      </c>
      <c r="P169" s="1" t="s">
        <v>316</v>
      </c>
      <c r="Q169" s="1" t="s">
        <v>316</v>
      </c>
      <c r="R169" s="1" t="s">
        <v>868</v>
      </c>
      <c r="S169" s="1" t="s">
        <v>869</v>
      </c>
      <c r="T169" s="1" t="s">
        <v>25</v>
      </c>
      <c r="U169" s="1" t="s">
        <v>403</v>
      </c>
      <c r="V169" s="1">
        <v>2012653863</v>
      </c>
      <c r="W169" s="1">
        <v>5356984</v>
      </c>
      <c r="X169" s="1" t="s">
        <v>870</v>
      </c>
      <c r="Y169" s="1">
        <v>613</v>
      </c>
      <c r="Z169" s="1" t="s">
        <v>871</v>
      </c>
      <c r="AA169" s="1">
        <v>741042671</v>
      </c>
      <c r="AB169" s="1" t="s">
        <v>407</v>
      </c>
      <c r="AC169" s="1" t="s">
        <v>304</v>
      </c>
      <c r="AD169" s="1" t="s">
        <v>304</v>
      </c>
    </row>
    <row r="170" spans="1:30" x14ac:dyDescent="0.2">
      <c r="A170" s="5">
        <v>168</v>
      </c>
      <c r="B170" s="4">
        <v>241578</v>
      </c>
      <c r="C170" s="4" t="s">
        <v>192</v>
      </c>
      <c r="D170" s="4" t="s">
        <v>139</v>
      </c>
      <c r="E170" s="4" t="s">
        <v>25</v>
      </c>
      <c r="F170" s="4"/>
      <c r="G170" s="4" t="s">
        <v>259</v>
      </c>
      <c r="H170" s="1" t="s">
        <v>258</v>
      </c>
      <c r="I170" s="1">
        <v>27124569</v>
      </c>
      <c r="J170" s="56">
        <v>44204</v>
      </c>
      <c r="K170" s="1">
        <v>722140489</v>
      </c>
      <c r="M170" s="56">
        <v>32143</v>
      </c>
      <c r="N170" s="1" t="s">
        <v>834</v>
      </c>
      <c r="O170" s="63">
        <v>8</v>
      </c>
      <c r="P170" s="1" t="s">
        <v>1216</v>
      </c>
      <c r="Q170" s="1" t="s">
        <v>1217</v>
      </c>
      <c r="R170" s="1" t="s">
        <v>1218</v>
      </c>
      <c r="S170" s="1" t="s">
        <v>1218</v>
      </c>
      <c r="T170" s="1" t="s">
        <v>25</v>
      </c>
      <c r="U170" s="1" t="s">
        <v>811</v>
      </c>
      <c r="V170" s="1">
        <v>705463915</v>
      </c>
      <c r="W170" s="1">
        <v>4116239</v>
      </c>
      <c r="X170" s="1" t="s">
        <v>1219</v>
      </c>
      <c r="Z170" s="1" t="s">
        <v>1220</v>
      </c>
      <c r="AA170" s="1">
        <v>713871812</v>
      </c>
      <c r="AB170" s="1" t="s">
        <v>597</v>
      </c>
      <c r="AC170" s="1" t="s">
        <v>326</v>
      </c>
    </row>
    <row r="171" spans="1:30" x14ac:dyDescent="0.2">
      <c r="A171" s="5">
        <v>169</v>
      </c>
      <c r="B171" s="4">
        <v>241664</v>
      </c>
      <c r="C171" s="4" t="s">
        <v>202</v>
      </c>
      <c r="D171" s="4" t="s">
        <v>139</v>
      </c>
      <c r="E171" s="4" t="s">
        <v>25</v>
      </c>
      <c r="F171" s="4"/>
      <c r="G171" s="4" t="s">
        <v>259</v>
      </c>
      <c r="H171" s="1" t="s">
        <v>259</v>
      </c>
      <c r="I171" s="1">
        <v>29443115</v>
      </c>
      <c r="J171" s="1" t="s">
        <v>534</v>
      </c>
      <c r="K171" s="1">
        <v>719762068</v>
      </c>
      <c r="L171" s="1">
        <v>316662</v>
      </c>
      <c r="M171" s="1" t="s">
        <v>872</v>
      </c>
      <c r="N171" s="1" t="s">
        <v>708</v>
      </c>
      <c r="O171" s="63">
        <v>34</v>
      </c>
      <c r="P171" s="1" t="s">
        <v>852</v>
      </c>
      <c r="Q171" s="1" t="s">
        <v>709</v>
      </c>
      <c r="R171" s="1" t="s">
        <v>873</v>
      </c>
      <c r="S171" s="1" t="s">
        <v>873</v>
      </c>
      <c r="T171" s="1" t="s">
        <v>25</v>
      </c>
      <c r="U171" s="1" t="s">
        <v>441</v>
      </c>
      <c r="V171" s="1">
        <v>2019442495</v>
      </c>
      <c r="W171" s="1">
        <v>7105652</v>
      </c>
      <c r="X171" s="1" t="s">
        <v>874</v>
      </c>
      <c r="Y171" s="1" t="s">
        <v>875</v>
      </c>
      <c r="Z171" s="1" t="s">
        <v>876</v>
      </c>
      <c r="AA171" s="1">
        <v>724003529</v>
      </c>
      <c r="AB171" s="1" t="s">
        <v>463</v>
      </c>
      <c r="AC171" s="1" t="s">
        <v>304</v>
      </c>
      <c r="AD171" s="1" t="s">
        <v>304</v>
      </c>
    </row>
    <row r="172" spans="1:30" x14ac:dyDescent="0.2">
      <c r="A172" s="5">
        <v>170</v>
      </c>
      <c r="B172" s="4">
        <v>241665</v>
      </c>
      <c r="C172" s="4" t="s">
        <v>208</v>
      </c>
      <c r="D172" s="4" t="s">
        <v>139</v>
      </c>
      <c r="E172" s="4" t="s">
        <v>25</v>
      </c>
      <c r="F172" s="4"/>
      <c r="G172" s="4" t="s">
        <v>259</v>
      </c>
      <c r="H172" s="1" t="s">
        <v>259</v>
      </c>
      <c r="I172" s="1">
        <v>23875841</v>
      </c>
      <c r="J172" s="1" t="s">
        <v>534</v>
      </c>
      <c r="K172" s="1">
        <v>722410018</v>
      </c>
      <c r="L172" s="1">
        <v>418901</v>
      </c>
      <c r="M172" s="1" t="s">
        <v>877</v>
      </c>
      <c r="N172" s="1" t="s">
        <v>878</v>
      </c>
      <c r="O172" s="63">
        <v>1</v>
      </c>
      <c r="P172" s="1" t="s">
        <v>879</v>
      </c>
      <c r="Q172" s="1" t="s">
        <v>880</v>
      </c>
      <c r="R172" s="1" t="s">
        <v>881</v>
      </c>
      <c r="S172" s="1" t="s">
        <v>882</v>
      </c>
      <c r="T172" s="1" t="s">
        <v>25</v>
      </c>
      <c r="U172" s="1" t="s">
        <v>441</v>
      </c>
      <c r="V172" s="1">
        <v>2036247716</v>
      </c>
      <c r="W172" s="1">
        <v>3925919</v>
      </c>
      <c r="X172" s="1" t="s">
        <v>883</v>
      </c>
      <c r="Y172" s="1" t="s">
        <v>884</v>
      </c>
      <c r="Z172" s="1" t="s">
        <v>885</v>
      </c>
      <c r="AA172" s="1">
        <v>712223303</v>
      </c>
      <c r="AB172" s="1" t="s">
        <v>463</v>
      </c>
      <c r="AC172" s="1" t="s">
        <v>304</v>
      </c>
      <c r="AD172" s="1" t="s">
        <v>304</v>
      </c>
    </row>
    <row r="173" spans="1:30" x14ac:dyDescent="0.2">
      <c r="A173" s="2"/>
      <c r="B173" s="4"/>
      <c r="C173" s="4"/>
      <c r="D173" s="4"/>
      <c r="E173" s="4"/>
      <c r="F173" s="4"/>
      <c r="G173" s="4"/>
    </row>
    <row r="174" spans="1:30" x14ac:dyDescent="0.2">
      <c r="A174" s="2"/>
      <c r="B174" s="4"/>
      <c r="C174" s="4"/>
      <c r="D174" s="40"/>
      <c r="E174" s="40"/>
      <c r="F174" s="40"/>
      <c r="G174" s="40" t="s">
        <v>1339</v>
      </c>
      <c r="H174" s="41">
        <f>COUNTIF(H3:H172,"M")</f>
        <v>104</v>
      </c>
    </row>
    <row r="175" spans="1:30" x14ac:dyDescent="0.2">
      <c r="A175" s="2"/>
      <c r="B175" s="4"/>
      <c r="C175" s="4"/>
      <c r="D175" s="40"/>
      <c r="E175" s="40"/>
      <c r="F175" s="40"/>
      <c r="G175" s="40" t="s">
        <v>1340</v>
      </c>
      <c r="H175" s="41">
        <f>COUNTIF(H3:H172,"F")</f>
        <v>66</v>
      </c>
    </row>
    <row r="176" spans="1:30" x14ac:dyDescent="0.2">
      <c r="A176" s="2"/>
      <c r="B176" s="4"/>
      <c r="C176" s="4"/>
      <c r="D176" s="40"/>
      <c r="E176" s="40"/>
      <c r="F176" s="41"/>
      <c r="G176" s="41"/>
      <c r="H176" s="41"/>
    </row>
    <row r="177" spans="1:1" x14ac:dyDescent="0.2">
      <c r="A177" s="2"/>
    </row>
    <row r="178" spans="1:1" x14ac:dyDescent="0.2">
      <c r="A178" s="2"/>
    </row>
    <row r="179" spans="1:1" x14ac:dyDescent="0.2">
      <c r="A179" s="2"/>
    </row>
    <row r="180" spans="1:1" x14ac:dyDescent="0.2">
      <c r="A180" s="2"/>
    </row>
    <row r="181" spans="1:1" x14ac:dyDescent="0.2">
      <c r="A181" s="2"/>
    </row>
    <row r="182" spans="1:1" x14ac:dyDescent="0.2">
      <c r="A182" s="2"/>
    </row>
    <row r="183" spans="1:1" x14ac:dyDescent="0.2">
      <c r="A183" s="2"/>
    </row>
  </sheetData>
  <mergeCells count="17">
    <mergeCell ref="E28:F28"/>
    <mergeCell ref="E23:F23"/>
    <mergeCell ref="E26:F26"/>
    <mergeCell ref="E25:F25"/>
    <mergeCell ref="E21:F21"/>
    <mergeCell ref="E4:F4"/>
    <mergeCell ref="E3:F3"/>
    <mergeCell ref="E2:F2"/>
    <mergeCell ref="A1:F1"/>
    <mergeCell ref="E20:F20"/>
    <mergeCell ref="E9:F9"/>
    <mergeCell ref="E19:F19"/>
    <mergeCell ref="E17:F17"/>
    <mergeCell ref="E14:F14"/>
    <mergeCell ref="E13:F13"/>
    <mergeCell ref="E12:F12"/>
    <mergeCell ref="E5:F5"/>
  </mergeCells>
  <dataValidations disablePrompts="1" count="1">
    <dataValidation allowBlank="1" showInputMessage="1" showErrorMessage="1" promptTitle="GHRIS UPN" prompt="Enter KRA Tax Pin" sqref="X18"/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Online2PDF.com</dc:creator>
  <cp:lastModifiedBy>HR &amp; ADMIN</cp:lastModifiedBy>
  <cp:lastPrinted>2023-02-16T09:26:48Z</cp:lastPrinted>
  <dcterms:created xsi:type="dcterms:W3CDTF">2021-01-18T09:29:10Z</dcterms:created>
  <dcterms:modified xsi:type="dcterms:W3CDTF">2024-09-20T09:32:33Z</dcterms:modified>
</cp:coreProperties>
</file>