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E:\DSAS\Projects\HR\"/>
    </mc:Choice>
  </mc:AlternateContent>
  <bookViews>
    <workbookView xWindow="0" yWindow="0" windowWidth="23040" windowHeight="9948"/>
  </bookViews>
  <sheets>
    <sheet name="MASTER STAFF DATA" sheetId="3" r:id="rId1"/>
    <sheet name="CASUALS" sheetId="4" r:id="rId2"/>
    <sheet name="JOB GROUPS" sheetId="11" r:id="rId3"/>
    <sheet name="CAREER GUIDELINES" sheetId="5" r:id="rId4"/>
    <sheet name="VOLUNTEERS" sheetId="6" r:id="rId5"/>
    <sheet name="RAW STAFF DATA" sheetId="7" r:id="rId6"/>
    <sheet name="FIRST APPOINTMENT DATA" sheetId="8" r:id="rId7"/>
  </sheets>
  <definedNames>
    <definedName name="_xlnm._FilterDatabase" localSheetId="0" hidden="1">'MASTER STAFF DATA'!$A$2:$BO$303</definedName>
  </definedNames>
  <calcPr calcId="152511"/>
</workbook>
</file>

<file path=xl/calcChain.xml><?xml version="1.0" encoding="utf-8"?>
<calcChain xmlns="http://schemas.openxmlformats.org/spreadsheetml/2006/main">
  <c r="D48" i="3" l="1"/>
  <c r="D49" i="3"/>
  <c r="D50" i="3"/>
  <c r="D51" i="3"/>
  <c r="D52" i="3"/>
  <c r="D53" i="3"/>
  <c r="D54" i="3"/>
  <c r="D55" i="3"/>
  <c r="D56" i="3"/>
  <c r="D57" i="3"/>
  <c r="D58" i="3"/>
  <c r="D60" i="3"/>
  <c r="D61" i="3"/>
  <c r="D62" i="3"/>
  <c r="D63" i="3"/>
  <c r="D64" i="3"/>
  <c r="D65" i="3"/>
  <c r="D66" i="3"/>
  <c r="D67" i="3"/>
  <c r="D68" i="3"/>
  <c r="D70" i="3"/>
  <c r="D71" i="3"/>
  <c r="D72" i="3"/>
  <c r="D74" i="3"/>
  <c r="D75" i="3"/>
  <c r="D76" i="3"/>
  <c r="D77" i="3"/>
  <c r="D78" i="3"/>
  <c r="D79" i="3"/>
  <c r="D80" i="3"/>
  <c r="D81" i="3"/>
  <c r="D82" i="3"/>
  <c r="D83" i="3"/>
  <c r="D84" i="3"/>
  <c r="D85" i="3"/>
  <c r="D86" i="3"/>
  <c r="D87" i="3"/>
  <c r="D88" i="3"/>
  <c r="D89" i="3"/>
  <c r="D90" i="3"/>
  <c r="D91" i="3"/>
  <c r="D92" i="3"/>
  <c r="D93" i="3"/>
  <c r="D95" i="3"/>
  <c r="D96" i="3"/>
  <c r="D97" i="3"/>
  <c r="D98" i="3"/>
  <c r="D99" i="3"/>
  <c r="D101" i="3"/>
  <c r="D102" i="3"/>
  <c r="D103" i="3"/>
  <c r="D104" i="3"/>
  <c r="D106" i="3"/>
  <c r="D107" i="3"/>
  <c r="D108" i="3"/>
  <c r="D109" i="3"/>
  <c r="D110" i="3"/>
  <c r="D111" i="3"/>
  <c r="D112"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4" i="3"/>
  <c r="D5" i="3"/>
  <c r="D6" i="3"/>
  <c r="D7" i="3"/>
  <c r="D8" i="3"/>
  <c r="D9" i="3"/>
  <c r="D10" i="3"/>
  <c r="D11" i="3"/>
  <c r="D12" i="3"/>
  <c r="D13" i="3"/>
  <c r="D14" i="3"/>
  <c r="D15"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3" i="3"/>
  <c r="F3" i="3"/>
  <c r="M275" i="3" l="1"/>
  <c r="M274" i="3"/>
  <c r="M273" i="3"/>
  <c r="M272" i="3"/>
  <c r="M271" i="3"/>
  <c r="M270" i="3"/>
  <c r="M269" i="3"/>
  <c r="M268" i="3"/>
  <c r="M267" i="3"/>
  <c r="M266" i="3"/>
  <c r="M265" i="3"/>
  <c r="M264" i="3"/>
  <c r="M263" i="3"/>
  <c r="M262" i="3"/>
  <c r="M261" i="3"/>
  <c r="M260" i="3"/>
  <c r="M259" i="3"/>
  <c r="M258" i="3"/>
  <c r="M257" i="3"/>
  <c r="M256" i="3"/>
  <c r="M255" i="3"/>
  <c r="M254" i="3"/>
  <c r="M253" i="3"/>
  <c r="M252" i="3"/>
  <c r="M251" i="3"/>
  <c r="M250" i="3"/>
  <c r="M249" i="3"/>
  <c r="M248" i="3"/>
  <c r="M247" i="3"/>
  <c r="M246" i="3"/>
  <c r="M245" i="3"/>
  <c r="M244" i="3"/>
  <c r="M243" i="3"/>
  <c r="M242" i="3"/>
  <c r="M241" i="3"/>
  <c r="M240" i="3"/>
  <c r="M239" i="3"/>
  <c r="M238" i="3"/>
  <c r="M237" i="3"/>
  <c r="M236" i="3"/>
  <c r="M235" i="3"/>
  <c r="M234" i="3"/>
  <c r="M233" i="3"/>
  <c r="M232" i="3"/>
  <c r="M231" i="3"/>
  <c r="M230" i="3"/>
  <c r="M229" i="3"/>
  <c r="M228" i="3"/>
  <c r="M227" i="3"/>
  <c r="M226" i="3"/>
  <c r="M225" i="3"/>
  <c r="M224" i="3"/>
  <c r="M223" i="3"/>
  <c r="M222" i="3"/>
  <c r="M221" i="3"/>
  <c r="M220" i="3"/>
  <c r="M219" i="3"/>
  <c r="P4" i="3"/>
  <c r="P5" i="3"/>
  <c r="P6" i="3"/>
  <c r="P7" i="3"/>
  <c r="P8" i="3"/>
  <c r="P9" i="3"/>
  <c r="P10" i="3"/>
  <c r="P11" i="3"/>
  <c r="P12" i="3"/>
  <c r="P13" i="3"/>
  <c r="P14" i="3"/>
  <c r="P15"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8" i="3"/>
  <c r="P49" i="3"/>
  <c r="P50" i="3"/>
  <c r="P51" i="3"/>
  <c r="P52" i="3"/>
  <c r="P53" i="3"/>
  <c r="P54" i="3"/>
  <c r="P55" i="3"/>
  <c r="P56" i="3"/>
  <c r="P57" i="3"/>
  <c r="P58" i="3"/>
  <c r="P60" i="3"/>
  <c r="P61" i="3"/>
  <c r="P62" i="3"/>
  <c r="P63" i="3"/>
  <c r="P64" i="3"/>
  <c r="P65" i="3"/>
  <c r="P66" i="3"/>
  <c r="P67" i="3"/>
  <c r="P68" i="3"/>
  <c r="P70" i="3"/>
  <c r="P71" i="3"/>
  <c r="P72" i="3"/>
  <c r="P74" i="3"/>
  <c r="P75" i="3"/>
  <c r="P76" i="3"/>
  <c r="P77" i="3"/>
  <c r="P78" i="3"/>
  <c r="P79" i="3"/>
  <c r="P80" i="3"/>
  <c r="P81" i="3"/>
  <c r="P82" i="3"/>
  <c r="P83" i="3"/>
  <c r="P84" i="3"/>
  <c r="P85" i="3"/>
  <c r="P86" i="3"/>
  <c r="P87" i="3"/>
  <c r="P88" i="3"/>
  <c r="P89" i="3"/>
  <c r="P90" i="3"/>
  <c r="P91" i="3"/>
  <c r="P92" i="3"/>
  <c r="P93" i="3"/>
  <c r="P95" i="3"/>
  <c r="P96" i="3"/>
  <c r="P97" i="3"/>
  <c r="P98" i="3"/>
  <c r="P99" i="3"/>
  <c r="P101" i="3"/>
  <c r="P102" i="3"/>
  <c r="P103" i="3"/>
  <c r="P104" i="3"/>
  <c r="P106" i="3"/>
  <c r="P107" i="3"/>
  <c r="P108" i="3"/>
  <c r="P109" i="3"/>
  <c r="P110" i="3"/>
  <c r="P111" i="3"/>
  <c r="P112" i="3"/>
  <c r="P114" i="3"/>
  <c r="P115" i="3"/>
  <c r="P116" i="3"/>
  <c r="P117" i="3"/>
  <c r="P118" i="3"/>
  <c r="P119" i="3"/>
  <c r="P120" i="3"/>
  <c r="P121" i="3"/>
  <c r="P122" i="3"/>
  <c r="P123" i="3"/>
  <c r="P124" i="3"/>
  <c r="P125" i="3"/>
  <c r="P126" i="3"/>
  <c r="P127" i="3"/>
  <c r="P128" i="3"/>
  <c r="P129" i="3"/>
  <c r="P130" i="3"/>
  <c r="P131" i="3"/>
  <c r="P132" i="3"/>
  <c r="P133" i="3"/>
  <c r="P134"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3" i="3"/>
  <c r="Q4" i="3"/>
  <c r="Q5" i="3"/>
  <c r="Q6" i="3"/>
  <c r="Q7" i="3"/>
  <c r="Q8" i="3"/>
  <c r="Q9" i="3"/>
  <c r="Q10" i="3"/>
  <c r="Q11" i="3"/>
  <c r="Q12" i="3"/>
  <c r="Q13" i="3"/>
  <c r="Q14" i="3"/>
  <c r="Q15" i="3"/>
  <c r="Q17" i="3"/>
  <c r="Q18" i="3"/>
  <c r="Q19" i="3"/>
  <c r="Q20" i="3"/>
  <c r="Q21" i="3"/>
  <c r="Q22" i="3"/>
  <c r="Q23" i="3"/>
  <c r="Q24" i="3"/>
  <c r="Q25" i="3"/>
  <c r="Q26" i="3"/>
  <c r="Q27" i="3"/>
  <c r="Q28" i="3"/>
  <c r="Q29" i="3"/>
  <c r="Q30" i="3"/>
  <c r="Q31" i="3"/>
  <c r="Q32" i="3"/>
  <c r="Q33" i="3"/>
  <c r="Q34" i="3"/>
  <c r="Q35" i="3"/>
  <c r="Q36" i="3"/>
  <c r="Q37" i="3"/>
  <c r="Q38" i="3"/>
  <c r="Q39" i="3"/>
  <c r="Q40" i="3"/>
  <c r="Q41" i="3"/>
  <c r="Q42" i="3"/>
  <c r="Q43" i="3"/>
  <c r="Q44" i="3"/>
  <c r="Q45" i="3"/>
  <c r="Q46" i="3"/>
  <c r="Q48" i="3"/>
  <c r="Q49" i="3"/>
  <c r="Q50" i="3"/>
  <c r="Q51" i="3"/>
  <c r="Q52" i="3"/>
  <c r="Q53" i="3"/>
  <c r="Q54" i="3"/>
  <c r="Q55" i="3"/>
  <c r="Q56" i="3"/>
  <c r="Q57" i="3"/>
  <c r="Q58" i="3"/>
  <c r="Q60" i="3"/>
  <c r="Q61" i="3"/>
  <c r="Q62" i="3"/>
  <c r="Q63" i="3"/>
  <c r="Q64" i="3"/>
  <c r="Q65" i="3"/>
  <c r="Q66" i="3"/>
  <c r="Q67" i="3"/>
  <c r="Q68" i="3"/>
  <c r="Q70" i="3"/>
  <c r="Q71" i="3"/>
  <c r="Q72" i="3"/>
  <c r="Q74" i="3"/>
  <c r="Q75" i="3"/>
  <c r="Q76" i="3"/>
  <c r="Q77" i="3"/>
  <c r="Q78" i="3"/>
  <c r="Q79" i="3"/>
  <c r="Q80" i="3"/>
  <c r="Q81" i="3"/>
  <c r="Q82" i="3"/>
  <c r="Q83" i="3"/>
  <c r="Q84" i="3"/>
  <c r="Q85" i="3"/>
  <c r="Q86" i="3"/>
  <c r="Q87" i="3"/>
  <c r="Q88" i="3"/>
  <c r="Q89" i="3"/>
  <c r="Q90" i="3"/>
  <c r="Q91" i="3"/>
  <c r="Q92" i="3"/>
  <c r="Q93" i="3"/>
  <c r="Q95" i="3"/>
  <c r="Q96" i="3"/>
  <c r="Q97" i="3"/>
  <c r="Q98" i="3"/>
  <c r="Q99" i="3"/>
  <c r="Q101" i="3"/>
  <c r="Q102" i="3"/>
  <c r="Q103" i="3"/>
  <c r="Q104" i="3"/>
  <c r="Q106" i="3"/>
  <c r="Q107" i="3"/>
  <c r="Q108" i="3"/>
  <c r="Q109" i="3"/>
  <c r="Q110" i="3"/>
  <c r="Q111" i="3"/>
  <c r="Q112" i="3"/>
  <c r="Q114" i="3"/>
  <c r="Q115" i="3"/>
  <c r="Q116" i="3"/>
  <c r="Q117" i="3"/>
  <c r="Q118" i="3"/>
  <c r="Q119" i="3"/>
  <c r="Q120" i="3"/>
  <c r="Q121" i="3"/>
  <c r="Q122" i="3"/>
  <c r="Q123" i="3"/>
  <c r="Q124" i="3"/>
  <c r="Q125" i="3"/>
  <c r="Q126" i="3"/>
  <c r="Q127" i="3"/>
  <c r="Q128" i="3"/>
  <c r="Q129" i="3"/>
  <c r="Q130" i="3"/>
  <c r="Q131" i="3"/>
  <c r="Q132" i="3"/>
  <c r="Q133" i="3"/>
  <c r="Q134" i="3"/>
  <c r="Q136" i="3"/>
  <c r="Q137" i="3"/>
  <c r="Q138" i="3"/>
  <c r="Q139" i="3"/>
  <c r="Q140" i="3"/>
  <c r="Q141" i="3"/>
  <c r="Q142" i="3"/>
  <c r="Q143" i="3"/>
  <c r="Q144" i="3"/>
  <c r="Q145" i="3"/>
  <c r="Q146" i="3"/>
  <c r="Q147" i="3"/>
  <c r="Q148" i="3"/>
  <c r="Q149" i="3"/>
  <c r="Q150" i="3"/>
  <c r="Q151" i="3"/>
  <c r="Q152" i="3"/>
  <c r="Q153" i="3"/>
  <c r="Q154" i="3"/>
  <c r="Q155" i="3"/>
  <c r="Q156" i="3"/>
  <c r="Q157" i="3"/>
  <c r="Q158" i="3"/>
  <c r="Q159" i="3"/>
  <c r="Q160" i="3"/>
  <c r="Q161" i="3"/>
  <c r="Q162" i="3"/>
  <c r="Q163" i="3"/>
  <c r="Q164" i="3"/>
  <c r="Q165" i="3"/>
  <c r="Q166" i="3"/>
  <c r="Q167" i="3"/>
  <c r="Q168" i="3"/>
  <c r="Q169" i="3"/>
  <c r="Q170" i="3"/>
  <c r="Q171" i="3"/>
  <c r="Q172" i="3"/>
  <c r="Q173" i="3"/>
  <c r="Q174" i="3"/>
  <c r="Q175" i="3"/>
  <c r="Q176" i="3"/>
  <c r="Q177" i="3"/>
  <c r="Q178" i="3"/>
  <c r="Q179" i="3"/>
  <c r="Q180" i="3"/>
  <c r="Q181" i="3"/>
  <c r="Q182" i="3"/>
  <c r="Q183" i="3"/>
  <c r="Q184" i="3"/>
  <c r="Q185" i="3"/>
  <c r="Q186" i="3"/>
  <c r="Q187" i="3"/>
  <c r="Q188" i="3"/>
  <c r="Q189" i="3"/>
  <c r="Q190" i="3"/>
  <c r="Q191" i="3"/>
  <c r="Q192" i="3"/>
  <c r="Q193" i="3"/>
  <c r="Q194" i="3"/>
  <c r="Q195" i="3"/>
  <c r="Q196" i="3"/>
  <c r="Q197" i="3"/>
  <c r="Q198" i="3"/>
  <c r="Q199" i="3"/>
  <c r="Q200" i="3"/>
  <c r="Q201" i="3"/>
  <c r="Q202" i="3"/>
  <c r="Q203" i="3"/>
  <c r="Q204" i="3"/>
  <c r="Q205" i="3"/>
  <c r="Q206" i="3"/>
  <c r="Q207" i="3"/>
  <c r="Q208" i="3"/>
  <c r="Q209" i="3"/>
  <c r="Q210" i="3"/>
  <c r="Q211" i="3"/>
  <c r="Q212" i="3"/>
  <c r="Q213" i="3"/>
  <c r="Q214" i="3"/>
  <c r="Q215" i="3"/>
  <c r="Q216" i="3"/>
  <c r="Q217" i="3"/>
  <c r="Q218" i="3"/>
  <c r="Q3" i="3"/>
  <c r="F4" i="3"/>
  <c r="F5" i="3"/>
  <c r="F6" i="3"/>
  <c r="F7" i="3"/>
  <c r="F8" i="3"/>
  <c r="F9" i="3"/>
  <c r="F10" i="3"/>
  <c r="F11" i="3"/>
  <c r="F12" i="3"/>
  <c r="F13" i="3"/>
  <c r="F14" i="3"/>
  <c r="F15"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8" i="3"/>
  <c r="F49" i="3"/>
  <c r="F50" i="3"/>
  <c r="F51" i="3"/>
  <c r="F52" i="3"/>
  <c r="F53" i="3"/>
  <c r="F54" i="3"/>
  <c r="F55" i="3"/>
  <c r="F56" i="3"/>
  <c r="F57" i="3"/>
  <c r="F58" i="3"/>
  <c r="F60" i="3"/>
  <c r="F61" i="3"/>
  <c r="F62" i="3"/>
  <c r="F63" i="3"/>
  <c r="F64" i="3"/>
  <c r="F65" i="3"/>
  <c r="F66" i="3"/>
  <c r="F67" i="3"/>
  <c r="F68" i="3"/>
  <c r="F70" i="3"/>
  <c r="F71" i="3"/>
  <c r="F72" i="3"/>
  <c r="F74" i="3"/>
  <c r="F75" i="3"/>
  <c r="F76" i="3"/>
  <c r="F77" i="3"/>
  <c r="F78" i="3"/>
  <c r="F79" i="3"/>
  <c r="F80" i="3"/>
  <c r="F81" i="3"/>
  <c r="F82" i="3"/>
  <c r="F83" i="3"/>
  <c r="F84" i="3"/>
  <c r="F85" i="3"/>
  <c r="F86" i="3"/>
  <c r="F87" i="3"/>
  <c r="F88" i="3"/>
  <c r="F89" i="3"/>
  <c r="F90" i="3"/>
  <c r="F91" i="3"/>
  <c r="F92" i="3"/>
  <c r="F93" i="3"/>
  <c r="F95" i="3"/>
  <c r="F96" i="3"/>
  <c r="F97" i="3"/>
  <c r="F98" i="3"/>
  <c r="F99" i="3"/>
  <c r="F101" i="3"/>
  <c r="F102" i="3"/>
  <c r="F103" i="3"/>
  <c r="F104" i="3"/>
  <c r="F106" i="3"/>
  <c r="F107" i="3"/>
  <c r="F108" i="3"/>
  <c r="F109" i="3"/>
  <c r="F110" i="3"/>
  <c r="F111" i="3"/>
  <c r="F112" i="3"/>
  <c r="F114" i="3"/>
  <c r="F115" i="3"/>
  <c r="F116" i="3"/>
  <c r="F117" i="3"/>
  <c r="F118" i="3"/>
  <c r="F119" i="3"/>
  <c r="F120" i="3"/>
  <c r="F121" i="3"/>
  <c r="F122" i="3"/>
  <c r="F123" i="3"/>
  <c r="F124" i="3"/>
  <c r="F125" i="3"/>
  <c r="F126" i="3"/>
  <c r="F127" i="3"/>
  <c r="F128" i="3"/>
  <c r="F129" i="3"/>
  <c r="F130" i="3"/>
  <c r="F131" i="3"/>
  <c r="F132" i="3"/>
  <c r="F133" i="3"/>
  <c r="F134" i="3"/>
  <c r="F136" i="3"/>
  <c r="F137" i="3"/>
  <c r="F138" i="3"/>
  <c r="F139" i="3"/>
  <c r="F140" i="3"/>
  <c r="F141" i="3"/>
  <c r="F142" i="3"/>
  <c r="F143" i="3"/>
  <c r="F144" i="3"/>
  <c r="F145" i="3"/>
  <c r="F146" i="3"/>
  <c r="F147" i="3"/>
  <c r="F148" i="3"/>
  <c r="F149" i="3"/>
  <c r="F150" i="3"/>
  <c r="F151" i="3"/>
  <c r="F152" i="3"/>
  <c r="F153" i="3"/>
  <c r="F154" i="3"/>
  <c r="F155" i="3"/>
  <c r="F156" i="3"/>
  <c r="F157" i="3"/>
  <c r="F158" i="3"/>
  <c r="F159" i="3"/>
  <c r="F160" i="3"/>
  <c r="F161" i="3"/>
  <c r="F162" i="3"/>
  <c r="F163" i="3"/>
  <c r="F164" i="3"/>
  <c r="F165" i="3"/>
  <c r="F166" i="3"/>
  <c r="F167" i="3"/>
  <c r="F168" i="3"/>
  <c r="F169" i="3"/>
  <c r="F170" i="3"/>
  <c r="F171" i="3"/>
  <c r="F172" i="3"/>
  <c r="F173" i="3"/>
  <c r="F174" i="3"/>
  <c r="F175" i="3"/>
  <c r="F176" i="3"/>
  <c r="F177" i="3"/>
  <c r="F178" i="3"/>
  <c r="F179" i="3"/>
  <c r="F180" i="3"/>
  <c r="F181" i="3"/>
  <c r="F182" i="3"/>
  <c r="F183" i="3"/>
  <c r="F184" i="3"/>
  <c r="F185" i="3"/>
  <c r="F186" i="3"/>
  <c r="F187" i="3"/>
  <c r="F188" i="3"/>
  <c r="F189" i="3"/>
  <c r="F190" i="3"/>
  <c r="F191" i="3"/>
  <c r="F192" i="3"/>
  <c r="F193" i="3"/>
  <c r="F194" i="3"/>
  <c r="F195" i="3"/>
  <c r="F196" i="3"/>
  <c r="F197" i="3"/>
  <c r="F198" i="3"/>
  <c r="F199" i="3"/>
  <c r="F200" i="3"/>
  <c r="F201" i="3"/>
  <c r="F202" i="3"/>
  <c r="F203" i="3"/>
  <c r="F204" i="3"/>
  <c r="F205" i="3"/>
  <c r="F206" i="3"/>
  <c r="F207" i="3"/>
  <c r="F208" i="3"/>
  <c r="F209" i="3"/>
  <c r="F210" i="3"/>
  <c r="F211" i="3"/>
  <c r="F212" i="3"/>
  <c r="F213" i="3"/>
  <c r="F214" i="3"/>
  <c r="F215" i="3"/>
  <c r="F216" i="3"/>
  <c r="F217" i="3"/>
  <c r="F218" i="3"/>
  <c r="M4" i="3" l="1"/>
  <c r="M5" i="3"/>
  <c r="M6" i="3"/>
  <c r="M7" i="3"/>
  <c r="M8" i="3"/>
  <c r="M9" i="3"/>
  <c r="M10" i="3"/>
  <c r="M11" i="3"/>
  <c r="M12" i="3"/>
  <c r="M13" i="3"/>
  <c r="M14" i="3"/>
  <c r="M15"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8" i="3"/>
  <c r="M49" i="3"/>
  <c r="M50" i="3"/>
  <c r="M51" i="3"/>
  <c r="M52" i="3"/>
  <c r="M53" i="3"/>
  <c r="M54" i="3"/>
  <c r="M55" i="3"/>
  <c r="M56" i="3"/>
  <c r="M57" i="3"/>
  <c r="M58" i="3"/>
  <c r="M60" i="3"/>
  <c r="M61" i="3"/>
  <c r="M62" i="3"/>
  <c r="M63" i="3"/>
  <c r="M64" i="3"/>
  <c r="M65" i="3"/>
  <c r="M66" i="3"/>
  <c r="M67" i="3"/>
  <c r="M68" i="3"/>
  <c r="M70" i="3"/>
  <c r="M71" i="3"/>
  <c r="M72" i="3"/>
  <c r="M74" i="3"/>
  <c r="M75" i="3"/>
  <c r="M76" i="3"/>
  <c r="M77" i="3"/>
  <c r="M78" i="3"/>
  <c r="M79" i="3"/>
  <c r="M80" i="3"/>
  <c r="M81" i="3"/>
  <c r="M82" i="3"/>
  <c r="M83" i="3"/>
  <c r="M84" i="3"/>
  <c r="M85" i="3"/>
  <c r="M86" i="3"/>
  <c r="M87" i="3"/>
  <c r="M88" i="3"/>
  <c r="M89" i="3"/>
  <c r="M90" i="3"/>
  <c r="M91" i="3"/>
  <c r="M92" i="3"/>
  <c r="M93" i="3"/>
  <c r="M95" i="3"/>
  <c r="M96" i="3"/>
  <c r="M97" i="3"/>
  <c r="M98" i="3"/>
  <c r="M99" i="3"/>
  <c r="M101" i="3"/>
  <c r="M102" i="3"/>
  <c r="M103" i="3"/>
  <c r="M104" i="3"/>
  <c r="M106" i="3"/>
  <c r="M107" i="3"/>
  <c r="M108" i="3"/>
  <c r="M109" i="3"/>
  <c r="M110" i="3"/>
  <c r="M111" i="3"/>
  <c r="M112" i="3"/>
  <c r="M114" i="3"/>
  <c r="M115" i="3"/>
  <c r="M116" i="3"/>
  <c r="M117" i="3"/>
  <c r="M118" i="3"/>
  <c r="M119" i="3"/>
  <c r="M120" i="3"/>
  <c r="M121" i="3"/>
  <c r="M122" i="3"/>
  <c r="M123" i="3"/>
  <c r="M124" i="3"/>
  <c r="M125" i="3"/>
  <c r="M126" i="3"/>
  <c r="M127" i="3"/>
  <c r="M128" i="3"/>
  <c r="M129" i="3"/>
  <c r="M130" i="3"/>
  <c r="M131" i="3"/>
  <c r="M132" i="3"/>
  <c r="M133" i="3"/>
  <c r="M134"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3" i="3"/>
  <c r="N200" i="7" l="1"/>
  <c r="N199" i="7"/>
  <c r="N198" i="7"/>
  <c r="N197" i="7"/>
  <c r="N196" i="7"/>
  <c r="N195" i="7"/>
  <c r="N194" i="7"/>
  <c r="N193" i="7"/>
  <c r="N192" i="7"/>
  <c r="N191" i="7"/>
  <c r="N190" i="7"/>
  <c r="N189" i="7"/>
  <c r="N188" i="7"/>
  <c r="N187" i="7"/>
  <c r="N186" i="7"/>
  <c r="N185" i="7"/>
  <c r="N184" i="7"/>
  <c r="N183" i="7"/>
  <c r="N182" i="7"/>
  <c r="N181" i="7"/>
  <c r="N180" i="7"/>
  <c r="N179" i="7"/>
  <c r="N178" i="7"/>
  <c r="N177" i="7"/>
  <c r="N176" i="7"/>
  <c r="N175" i="7"/>
  <c r="N174" i="7"/>
  <c r="N173" i="7"/>
  <c r="N172" i="7"/>
  <c r="N171" i="7"/>
  <c r="N170" i="7"/>
  <c r="N169" i="7"/>
  <c r="N168" i="7"/>
  <c r="N167" i="7"/>
  <c r="N166" i="7"/>
  <c r="N165" i="7"/>
  <c r="N164" i="7"/>
  <c r="N163" i="7"/>
  <c r="N162" i="7"/>
  <c r="N161" i="7"/>
  <c r="N160" i="7"/>
  <c r="N159" i="7"/>
  <c r="N158" i="7"/>
  <c r="N157" i="7"/>
  <c r="N156" i="7"/>
  <c r="N155" i="7"/>
  <c r="N154" i="7"/>
  <c r="N153" i="7"/>
  <c r="N152" i="7"/>
  <c r="N151" i="7"/>
  <c r="N150" i="7"/>
  <c r="N149" i="7"/>
  <c r="N148" i="7"/>
  <c r="N147" i="7"/>
  <c r="N146" i="7"/>
  <c r="N145" i="7"/>
  <c r="N144" i="7"/>
  <c r="N143" i="7"/>
  <c r="N142" i="7"/>
  <c r="N141" i="7"/>
  <c r="N140" i="7"/>
  <c r="N139" i="7"/>
  <c r="N138" i="7"/>
  <c r="N137" i="7"/>
  <c r="N136" i="7"/>
  <c r="N135" i="7"/>
  <c r="N134" i="7"/>
  <c r="N133" i="7"/>
  <c r="N132" i="7"/>
  <c r="N131" i="7"/>
  <c r="N130" i="7"/>
  <c r="N129" i="7"/>
  <c r="N128" i="7"/>
  <c r="N127" i="7"/>
  <c r="N126" i="7"/>
  <c r="N125" i="7"/>
  <c r="N124" i="7"/>
  <c r="N123" i="7"/>
  <c r="N122" i="7"/>
  <c r="N121" i="7"/>
  <c r="N120" i="7"/>
  <c r="N119" i="7"/>
  <c r="N118" i="7"/>
  <c r="N117" i="7"/>
  <c r="N116" i="7"/>
  <c r="N115" i="7"/>
  <c r="N114" i="7"/>
  <c r="N113" i="7"/>
  <c r="N112" i="7"/>
  <c r="N111" i="7"/>
  <c r="N110" i="7"/>
  <c r="N109" i="7"/>
  <c r="N108" i="7"/>
  <c r="N107" i="7"/>
  <c r="N106" i="7"/>
  <c r="N105" i="7"/>
  <c r="N104" i="7"/>
  <c r="N103" i="7"/>
  <c r="N102" i="7"/>
  <c r="N101" i="7"/>
  <c r="N100" i="7"/>
  <c r="N99" i="7"/>
  <c r="N98" i="7"/>
  <c r="N97" i="7"/>
  <c r="N96" i="7"/>
  <c r="N95" i="7"/>
  <c r="N94" i="7"/>
  <c r="N93" i="7"/>
  <c r="N92" i="7"/>
  <c r="N91" i="7"/>
  <c r="N90" i="7"/>
  <c r="N89" i="7"/>
  <c r="N88" i="7"/>
  <c r="N87" i="7"/>
  <c r="N86" i="7"/>
  <c r="N85" i="7"/>
  <c r="N84" i="7"/>
  <c r="N83" i="7"/>
  <c r="N82" i="7"/>
  <c r="N81" i="7"/>
  <c r="N80" i="7"/>
  <c r="N79" i="7"/>
  <c r="N78" i="7"/>
  <c r="N77" i="7"/>
  <c r="N76" i="7"/>
  <c r="N75" i="7"/>
  <c r="N74" i="7"/>
  <c r="N73" i="7"/>
  <c r="N72" i="7"/>
  <c r="N71" i="7"/>
  <c r="N70" i="7"/>
  <c r="N69" i="7"/>
  <c r="N68" i="7"/>
  <c r="N67" i="7"/>
  <c r="N66" i="7"/>
  <c r="N65" i="7"/>
  <c r="N64" i="7"/>
  <c r="N63" i="7"/>
  <c r="N62" i="7"/>
  <c r="N61" i="7"/>
  <c r="N60" i="7"/>
  <c r="N59" i="7"/>
  <c r="N58" i="7"/>
  <c r="N57" i="7"/>
  <c r="N56" i="7"/>
  <c r="N55" i="7"/>
  <c r="N54" i="7"/>
  <c r="N53" i="7"/>
  <c r="N52" i="7"/>
  <c r="N51" i="7"/>
  <c r="N50" i="7"/>
  <c r="N49" i="7"/>
  <c r="N48" i="7"/>
  <c r="N47" i="7"/>
  <c r="N46" i="7"/>
  <c r="N45" i="7"/>
  <c r="N44" i="7"/>
  <c r="N43" i="7"/>
  <c r="N42" i="7"/>
  <c r="N41" i="7"/>
  <c r="N40" i="7"/>
  <c r="N39" i="7"/>
  <c r="N38" i="7"/>
  <c r="N37" i="7"/>
  <c r="N36" i="7"/>
  <c r="N35" i="7"/>
  <c r="N34" i="7"/>
  <c r="N33" i="7"/>
  <c r="N32" i="7"/>
  <c r="N31" i="7"/>
  <c r="N30" i="7"/>
  <c r="N29" i="7"/>
  <c r="N28" i="7"/>
  <c r="N27" i="7"/>
  <c r="N26" i="7"/>
  <c r="N25" i="7"/>
  <c r="N24" i="7"/>
  <c r="N23" i="7"/>
  <c r="N22" i="7"/>
  <c r="N21" i="7"/>
  <c r="N20" i="7"/>
  <c r="N19" i="7"/>
  <c r="N18" i="7"/>
  <c r="N17" i="7"/>
  <c r="N16" i="7"/>
  <c r="N15" i="7"/>
  <c r="N14" i="7"/>
  <c r="N13" i="7"/>
  <c r="N12" i="7"/>
  <c r="N11" i="7"/>
  <c r="N10" i="7"/>
  <c r="N9" i="7"/>
  <c r="N8" i="7"/>
  <c r="N7" i="7"/>
  <c r="N6" i="7"/>
  <c r="N5" i="7"/>
  <c r="N4" i="7"/>
  <c r="N3" i="7"/>
</calcChain>
</file>

<file path=xl/sharedStrings.xml><?xml version="1.0" encoding="utf-8"?>
<sst xmlns="http://schemas.openxmlformats.org/spreadsheetml/2006/main" count="6042" uniqueCount="1441">
  <si>
    <t>PF NO.</t>
  </si>
  <si>
    <t>CURRENT DESIGNATION</t>
  </si>
  <si>
    <t>CURRENT BASIC SALARY</t>
  </si>
  <si>
    <t>NEW DESIGNATION</t>
  </si>
  <si>
    <t>NAME</t>
  </si>
  <si>
    <t>DESIGNATION ON 1ST APPOINTMENT</t>
  </si>
  <si>
    <t>GRADE ON 1ST APPOINTMENT</t>
  </si>
  <si>
    <t xml:space="preserve">CURRENT GRADE </t>
  </si>
  <si>
    <t>PRINCIPLE OF CONVERSION USED FOR NEW GRADE</t>
  </si>
  <si>
    <t>NEW BASIC SALARY</t>
  </si>
  <si>
    <t>PRINCIPLE OF CONVERSION USED FOR NEW BASIC PAY</t>
  </si>
  <si>
    <t>ANY USEFUL REMARKS</t>
  </si>
  <si>
    <t>ACADEMIC &amp; PROFESSIONAL QUALIFICATIONS</t>
  </si>
  <si>
    <t>DATE OF BIRTH</t>
  </si>
  <si>
    <t>CURRENT TERMS OF EMPLOYMENT</t>
  </si>
  <si>
    <t xml:space="preserve">NEW TERMS OF APPOINTMENT </t>
  </si>
  <si>
    <t>DATE OF APPOINTMENT TO CURRENT GRADE</t>
  </si>
  <si>
    <t>PRINCIPLE OF CONVERSION USED FOR NEW DESIGNATION</t>
  </si>
  <si>
    <t>EQUIVALENT CIVIL SERVICE GRADE FOR ALLOWANCES</t>
  </si>
  <si>
    <t>Dr. Mwethera, Peter Gichuhi</t>
  </si>
  <si>
    <t>Mrs. Hassan, Hamida Adam</t>
  </si>
  <si>
    <t>Mr. Manene, Patrick Kimathi</t>
  </si>
  <si>
    <t>Ms. Ondiba, Stella Nyamorambo</t>
  </si>
  <si>
    <t>Mr. Ochien'g, Zaddock Ojall</t>
  </si>
  <si>
    <t>Mr. Owuor, John Robert</t>
  </si>
  <si>
    <t>Mr. Kioko, Prester Kitonga</t>
  </si>
  <si>
    <t>Ms. Rotich, Celestine Jepkoech</t>
  </si>
  <si>
    <t>Mrs. Muthoni, Elizabeth Ng'ang'a</t>
  </si>
  <si>
    <t>Ms. Lithira, Sabina Nkoyai</t>
  </si>
  <si>
    <t>Miss. Koech, Beatrice Chebet</t>
  </si>
  <si>
    <t>Mrs. Kassim, Kulthum Mohamed</t>
  </si>
  <si>
    <t>Miss. Opanga, Brenda Kwamboka</t>
  </si>
  <si>
    <t>Dr. Akinyi, Mercy Yvonne</t>
  </si>
  <si>
    <t>Mr. Kariuki, Kenneth Waititu</t>
  </si>
  <si>
    <t>Mr. Nashon, Wanjala Wavumbah</t>
  </si>
  <si>
    <t>Mrs. Mwadime, Janet Mghambi</t>
  </si>
  <si>
    <t>Mrs. Kavurani, Rose Owino</t>
  </si>
  <si>
    <t>Mrs. Woche, Fatuma Galgalo</t>
  </si>
  <si>
    <t>Ms. Kimiti, Priscila Wangari</t>
  </si>
  <si>
    <t>Mr. Adino, Thomas Agutu</t>
  </si>
  <si>
    <t xml:space="preserve">Ms. Jerono, Caroline </t>
  </si>
  <si>
    <t>Mr. Omondi, Hillary Ochieng</t>
  </si>
  <si>
    <t>Ms. Kigen, Daisy Jebet</t>
  </si>
  <si>
    <t>Mr. Githinji, James Ndungu</t>
  </si>
  <si>
    <t>Ms. Nzuve, Mary Ngusye</t>
  </si>
  <si>
    <t>Mr. Alembi, Jason Emmanuel</t>
  </si>
  <si>
    <t>Mr. Ngacha, James Gichuru</t>
  </si>
  <si>
    <t>Mr. Nayok, Collins Melubo</t>
  </si>
  <si>
    <t>Mr. Kiage, Walter Omaribah</t>
  </si>
  <si>
    <t>Mr. Gahoyo, Furaha Ali</t>
  </si>
  <si>
    <t>Mr. Karongo, Stephen Kinyanjui</t>
  </si>
  <si>
    <t>Mr. Loitareng, Sammy Poghon</t>
  </si>
  <si>
    <t>Dr. Mwongela, Benjamin Muuo</t>
  </si>
  <si>
    <t>Mr. Momanyi, Sam Ocharo</t>
  </si>
  <si>
    <t>Hannah Ndiko Waweru</t>
  </si>
  <si>
    <t>Collins Kivuva Kioko</t>
  </si>
  <si>
    <t>Daniel Obondi Morara</t>
  </si>
  <si>
    <t>Mr. Gichuhi, Jaffer Ibrahim</t>
  </si>
  <si>
    <t>Mr. Kengo, Isaac Nduka</t>
  </si>
  <si>
    <t>Ms. Korir, Gladys Chepkemoi</t>
  </si>
  <si>
    <t>Hillary Kadende Masiva</t>
  </si>
  <si>
    <t>Kennedy Mwangi Kamande</t>
  </si>
  <si>
    <t>Dr. Kivai, Stanslaus Mulu</t>
  </si>
  <si>
    <t>Ms. Otoli, Pauline Muranditsi</t>
  </si>
  <si>
    <t>Ms. Okero, Caroline Achieng'</t>
  </si>
  <si>
    <t>Mr. Nguli, Jonathan Ngalatu</t>
  </si>
  <si>
    <t>Mr. Maingi, Charles Kivasu</t>
  </si>
  <si>
    <t>Mr. Wambua, Tony Muisyo</t>
  </si>
  <si>
    <t>Ms. Mbugua, Joyce Wairimu</t>
  </si>
  <si>
    <t>Miss. Ruth Wambui Mburu</t>
  </si>
  <si>
    <t>Balozi Lekaso</t>
  </si>
  <si>
    <t>Paxton Kabasa Mugamangi</t>
  </si>
  <si>
    <t>Mr. Hiribae, Said Rhova</t>
  </si>
  <si>
    <t>Mr. Mohamed, Salla Daudi</t>
  </si>
  <si>
    <t>Mrs. Njogu, Esther Mukami</t>
  </si>
  <si>
    <t>Mr. Kahethu, Francis Kariuki</t>
  </si>
  <si>
    <t>Ms. Musyoka, Cecilia Ndethya</t>
  </si>
  <si>
    <t>Mr. Mwaniki, Samuel Macharia</t>
  </si>
  <si>
    <t>Sylvia mercy Abere</t>
  </si>
  <si>
    <t>Lewis Gitonga Nyaga</t>
  </si>
  <si>
    <t>Janet Wanjui Kinyua</t>
  </si>
  <si>
    <t>Mr. Nkarero, Antony Ntiita</t>
  </si>
  <si>
    <t>Mr. Kirima, Vincent Mwenda</t>
  </si>
  <si>
    <t>Mr. Sing'oei, Johnson Kiplangat</t>
  </si>
  <si>
    <t>Mr. Chai, David Chivatsi</t>
  </si>
  <si>
    <t>Dr. Oluoch, George Omondi</t>
  </si>
  <si>
    <t>Ms. Ngari, Cecilia Wairimu</t>
  </si>
  <si>
    <t>Ms. Asila, Loreta Anyanje</t>
  </si>
  <si>
    <t>Ms. Antar, Munira Said A</t>
  </si>
  <si>
    <t>Mr. Musau, Brian Mukeli</t>
  </si>
  <si>
    <t>Mr. Musalia, Miheso Hannington</t>
  </si>
  <si>
    <t xml:space="preserve">Miss. Musabyimana, Valentine </t>
  </si>
  <si>
    <t>Mr. Maalim, Hussein Abass</t>
  </si>
  <si>
    <t>Mr. Tiyo, Lawi Totana</t>
  </si>
  <si>
    <t>Miss. Saitoti, Anne Sein</t>
  </si>
  <si>
    <t>Mr. Parkurito, Stanley Leteipan</t>
  </si>
  <si>
    <t>Mr. Oluoch, Ezekiel Adino</t>
  </si>
  <si>
    <t>Mr. Kephah, Geofrey Maranga</t>
  </si>
  <si>
    <t>Ms. Mukweyi, Pamela Khasandi</t>
  </si>
  <si>
    <t>Mr.. Makuani, Dennis Kotti</t>
  </si>
  <si>
    <t>Mr. Ngage, Tonny Onyango Ouma</t>
  </si>
  <si>
    <t>Mr. Arwa, Steven Wasonga</t>
  </si>
  <si>
    <t>Mr. Micheal, Evans Kisilu</t>
  </si>
  <si>
    <t>Mrs. Ngugi, Cecilia Wangui</t>
  </si>
  <si>
    <t>Miss. Fiona Kanana Kimathi</t>
  </si>
  <si>
    <t>Mrs. Wafula, Dinah Nanjala</t>
  </si>
  <si>
    <t>Mr. Ongata, Evans NickOwuor</t>
  </si>
  <si>
    <t>Mr. Ahomo, Geoff Henderson</t>
  </si>
  <si>
    <t>Mr. Kivite, Joachim Maundu</t>
  </si>
  <si>
    <t>Mr. Abisai, Fredrick Angote</t>
  </si>
  <si>
    <t>Mr. Jillani, Edward Ngalla</t>
  </si>
  <si>
    <t>Ms. Kimani, Clare Njoki</t>
  </si>
  <si>
    <t>Dr. Ndung'u, Michael Njenga</t>
  </si>
  <si>
    <t>Mr. Katana, Gift Thoya</t>
  </si>
  <si>
    <t>Dr. Kamau, Joseph Muiruri</t>
  </si>
  <si>
    <t>Mr. Mwandime, Victor Mwaliko</t>
  </si>
  <si>
    <t>Mr. Mutura, Samson Kamawe</t>
  </si>
  <si>
    <t>Mr. Mwaura, Patrick Waweru</t>
  </si>
  <si>
    <t>Ms. Akunda, Irene Karegi</t>
  </si>
  <si>
    <t>Ms. Chege, Mary Njeri</t>
  </si>
  <si>
    <t>Ms. Daisy Karwitha</t>
  </si>
  <si>
    <t>Mr. Murage, Samuel Maina</t>
  </si>
  <si>
    <t>Mr. Adewa, Damian Okelo</t>
  </si>
  <si>
    <t>Mr. Kaitano, Simon Ashono</t>
  </si>
  <si>
    <t xml:space="preserve">Mr. Muthoka, Musembi </t>
  </si>
  <si>
    <t>Mr. Runguma, Moses Kirinya</t>
  </si>
  <si>
    <t>Mr. Kuria, Martin Muchoki</t>
  </si>
  <si>
    <t>Ms. Muiruri, Susan Wambui</t>
  </si>
  <si>
    <t>Mr. Langat, Brian Kipngetich</t>
  </si>
  <si>
    <t xml:space="preserve">Mr. Langat, Nicholas </t>
  </si>
  <si>
    <t xml:space="preserve">Mr. Itila, Smith </t>
  </si>
  <si>
    <t>Mr. Luvyu, John Kioko</t>
  </si>
  <si>
    <t>Mr. OYUGA, WILLIAM ODHIAMBO</t>
  </si>
  <si>
    <t>Mr. Lentunta, Philip Stylo</t>
  </si>
  <si>
    <t>Mr. Kikaya, Haruni Angosi</t>
  </si>
  <si>
    <t>Mr. Kago, Jackson Kamau</t>
  </si>
  <si>
    <t>Mr. Muteti, Francis Sina</t>
  </si>
  <si>
    <t>Mr. Charles, Akama Okioma</t>
  </si>
  <si>
    <t>Ms. OSORO, EDNA KERUBO</t>
  </si>
  <si>
    <t>Mr. Guracha, Halkano Mulo</t>
  </si>
  <si>
    <t xml:space="preserve">Mrs. Makena, Florence </t>
  </si>
  <si>
    <t>CAPACITY BUILDING &amp; GRANTS MANAGEMENT</t>
  </si>
  <si>
    <t>Dr. Mwangi, Danson Kareri</t>
  </si>
  <si>
    <t>Mrs. Kamanda, Cynicah Nyaboke</t>
  </si>
  <si>
    <t>Miss. Mbogori, Lucyline Kinanu</t>
  </si>
  <si>
    <t>Miss. Kivuva, Rodah Syombua</t>
  </si>
  <si>
    <t>Evodia Waithera Kijuu</t>
  </si>
  <si>
    <t>Ms. Mukuchia, Sarah Muthoni</t>
  </si>
  <si>
    <t>Ms. Middi, Joyce Akoth</t>
  </si>
  <si>
    <t>Silver Mmatsi Alukavi</t>
  </si>
  <si>
    <t>Mr. Wangui, Charles Thige</t>
  </si>
  <si>
    <t>Mr. Mburu, Kenneth Macharia</t>
  </si>
  <si>
    <t>Mrs. Opiyo, Joy Akinyi</t>
  </si>
  <si>
    <t>Ms. Abuya, Alliet Moraa</t>
  </si>
  <si>
    <t xml:space="preserve">Dr. Nyachieo, Atunga </t>
  </si>
  <si>
    <t>Dr. Obiero, Jael Apondi</t>
  </si>
  <si>
    <t>Dr. Irungu, Stella Nyamburu</t>
  </si>
  <si>
    <t>Dr. Chepkwony, Sharon Cherotich</t>
  </si>
  <si>
    <t>Dr. Juma, Almas Ramathan</t>
  </si>
  <si>
    <t>Mr. Kiulia, Nicholas Mukaria</t>
  </si>
  <si>
    <t>Mr. Kunyera, Robert Mwangi</t>
  </si>
  <si>
    <t>Ms. Hassan, Fatima Hussein</t>
  </si>
  <si>
    <t>Mr. Kariuki, Christopher Kinyanjui</t>
  </si>
  <si>
    <t>Ms. Juma, Angela Anyango</t>
  </si>
  <si>
    <t>Miss. Oreng, Purity Apiyo</t>
  </si>
  <si>
    <t>Mr. Mwaura, David Kiragu</t>
  </si>
  <si>
    <t>Arthur Israel Wafula</t>
  </si>
  <si>
    <t>Lewis Mungoma Ngalla</t>
  </si>
  <si>
    <t>Ms. Galo, Mary Ingasiani</t>
  </si>
  <si>
    <t>Mrs. Akunga, Tabitha Nyaboke</t>
  </si>
  <si>
    <t>Ms. Mutai, Ivy Jepkurui</t>
  </si>
  <si>
    <t xml:space="preserve">Mr. Nyongesa, Justus </t>
  </si>
  <si>
    <t>Kathryn Nderitu Wanjiku</t>
  </si>
  <si>
    <t>Mr. Njoroge, Peter Karanu</t>
  </si>
  <si>
    <t xml:space="preserve">Mr. Nyamweya, Justin </t>
  </si>
  <si>
    <t>Mr. Kariuki, John Mureri</t>
  </si>
  <si>
    <t>Mr. Ashanda, Garicha Mega</t>
  </si>
  <si>
    <t>Mr. Abduba, Mohamed Noor</t>
  </si>
  <si>
    <t>Mr. Nyapala, Joel Lwomba</t>
  </si>
  <si>
    <t>Mrs. Maimuna, Juma Alhamid</t>
  </si>
  <si>
    <t>Mr. Mugao, Victor Nthiga</t>
  </si>
  <si>
    <t>Mr. Obinge, Francis Oyoo</t>
  </si>
  <si>
    <t>Mr. Gitahi, Elias Mukundi</t>
  </si>
  <si>
    <t>Miss. Nyanchama, Happiness Omanwa</t>
  </si>
  <si>
    <t>Mr. Oloo, Joseoh Odwori</t>
  </si>
  <si>
    <t>Mr. Musau, Abednego Makuthi</t>
  </si>
  <si>
    <t>Dr. Ozwara, Hastings Suba</t>
  </si>
  <si>
    <t>Dr. Ochola, Lucy Atieno</t>
  </si>
  <si>
    <t>Mrs. Onditi, Faith Isdorah</t>
  </si>
  <si>
    <t>Mr. Wanjohi, Elephas Munene</t>
  </si>
  <si>
    <t>Mrs. Kagasi, Esther Ambogo</t>
  </si>
  <si>
    <t>Miss. Nyakundi, Ruth Kerubo</t>
  </si>
  <si>
    <t>Ms. Maranga, Dawn Nyawira</t>
  </si>
  <si>
    <t>Mr. Alfred, Martin Omondi</t>
  </si>
  <si>
    <t>Mr. Opiyo, Elisha Okeyo</t>
  </si>
  <si>
    <t>Ms. Kimata, Yvonne Mukami</t>
  </si>
  <si>
    <t>Rebeccah Moraa Ayako</t>
  </si>
  <si>
    <t>Mr. Collins, Otengo Ngudi</t>
  </si>
  <si>
    <t xml:space="preserve">Miss. Nyanchama, Kelly </t>
  </si>
  <si>
    <t>Mr. Khadiagala, Kelly Mwangani</t>
  </si>
  <si>
    <t>Miss. Carorylne Kerubo Uhuru</t>
  </si>
  <si>
    <t>Mr. Lekadaa Sirere Jonathan</t>
  </si>
  <si>
    <t>15/08/1974</t>
  </si>
  <si>
    <t>25/02/1975</t>
  </si>
  <si>
    <t>28/11/1976</t>
  </si>
  <si>
    <t>20/12/1971</t>
  </si>
  <si>
    <t>28/08/1973</t>
  </si>
  <si>
    <t>19/05/1997</t>
  </si>
  <si>
    <t>23/01/1999</t>
  </si>
  <si>
    <t>25/04/1992</t>
  </si>
  <si>
    <t>14/02/1991</t>
  </si>
  <si>
    <t>21/12/1975</t>
  </si>
  <si>
    <t>28/02/1997</t>
  </si>
  <si>
    <t>23/07/1969</t>
  </si>
  <si>
    <t>25/03/1981</t>
  </si>
  <si>
    <t>26/05/1975</t>
  </si>
  <si>
    <t>15/09/1976</t>
  </si>
  <si>
    <t>13/04/1976</t>
  </si>
  <si>
    <t>17/04/1969</t>
  </si>
  <si>
    <t>31/07/1995</t>
  </si>
  <si>
    <t>29/12/1993</t>
  </si>
  <si>
    <t>27/03/2000</t>
  </si>
  <si>
    <t>17/07/1968</t>
  </si>
  <si>
    <t>26/12/1988</t>
  </si>
  <si>
    <t>27/10/1992</t>
  </si>
  <si>
    <t>20/07/1985</t>
  </si>
  <si>
    <t>27/08/2001</t>
  </si>
  <si>
    <t>27/03/1999</t>
  </si>
  <si>
    <t>28/05/1988</t>
  </si>
  <si>
    <t>23/08/1984</t>
  </si>
  <si>
    <t>23/07/1999</t>
  </si>
  <si>
    <t>14/05/1998</t>
  </si>
  <si>
    <t>18/02/1993</t>
  </si>
  <si>
    <t>17/09/1985</t>
  </si>
  <si>
    <t>22/12/1989</t>
  </si>
  <si>
    <t>19/12/1984</t>
  </si>
  <si>
    <t>13/10/1992</t>
  </si>
  <si>
    <t>17/08/1991</t>
  </si>
  <si>
    <t>24/02/2000</t>
  </si>
  <si>
    <t>23/12/2002</t>
  </si>
  <si>
    <t>15/08/1990</t>
  </si>
  <si>
    <t>30/12/1967</t>
  </si>
  <si>
    <t>15/06/1966</t>
  </si>
  <si>
    <t>23/09/1981</t>
  </si>
  <si>
    <t>30/05/1988</t>
  </si>
  <si>
    <t>30/10/1974</t>
  </si>
  <si>
    <t>27/04/1974</t>
  </si>
  <si>
    <t>20/09/1989</t>
  </si>
  <si>
    <t>22/06/1992</t>
  </si>
  <si>
    <t>17/12/1998</t>
  </si>
  <si>
    <t>24/03/1989</t>
  </si>
  <si>
    <t>14/11/1989</t>
  </si>
  <si>
    <t>14/12/1982</t>
  </si>
  <si>
    <t>21/11/1975</t>
  </si>
  <si>
    <t>20/05/1979</t>
  </si>
  <si>
    <t>15/07/1984</t>
  </si>
  <si>
    <t>29/03/1977</t>
  </si>
  <si>
    <t>15/02/1985</t>
  </si>
  <si>
    <t>17/10/1988</t>
  </si>
  <si>
    <t>31/10/1991</t>
  </si>
  <si>
    <t>31/07/1980</t>
  </si>
  <si>
    <t>20/05/1977</t>
  </si>
  <si>
    <t>22/03/1977</t>
  </si>
  <si>
    <t>22/07/1988</t>
  </si>
  <si>
    <t>18/04/1976</t>
  </si>
  <si>
    <t>28/03/1968</t>
  </si>
  <si>
    <t>26/09/1984</t>
  </si>
  <si>
    <t>29/01/1988</t>
  </si>
  <si>
    <t>29/12/1980</t>
  </si>
  <si>
    <t>27/08/1983</t>
  </si>
  <si>
    <t>13/11/1987</t>
  </si>
  <si>
    <t>15/10/1982</t>
  </si>
  <si>
    <t>17/04/1995</t>
  </si>
  <si>
    <t>26/02/1993</t>
  </si>
  <si>
    <t>23/12/1966</t>
  </si>
  <si>
    <t>24/09/1966</t>
  </si>
  <si>
    <t>17/08/1994</t>
  </si>
  <si>
    <t>17/12/1986</t>
  </si>
  <si>
    <t>21/05/1981</t>
  </si>
  <si>
    <t>29/08/1979</t>
  </si>
  <si>
    <t>25/05/1981</t>
  </si>
  <si>
    <t>18/08/1974</t>
  </si>
  <si>
    <t>22/11/1975</t>
  </si>
  <si>
    <t>23/03/1991</t>
  </si>
  <si>
    <t>16/03/1967</t>
  </si>
  <si>
    <t>21/11/1982</t>
  </si>
  <si>
    <t>20/09/1966</t>
  </si>
  <si>
    <t>30/11/1969</t>
  </si>
  <si>
    <t>27/09/1975</t>
  </si>
  <si>
    <t>29/09/1989</t>
  </si>
  <si>
    <t>19/09/1988</t>
  </si>
  <si>
    <t>28/12/1996</t>
  </si>
  <si>
    <t>16/01/1980</t>
  </si>
  <si>
    <t>30/06/1997</t>
  </si>
  <si>
    <t>21/05/1992</t>
  </si>
  <si>
    <t>22/03/1998</t>
  </si>
  <si>
    <t>Senior Personal Assistant - EL - T02AN</t>
  </si>
  <si>
    <t>Administrative Officer [1] - EL - C01AN</t>
  </si>
  <si>
    <t>Human Resource Officer [1] - EL - C04AN</t>
  </si>
  <si>
    <t>Administrative Officer [3] - EL - C01AL</t>
  </si>
  <si>
    <t>Human Resource Officer [3] - EL - C04AL</t>
  </si>
  <si>
    <t>Higher Clerical Officer - EL - T03AH</t>
  </si>
  <si>
    <t>Librarian [2] - EL - M05AK</t>
  </si>
  <si>
    <t>Telephone Officer [1] - EL - M09AJ</t>
  </si>
  <si>
    <t>Telephone Officer [2] - EL - M09AH</t>
  </si>
  <si>
    <t>Office Assistant [2] - EL - T04DH</t>
  </si>
  <si>
    <t>Clerical Officer - EL - T03AG</t>
  </si>
  <si>
    <t>Senior Research Scientist [2] - ET - R01AP</t>
  </si>
  <si>
    <t>Senior Laboratory Technologist - EL - L07CM</t>
  </si>
  <si>
    <t>Veterinary Officer - EL - H04AM</t>
  </si>
  <si>
    <t>Animal Health Technologist [1] - EL - H03FL</t>
  </si>
  <si>
    <t>Assistant Research Scientist - EL - R01BL</t>
  </si>
  <si>
    <t>Senior Animal Health Assistant - EL - H03EJ</t>
  </si>
  <si>
    <t>Laboratory Technologist [3] - EL - L07CJ</t>
  </si>
  <si>
    <t>Animal Health Assistant [1] - EL - H03EH</t>
  </si>
  <si>
    <t>Laboratory Assistant [2] - EL - L07BH</t>
  </si>
  <si>
    <t>Curatorial Assistant [2] - EL - M16BH</t>
  </si>
  <si>
    <t>Animal Health Assistant [2] - EL - H03EG</t>
  </si>
  <si>
    <t>Senior Auxiliary staff - EL - T04CG</t>
  </si>
  <si>
    <t>Fellowship - EL - M16XG</t>
  </si>
  <si>
    <t>Animal Health Assistant 11</t>
  </si>
  <si>
    <t>Auxiliary staff [1] - EL - T04CF</t>
  </si>
  <si>
    <t>Animal Health Assistant [3] - EL - H03EF</t>
  </si>
  <si>
    <t>Senior Research Scientist [1] - ET - R01AQ</t>
  </si>
  <si>
    <t>Human Resource Assistant [2] - EL - C04BJ</t>
  </si>
  <si>
    <t>Principal Accountant - EL - D01AP</t>
  </si>
  <si>
    <t>Accountant [1] - EL - D01AM</t>
  </si>
  <si>
    <t>Accountant [2] - EL - D01AL</t>
  </si>
  <si>
    <t>Auditor [1] - EL - D07AL</t>
  </si>
  <si>
    <t>Accountant 11</t>
  </si>
  <si>
    <t>Information Communication Technology Officer [2] - EL - M11AL</t>
  </si>
  <si>
    <t>Information Communication Technology Assistant [2] - EL - M11BJ</t>
  </si>
  <si>
    <t>Senior Veterinary Officer - EL - H04AP</t>
  </si>
  <si>
    <t>Curatorial Assistant [3] - EL - M16BG</t>
  </si>
  <si>
    <t>Research Scientist [1] - ET - R01AN</t>
  </si>
  <si>
    <t>Laboratory Assistant [1] - EL - L07BJ</t>
  </si>
  <si>
    <t>Assistant Transport Officer - EL - U01AK</t>
  </si>
  <si>
    <t>Driver Grade [3] - EL - U01AF</t>
  </si>
  <si>
    <t>Driver Grade [2] - EL - U01AG</t>
  </si>
  <si>
    <t>Office Assistant [1] - EL - T04DJ</t>
  </si>
  <si>
    <t>Artisan [2] - EL - U03AH</t>
  </si>
  <si>
    <t>Senior Security Guard - EL - O10AG</t>
  </si>
  <si>
    <t>Information Communication Technology Officer [1] - EL - M11AM</t>
  </si>
  <si>
    <t>Research Scientist [1] - EL - R01AN</t>
  </si>
  <si>
    <t>Manager - Marketing - EL - D10AQ</t>
  </si>
  <si>
    <t>Audio Visual Media Officer [2] - EL - M06BL</t>
  </si>
  <si>
    <t>Audio Visual Media Officer</t>
  </si>
  <si>
    <t>Customer Care Assistant [1] - EL - M06DJ</t>
  </si>
  <si>
    <t>Customer Care Assistant 11</t>
  </si>
  <si>
    <t>Principal Research Scientist - EL - R01AR</t>
  </si>
  <si>
    <t>Senior Research Scientist [2] - EL - R01AP</t>
  </si>
  <si>
    <t>Research Scientist [2] - ET - R01AM</t>
  </si>
  <si>
    <t>Research Scientist [2] - EL - R01AM</t>
  </si>
  <si>
    <t>Assistant Research Scientist</t>
  </si>
  <si>
    <t>Laboratory Technologist [2] - EL - L07CK</t>
  </si>
  <si>
    <t>Fellowship</t>
  </si>
  <si>
    <t>Senior Security Officer - EL - O10AL</t>
  </si>
  <si>
    <t>Senior Security Supervisor - EL - O10AJ</t>
  </si>
  <si>
    <t>Security Guard [1] - EL - O10AF</t>
  </si>
  <si>
    <t>Human Resource Officer [2] - EL - C04AM</t>
  </si>
  <si>
    <t>Senior Procurement Officer - EL - D06AN</t>
  </si>
  <si>
    <t>Procurement Assistant [1] - EL - D06BJ</t>
  </si>
  <si>
    <t>Procurement Assistant [2] - EL - D06BH</t>
  </si>
  <si>
    <t>Chief Research Scientist - ET - R01AS</t>
  </si>
  <si>
    <t>Research Scientist 11</t>
  </si>
  <si>
    <t>NUMBER OF YEARS SERVED IN THE CURRENT DESIGNATION</t>
  </si>
  <si>
    <t>Director General - EL - C01AT</t>
  </si>
  <si>
    <t>KCSE</t>
  </si>
  <si>
    <t>Local Contract</t>
  </si>
  <si>
    <t>Permanent</t>
  </si>
  <si>
    <t>Part Time Contract</t>
  </si>
  <si>
    <t>T</t>
  </si>
  <si>
    <t>N</t>
  </si>
  <si>
    <t>Q</t>
  </si>
  <si>
    <t>M</t>
  </si>
  <si>
    <t>L</t>
  </si>
  <si>
    <t>K</t>
  </si>
  <si>
    <t>J</t>
  </si>
  <si>
    <t>H</t>
  </si>
  <si>
    <t>G</t>
  </si>
  <si>
    <t>P</t>
  </si>
  <si>
    <t>F</t>
  </si>
  <si>
    <t>R</t>
  </si>
  <si>
    <t>S</t>
  </si>
  <si>
    <t>Regular Appointment</t>
  </si>
  <si>
    <t>Temporary Appointment</t>
  </si>
  <si>
    <t>SOURCE OF PAY</t>
  </si>
  <si>
    <t>GADE 1ST APPOINTMENT</t>
  </si>
  <si>
    <t>KIP Grade</t>
  </si>
  <si>
    <t>Specific Designation</t>
  </si>
  <si>
    <t>Dept</t>
  </si>
  <si>
    <t>Academic Gate</t>
  </si>
  <si>
    <t>Publications</t>
  </si>
  <si>
    <t>Exp. (Mgmt)</t>
  </si>
  <si>
    <t>Training</t>
  </si>
  <si>
    <t>Funding</t>
  </si>
  <si>
    <t>KIP 1</t>
  </si>
  <si>
    <t>Director General / Chief Executive Officer</t>
  </si>
  <si>
    <t>DG</t>
  </si>
  <si>
    <t>PhD</t>
  </si>
  <si>
    <t>15 (10) Years</t>
  </si>
  <si>
    <t>SLDP</t>
  </si>
  <si>
    <t>KIP 2</t>
  </si>
  <si>
    <t>Director, Research and Product Development</t>
  </si>
  <si>
    <t>RPDD</t>
  </si>
  <si>
    <t>15 (5) Years</t>
  </si>
  <si>
    <t>Director, Animal Science, Welfare and Ethics</t>
  </si>
  <si>
    <t>ASWED</t>
  </si>
  <si>
    <t>Director, Capacity Building, Partnerships and Grants Management</t>
  </si>
  <si>
    <t>CBPGMD</t>
  </si>
  <si>
    <t>Director, Corporate Services</t>
  </si>
  <si>
    <t>CSD</t>
  </si>
  <si>
    <t>Masters</t>
  </si>
  <si>
    <t>Membership</t>
  </si>
  <si>
    <t xml:space="preserve">15 (5) </t>
  </si>
  <si>
    <t>N/A</t>
  </si>
  <si>
    <t>Chief Research Scientist</t>
  </si>
  <si>
    <t>CRS</t>
  </si>
  <si>
    <t>Corporation Secretary and Director Legal Services</t>
  </si>
  <si>
    <t>Legal</t>
  </si>
  <si>
    <t>Master's</t>
  </si>
  <si>
    <t xml:space="preserve">LSK, AHCK, ICS </t>
  </si>
  <si>
    <t>Director, Internal Audit, Internal Audit &amp; Risk Assurance</t>
  </si>
  <si>
    <t>Audit</t>
  </si>
  <si>
    <t>CPA-K, ICPAK</t>
  </si>
  <si>
    <t>15(5) Years</t>
  </si>
  <si>
    <t>SMC</t>
  </si>
  <si>
    <t>KIP 3</t>
  </si>
  <si>
    <t>Deputy Director, Infectious Diseases and One Health</t>
  </si>
  <si>
    <t>IDOHDD</t>
  </si>
  <si>
    <t>12 (5) Years</t>
  </si>
  <si>
    <t>Deputy Director, Reproductive Health and Biology</t>
  </si>
  <si>
    <t>RHBDD</t>
  </si>
  <si>
    <t>Deputy Director, Kenya Snakebite Research and Intervention Division</t>
  </si>
  <si>
    <t>KSRICDD</t>
  </si>
  <si>
    <t>Deputy Director, Non-Communicable Diseases</t>
  </si>
  <si>
    <t>NCDDD</t>
  </si>
  <si>
    <t>Deputy Director, Evolutionary Ecology, Conservation and Ecosystem Health Division</t>
  </si>
  <si>
    <t>EECEHDD</t>
  </si>
  <si>
    <t>Deputy Director, Veterinary Clinical and Diagnostics Services</t>
  </si>
  <si>
    <t>VCDSDD</t>
  </si>
  <si>
    <t>Deputy Director, National Laboratory Animal Breeding.</t>
  </si>
  <si>
    <t>NLABDD</t>
  </si>
  <si>
    <t>Deputy Director, Welfare and Ethics</t>
  </si>
  <si>
    <t>WEDD</t>
  </si>
  <si>
    <t>Deputy Director, Innovation, Incubation and Marketing Division</t>
  </si>
  <si>
    <t>IIMDDD</t>
  </si>
  <si>
    <t>Deputy Director, Training and Capacity Building</t>
  </si>
  <si>
    <t>TCBDD</t>
  </si>
  <si>
    <t>Deputy Director, Partnership and Grants Management</t>
  </si>
  <si>
    <t>PGMDD</t>
  </si>
  <si>
    <t>Senior Principal Research Scientist</t>
  </si>
  <si>
    <t>SPRS</t>
  </si>
  <si>
    <t>Deputy Director, Legal Services</t>
  </si>
  <si>
    <t>LSK, AHCK</t>
  </si>
  <si>
    <t>Deputy Director, Planning &amp; Strategy</t>
  </si>
  <si>
    <t>Planning</t>
  </si>
  <si>
    <t>Deputy Director, Supply Chain Management</t>
  </si>
  <si>
    <t>Procurement</t>
  </si>
  <si>
    <t>KISM</t>
  </si>
  <si>
    <t>12(5) Years</t>
  </si>
  <si>
    <t>Deputy Director, Human Resource Management and Administration</t>
  </si>
  <si>
    <t>HR</t>
  </si>
  <si>
    <t>IHRM, CHRP-K</t>
  </si>
  <si>
    <t>Deputy Director, Finance and Accounts</t>
  </si>
  <si>
    <t>Accounts&amp;Finance</t>
  </si>
  <si>
    <t>Deputy Director, Corporate Communication</t>
  </si>
  <si>
    <t>Corprate</t>
  </si>
  <si>
    <t>Deputy Director, ICT</t>
  </si>
  <si>
    <t>ICT</t>
  </si>
  <si>
    <t>CISM, CISA, MSSQL/ORACLE/MYSQL/IBM, PHP,HTML, ASP</t>
  </si>
  <si>
    <t>Deputy Director, Primate Research Resource Centre</t>
  </si>
  <si>
    <t>Library</t>
  </si>
  <si>
    <t>Deputy Director, Internal Audit &amp; Risk Assurance</t>
  </si>
  <si>
    <t>KIP 4</t>
  </si>
  <si>
    <t>Assistant Director, Research</t>
  </si>
  <si>
    <t>ADR</t>
  </si>
  <si>
    <t>10 (4) Years</t>
  </si>
  <si>
    <t>Principal Research Scientist</t>
  </si>
  <si>
    <t>PRS</t>
  </si>
  <si>
    <t>Assistant Director, Legal Services</t>
  </si>
  <si>
    <t>Assistant Director, Planning &amp; Strategy</t>
  </si>
  <si>
    <t>Assistant Director, Supply Chain Management</t>
  </si>
  <si>
    <t>Assistant Director, Human Resource Management</t>
  </si>
  <si>
    <t>Assistant Director, Administration</t>
  </si>
  <si>
    <t>Admin</t>
  </si>
  <si>
    <t>Assistant Director, Finance and Accounts</t>
  </si>
  <si>
    <t>10(4) years</t>
  </si>
  <si>
    <t>Assistant Director, Corporate Communication</t>
  </si>
  <si>
    <t>10(4) Years</t>
  </si>
  <si>
    <t>Assistant Director, ICT</t>
  </si>
  <si>
    <t>Assistant Director, Resource Centre</t>
  </si>
  <si>
    <t>Assistant Director, Internal Audit &amp; Risk Assurance</t>
  </si>
  <si>
    <t>KIP 5</t>
  </si>
  <si>
    <t>Senior Research Scientist</t>
  </si>
  <si>
    <t>SRS</t>
  </si>
  <si>
    <t>MSc</t>
  </si>
  <si>
    <t>8 (3) Years</t>
  </si>
  <si>
    <t>Principal Legal Officer</t>
  </si>
  <si>
    <t xml:space="preserve">Post Grad Dip </t>
  </si>
  <si>
    <t>Principal Planning Officer</t>
  </si>
  <si>
    <t>Principal Supply Chain Management Officer</t>
  </si>
  <si>
    <t>Supervisory</t>
  </si>
  <si>
    <t>Principal Human Resource Management Officer</t>
  </si>
  <si>
    <t>Principal Administration Officer</t>
  </si>
  <si>
    <t>Principal Accountant</t>
  </si>
  <si>
    <t>CPA-K</t>
  </si>
  <si>
    <t>Principal Corporate Communication Officer</t>
  </si>
  <si>
    <t>Bachelor's</t>
  </si>
  <si>
    <t>Principal ICT Officer</t>
  </si>
  <si>
    <t>Principal Knowledge Management Officer</t>
  </si>
  <si>
    <t>8(3) Years</t>
  </si>
  <si>
    <t>Principal Internal Auditor</t>
  </si>
  <si>
    <t>KIP 6</t>
  </si>
  <si>
    <t>Research Scientist</t>
  </si>
  <si>
    <t>RS</t>
  </si>
  <si>
    <t>BSc</t>
  </si>
  <si>
    <t>4 Years</t>
  </si>
  <si>
    <t>Computer</t>
  </si>
  <si>
    <t>Senior Legal Officer</t>
  </si>
  <si>
    <t>Supervisory cource</t>
  </si>
  <si>
    <t>Senior Planning Officer</t>
  </si>
  <si>
    <t>Senior Supply Chain Management Officer</t>
  </si>
  <si>
    <t>Senior Human Resource Management Officer</t>
  </si>
  <si>
    <t>IHRM</t>
  </si>
  <si>
    <t>4 years</t>
  </si>
  <si>
    <t>Senior Administration Officer</t>
  </si>
  <si>
    <t>Senior Accountant</t>
  </si>
  <si>
    <t>Senior Corporate Communication Officer</t>
  </si>
  <si>
    <t>Senior ICT Officer</t>
  </si>
  <si>
    <t>Surpisory</t>
  </si>
  <si>
    <t>Senior Knowledge Management Officer</t>
  </si>
  <si>
    <t>Senior Internal Auditor</t>
  </si>
  <si>
    <t>Senior Office Administrator</t>
  </si>
  <si>
    <t>OA</t>
  </si>
  <si>
    <t xml:space="preserve">Supervisory </t>
  </si>
  <si>
    <t>KIP 7</t>
  </si>
  <si>
    <t>ARS</t>
  </si>
  <si>
    <t>Entry</t>
  </si>
  <si>
    <t>Principal Laboratory Technician</t>
  </si>
  <si>
    <t>LTP</t>
  </si>
  <si>
    <t>Diploma</t>
  </si>
  <si>
    <t>KMLTTB</t>
  </si>
  <si>
    <t>8 Years</t>
  </si>
  <si>
    <t>Principal Animal Health Technician</t>
  </si>
  <si>
    <t>PAHT</t>
  </si>
  <si>
    <t>Membership vet. Board</t>
  </si>
  <si>
    <t>Principal Paralegal Officer</t>
  </si>
  <si>
    <t>Server Certificate</t>
  </si>
  <si>
    <t>Legal Officer</t>
  </si>
  <si>
    <t>Practicing Certificate</t>
  </si>
  <si>
    <t>Planning Officer</t>
  </si>
  <si>
    <t>Principal Supply Chain Management Assistant</t>
  </si>
  <si>
    <t>Supply Chain Management Officer</t>
  </si>
  <si>
    <t>Principal Human Resource Management Assistant</t>
  </si>
  <si>
    <t>Human Resource Management Officer</t>
  </si>
  <si>
    <t>Principal Administrative Assistant</t>
  </si>
  <si>
    <t>Administration Officer</t>
  </si>
  <si>
    <t>Principal Accounts Assistant</t>
  </si>
  <si>
    <t>CPA II</t>
  </si>
  <si>
    <t>Accountant</t>
  </si>
  <si>
    <t>CPA III</t>
  </si>
  <si>
    <t>Principal Customer Care Assistant</t>
  </si>
  <si>
    <t>Corporate Communication Officer</t>
  </si>
  <si>
    <t>Principal ICT Assistant</t>
  </si>
  <si>
    <t>Chapter 6</t>
  </si>
  <si>
    <t>ICT officer</t>
  </si>
  <si>
    <t>Principal Knowledge Management Assistant</t>
  </si>
  <si>
    <t>Knowledge Management Officer</t>
  </si>
  <si>
    <t>Internal Auditor</t>
  </si>
  <si>
    <t>Principal Assistants office Administrator</t>
  </si>
  <si>
    <t>Diploma or 
50 wpm, 100 wpm, BE-III/Com-II, OM-III, SD-II, Commerce-II</t>
  </si>
  <si>
    <t xml:space="preserve">PR &amp; Customer care </t>
  </si>
  <si>
    <t>Office Administrator</t>
  </si>
  <si>
    <t>Principal Technician</t>
  </si>
  <si>
    <t>Techinicians</t>
  </si>
  <si>
    <t>Merit</t>
  </si>
  <si>
    <t>KIP 8</t>
  </si>
  <si>
    <t>Senior Laboratory Technician</t>
  </si>
  <si>
    <t>LTS</t>
  </si>
  <si>
    <t>Senior Animal Health Technician</t>
  </si>
  <si>
    <t>SAHT</t>
  </si>
  <si>
    <t>Senior Paralegal Officer</t>
  </si>
  <si>
    <t>Senior Supply Chain Management Assistant</t>
  </si>
  <si>
    <t>Senior Human Resource Management Assistant</t>
  </si>
  <si>
    <t>Senior Administration Assistant</t>
  </si>
  <si>
    <t>Senior Accounts Assistant</t>
  </si>
  <si>
    <t>Senior Customer Care Assistant</t>
  </si>
  <si>
    <t>Senior ICT Assistant</t>
  </si>
  <si>
    <t>Senior Knowledge Management Assistant</t>
  </si>
  <si>
    <t>Senior Assistant Office Administrator</t>
  </si>
  <si>
    <t>Senior Technician</t>
  </si>
  <si>
    <t>KIP 9</t>
  </si>
  <si>
    <t>Laboratory Technician</t>
  </si>
  <si>
    <t>LT</t>
  </si>
  <si>
    <t>Animal Health Technician</t>
  </si>
  <si>
    <t>AHT</t>
  </si>
  <si>
    <t>Paralegal Officer</t>
  </si>
  <si>
    <t>Supply Chain Management Assistant</t>
  </si>
  <si>
    <t>Human Resource Management Assistant</t>
  </si>
  <si>
    <t>Administration Assistant</t>
  </si>
  <si>
    <t>Accounts Assistant</t>
  </si>
  <si>
    <t>Customer Care Assistant</t>
  </si>
  <si>
    <t>ICT Assistant</t>
  </si>
  <si>
    <t>Knowledge Management Assistant</t>
  </si>
  <si>
    <t>Principal Driver</t>
  </si>
  <si>
    <t>Transport</t>
  </si>
  <si>
    <t>Valid Licence, Suitability test Grade III,
 Occupational Test Grade II, Defensive Driving (KIHBT)</t>
  </si>
  <si>
    <t>12 Years</t>
  </si>
  <si>
    <t>First Aid Course, 
Curstomer Service,</t>
  </si>
  <si>
    <t>Assistant Office Administrator</t>
  </si>
  <si>
    <t>Technicians</t>
  </si>
  <si>
    <t>Principal Craftsman</t>
  </si>
  <si>
    <t>Diploma or 12(3) years as senior craft man</t>
  </si>
  <si>
    <t>Trade test I</t>
  </si>
  <si>
    <t>KIP 10</t>
  </si>
  <si>
    <t>Principal Animal Health Assistant</t>
  </si>
  <si>
    <t>PAHA</t>
  </si>
  <si>
    <t>Senior Driver</t>
  </si>
  <si>
    <t>KCSE (D+)</t>
  </si>
  <si>
    <t>Valid Licence, Suitability test Grade III,
 Occupational Test Grade II, Defensive Driving</t>
  </si>
  <si>
    <t>8 years</t>
  </si>
  <si>
    <t>First Aid Cource, 
Customer Service</t>
  </si>
  <si>
    <t>Principal Office Assistant</t>
  </si>
  <si>
    <t>Principal Artisan</t>
  </si>
  <si>
    <t>Trade Test II</t>
  </si>
  <si>
    <t>Senior Craftsman</t>
  </si>
  <si>
    <t>Trade Test III, Merit</t>
  </si>
  <si>
    <t>3 Years</t>
  </si>
  <si>
    <t>KIP 11</t>
  </si>
  <si>
    <t>Senior Animal Health Assistant</t>
  </si>
  <si>
    <t>SAHA</t>
  </si>
  <si>
    <t>Driver</t>
  </si>
  <si>
    <t>Valid Licence, Suitability test Grade III</t>
  </si>
  <si>
    <t>Entry (4 Years)</t>
  </si>
  <si>
    <t>First Aid Cource</t>
  </si>
  <si>
    <t>Senior Office Assistant</t>
  </si>
  <si>
    <t>Senior Artisan</t>
  </si>
  <si>
    <t>Craftsman</t>
  </si>
  <si>
    <t>Trade test II</t>
  </si>
  <si>
    <t>KIP 12</t>
  </si>
  <si>
    <t>Animal Health Assistant</t>
  </si>
  <si>
    <t>AHA</t>
  </si>
  <si>
    <t>Office Assistant</t>
  </si>
  <si>
    <t>Artisan</t>
  </si>
  <si>
    <t>Trade Test III</t>
  </si>
  <si>
    <t>DATE OF 1ST APPOINTMENT</t>
  </si>
  <si>
    <t>PhD in Philosophy,Master in Science,Bachelor of Science,,,KCSE,KCPE,</t>
  </si>
  <si>
    <t>,,,Diploma in HRM, Diploma PR,,KCSE,KCPE,</t>
  </si>
  <si>
    <t>,Master in Public Policy and Administration,Bachelor of Arts,Diploma in Human Resource Management,,KCSE,KCPE,IHRM, HRMPB, KSG (Strategic Leadership Development Programme, Senior Management Course)</t>
  </si>
  <si>
    <t>,Master of Arts in Human Resource ,Bachelor in Business Administration  in Resourse Management,Diploma in Business Administration,Diploma in Human Resource Management,Certificate in Business Management,Certificate in co-operative mangement,KCSE,KCPE,KSG ( Conduct of Meetings and Minute Writing, Corporate Governance)</t>
  </si>
  <si>
    <t>,,Bachelor of Arts In Human Resource,,,KCSE,KCPE,</t>
  </si>
  <si>
    <t>,,Bachelor of Business Administration,with IT(Finance Option),,,KCSE,KCPE,</t>
  </si>
  <si>
    <t>,,,,Certificate in Purchasing and Supplies Management ,KCSE,KCPE,</t>
  </si>
  <si>
    <t>,,Higher Diploma in Archives and Records  Management,,,KCSE,KCPE,</t>
  </si>
  <si>
    <t>,,,Diploma in Telephone Receptionist,,KCSE,KCPE,</t>
  </si>
  <si>
    <t>,,,,Certificate in Telephone Teceptionist and Supervision ,KCSE,KCPE,</t>
  </si>
  <si>
    <t>,,,,,KCSE,KCPE,</t>
  </si>
  <si>
    <t>,,,Diploma in Human Resource,,KCSE,KCPE,</t>
  </si>
  <si>
    <t>,,,,,,,</t>
  </si>
  <si>
    <t>Doctor of Philosophy,Master of Science in Medical physiology,Bachelor o of veterinary medicine,,,KCSE,KCPE,Certificate of Registration of a Veterinary Surgeon</t>
  </si>
  <si>
    <t>,Master of Science in Medical Microbiology,Bachelor of Science in Public Health,Diploma in Medical  Laboratory Technology,,KCSE,KCPE,</t>
  </si>
  <si>
    <t>,Master of Science in Veterinary Epidemiology and Economics.,Bachelor of veterinary medicine,,,KCSE,KCPE,Certificate of Registration of a Veterinary Surgeon</t>
  </si>
  <si>
    <t>,Master of Science of Health of Acquatic Animal Resources,Bachelor of veterinary medicine,,,KCSE,KCPE,Certificate of Registration of a Veterinary Surgeon</t>
  </si>
  <si>
    <t>,Master of Science in Molecular Biology and Bionformatics,Bachelor of Science in Medical Microbiology,Higher Diploma in Biotechnology, Diploma in Applied Biology.,Certificate in Science Laboratory Technician.,KCSE,KCPE,</t>
  </si>
  <si>
    <t>,,Bachelor of Science in Animal Science,,,KCSE,KCPE,</t>
  </si>
  <si>
    <t>,,,,Certificate in Animal Health,KCSE,KCPE,Certificate in Baboon Insertable Cardiac Monitor Project</t>
  </si>
  <si>
    <t>,,Bachelor of Science of Technology and Applied Biology,Diploma in Technology (INDUSTRIAL AND APPLIED BIOLOGY),Certificate in Medical  Laboratory  Science lab,KCSE,KCPE,</t>
  </si>
  <si>
    <t>,,Bachelor of Science of Technology in Biotechnology,Diploma in Applied Biology,,KCSE,KCPE,</t>
  </si>
  <si>
    <t>,,,Diploma in Technology (Industrial and Applied Biology,,KCSE,KCPE,</t>
  </si>
  <si>
    <t>,,,Diploma in Community Nutrition,,KCSE,KCPE,</t>
  </si>
  <si>
    <t>,,,,,KCSE,KCPE,Certificate in Baboon Insertable Cardiac Monitor Project</t>
  </si>
  <si>
    <t>,,,,Certificate in Medical Laboratory Science ,KCSE,KCPE,</t>
  </si>
  <si>
    <t>,,,,Certificate in Store Keeping,KCSE,KCPE,</t>
  </si>
  <si>
    <t>,,,,Certificate in Library Studies,KCSE,KCPE,</t>
  </si>
  <si>
    <t>,,,,Certificate in Technical Education,KCSE,KCPE,</t>
  </si>
  <si>
    <t>,,,Ordinary Diploma in Clearing,Forwarding and Shipping Procedure.,,KCSE,KCPE,</t>
  </si>
  <si>
    <t>,,,,,,KCPE,</t>
  </si>
  <si>
    <t>,,Bachelor of Veterinary Medicine,,,KCSE,KCPE,Certificate of Registration of a Veterinary Surgeon</t>
  </si>
  <si>
    <t>,,Bachelor of Science in Medical Microbiology,,,KCSE,KCPE,</t>
  </si>
  <si>
    <t>,,,,Computer Packages,Craft in Science Laboratory Technology,,,</t>
  </si>
  <si>
    <t>Doctor of Philosophy ,Masters of Science in Biology, Dryland Biodiversity,Bachelor of Science in Nutural Resources Management,,,KCSE,KCPE,</t>
  </si>
  <si>
    <t>,,Bachelor of Science in Natural Resources (Wildlife management option),,,KCSE,KCPE,</t>
  </si>
  <si>
    <t>,,,Diploma in Business Administration,,KCSE,KCPE,</t>
  </si>
  <si>
    <t>,,,Diploma Wildlife /Forestry Conservation,,KCSE,KCPE,</t>
  </si>
  <si>
    <t>,Master of Science in Biology of Conservation,Bachelor of Science( in Environmental Conservation &amp; Natural Resource Management),,,KCSE,KCPE,</t>
  </si>
  <si>
    <t>,,Bachelor Of Science,,,KCSE,KCPE,</t>
  </si>
  <si>
    <t>,,Bachelor of Science in Environmental Studies(Planning&amp;Management,,,KCSE,KCPE,</t>
  </si>
  <si>
    <t>,,Bachelor of Science in Wildlife Enterprise&amp; Management,,,KCSE,KCPE,</t>
  </si>
  <si>
    <t>,,Bachelor of Environmental Studies-Science(Enviromental Biology&amp; Health),,,KCSE,KCPE,</t>
  </si>
  <si>
    <t>,,Bachelor of Science (Conservation Biology),,,KCSE,KCPE,</t>
  </si>
  <si>
    <t>,,Bachelor of Business Management (Accounting),Diploma in Human Resource Management,,KCSE,KCPE,CPAK</t>
  </si>
  <si>
    <t>,Master of Arts in Finance,Bachelor of Arts in Commerce,,,KCSE,KCPE,</t>
  </si>
  <si>
    <t>,,,,KATC,KCSE,KCPE,</t>
  </si>
  <si>
    <t>,,Bachelor of Arts Commerce,,,KCSE,KCPE,</t>
  </si>
  <si>
    <t>,,Bachelor of Commerce (Accounting),,,KCSE,KCPE,</t>
  </si>
  <si>
    <t>,,Bachelor of Commerce (Finance),,,KCSE,KCPE,</t>
  </si>
  <si>
    <t>,,,,Certificate in Early Childhood Development,KCSE,KCPE,</t>
  </si>
  <si>
    <t>,,Bachelor of Arts in IT,Diploma In IT,,KCSE,KCPE,</t>
  </si>
  <si>
    <t>,,Bachelor of Arts in IT,,,KCSE,KCPE,</t>
  </si>
  <si>
    <t>,,,Diploma in Health  Records and Informatiom Technology,,KCSE,KCPE,</t>
  </si>
  <si>
    <t>,Master of Science in Tropical and Infectious Diseases,Bachelor of Veterinary Medicine,,,KCSE,KCPE,Certificate of Registration of A Veterinary Surgeon</t>
  </si>
  <si>
    <t>,,Bachelor of Science in Nursing,,,KCSE,KCPE,Nursing Council Of Kenya</t>
  </si>
  <si>
    <t>,,Bachelor of Science in Biostatistics,,,KCSE,KCPE,</t>
  </si>
  <si>
    <t>,Master of Science in Medical Microbiology,Bachelor of Science in Microbiology,,,KCSE,KCPE,</t>
  </si>
  <si>
    <t>,,Bachelor of Science Microbiology,,certificate in intoduction to biology ,KCSE,KCPE,</t>
  </si>
  <si>
    <t>,,,Diploma in Food Technology,Certificate in Food Technology Processing and Preservation,KCSE,KCPE,</t>
  </si>
  <si>
    <t>,,Bachelor of Science in Biology,Diploma in Modern Humanities ,,KCSE,KCPE,</t>
  </si>
  <si>
    <t>,,,,,None,None,</t>
  </si>
  <si>
    <t>,,,Diploma in Community Health Nursing,,KCSE,KCPE,Nursing Council Of Kenya</t>
  </si>
  <si>
    <t>,,Bachelor of Education in Early Childhood Education,Diploma in Early Childhood Education ,Certificate in Early Childhood Education,KCSE,KCPE,</t>
  </si>
  <si>
    <t>,,,Diploma in Tour Guide and Administration,Certificate in Tour Guiding and Administration,KCSE,KCPE,</t>
  </si>
  <si>
    <t>,,Bachelor of Science in Biotechnology,,,KCSE,KCPE,</t>
  </si>
  <si>
    <t>,,Bachelor of Science ( major Biology ) Biomedical Option,Diploma in Technology ( Biochemistry),,KCSE,KCPE,</t>
  </si>
  <si>
    <t>,,Bachelor Of Arts (Anthropology),,,KCSE,KCPE,</t>
  </si>
  <si>
    <t>,,Bachelor of Science in Statistics,,,KCSE,KCPE,</t>
  </si>
  <si>
    <t>,,Bachelor of Veterinary Medicine,,,KCSE,KCPE,</t>
  </si>
  <si>
    <t>,,,Diploma in Registered Nursing,,KCSE,KCPE,Nursing Council Of Kenya</t>
  </si>
  <si>
    <t>,,Bachelor of Science in Public Health,,,KCSE,KCPE,</t>
  </si>
  <si>
    <t>,,Bachelor of Arts in Information Studies,,,KCSE,KCPE,</t>
  </si>
  <si>
    <t>Doctor of Philosophy,Master of Arts,Bachelor of Science,,Kenya Advanced  Certification of Education,KCSE,KCPE,</t>
  </si>
  <si>
    <t>Doctor of Philosophy (Pharmacology),Masters of Science (In pharmacology and Toxicology),Bachelor of Science (Biomedical Science and Technology) Pharmacology and Physiology option,,,KCSE,KCPE,</t>
  </si>
  <si>
    <t>,Masters of Master of Philosophy,Bachelor of Science of Veterinary Medicine,,kenya Advanced Certficate of Education,KCSE,KCPE,Certificate of Registration of A Veterinary Surgeon</t>
  </si>
  <si>
    <t>,,,Diploma in Technology (Industrial and Applied Biology),,KCSE,KCPE,</t>
  </si>
  <si>
    <t>Doctor of Phillosophy ,Master of Science (In Animal Breeding and Genetics),Bachelor of Veterinary Medicine,,,KCSE,KCPE,Certificate of Registration of a Veterinary Surgeon.</t>
  </si>
  <si>
    <t>,,Bachelor of Science in Biochemisry,,,KCSE,KCPE,</t>
  </si>
  <si>
    <t>,,Bachelor of Science in Animal Production,,,KCSE,KCPE,</t>
  </si>
  <si>
    <t>,,,, Driving License,KCSE,KCPE,</t>
  </si>
  <si>
    <t>,,,,Driving License,None,KCPE,</t>
  </si>
  <si>
    <t>,,,,Certificate in Automotive Engineering , Driving License,KCSE,KCPE,</t>
  </si>
  <si>
    <t>,,,,Driving License,KCSE,KCPE,</t>
  </si>
  <si>
    <t>,,,,Driving License,None,None,</t>
  </si>
  <si>
    <t>,,,Diploma in Building and Civil Engineering,,KCSE,KCPE,</t>
  </si>
  <si>
    <t>,,,,Certificate in Masonry,None,KCPE,</t>
  </si>
  <si>
    <t>,,,,Certificate in Computer Networking Engineering,KCSE,KCPE,</t>
  </si>
  <si>
    <t>,,,,,None,KCPE,</t>
  </si>
  <si>
    <t>,,,,Driving License,KCSE ,KCPE,</t>
  </si>
  <si>
    <t>,,Bachelor of Science in Statistics and Programming,,,KCSE,KCPE,</t>
  </si>
  <si>
    <t>,,BSc in Analytical Chemistry,,,KCSE,KCPE,</t>
  </si>
  <si>
    <t>Doctor of Philosophy,Masters of Arts (Heath Social Science),Bachelor of Science (Enviromental Heath),Diploma in Enviromental Studies,,KCSE,KCPE,</t>
  </si>
  <si>
    <t>,Master of Business Administration,Finace Option,Bachelor of Arts in Commerce,Diploma in Business Management in TEP,Certificate in Public Accounts,KCSE,KCPE,ICPAK</t>
  </si>
  <si>
    <t>,Master of Arts in Enterpreneurship,Bachelor of Arts in Business Administration,,,KCSE,KCPE,Public Relations Society of Kenya certificate</t>
  </si>
  <si>
    <t>,,Bachelor of Arts Journalism and Media studies,,,KCSE,KCPE,</t>
  </si>
  <si>
    <t>,,Bachelor of Arts in Psycology &amp; Couselling,,,KCSE,KCPE,</t>
  </si>
  <si>
    <t>,,,Diplomain Business Administration,Certificate in Management,KCSE,KCPE,</t>
  </si>
  <si>
    <t>,,,Diploma in Front Office Operations &amp; Administration, House keeping and Accomodation Studies,and Intenantional Business Communications,,KCSE,KCPE,</t>
  </si>
  <si>
    <t>,,,Diploma in Business Tourism Management,,KCSE,KCPE,</t>
  </si>
  <si>
    <t>,,,,Certificate in Tours and Travel Course,KCSE,KCPE,</t>
  </si>
  <si>
    <t>,,|Bachelor Arts Journalism,,,KCSE,KCPE,</t>
  </si>
  <si>
    <t>,,Bachelor of Business information Technology,,,KCSE,KCPE,</t>
  </si>
  <si>
    <t>Doctor of Philosophy  in Biomedical Sciences,Master of Science in Molecular biology,Bachelor of Science ,,,KCSE,KCPE,KSG(Strategic Leadership Development Program, Corporate Governace)</t>
  </si>
  <si>
    <t>Doctor of Philosophy (Medical Microbiology),Master in Comparative Mammalian Physiology,Bachelor of Education (science),,,,,</t>
  </si>
  <si>
    <t>Doctor in philosophy,Master in biochemical science(medical microbiology),Bachelor of Science in  Biomedical Technology,,,KCSE,KCPE,</t>
  </si>
  <si>
    <t>Doctor of Philosophy  in Veterinary Science,Master of Science Immunilogy, Bachelor of Education (Science),,,KCSE,KCPE,</t>
  </si>
  <si>
    <t>Doctor of Phillosophy,Master of Science,Bachelor of Science (in Biomedical Technology),,,KCSE,KCPE,</t>
  </si>
  <si>
    <t>,Masters of Science in tropical and infectious disease ,Bachelor of Science in Medical laboratory Science,,,KCSE,KCPE,</t>
  </si>
  <si>
    <t>,Master of Business Administration,Bachelor of Science in Medical laboratory Science,Advanced Diploma in Medical Laboratory Science,,KCSE,KCPE,</t>
  </si>
  <si>
    <t>Doctor of Philosophy  in Bioengeneering Sciences,Master of Science in Molecular Biology,Bachelor of Science (Biomedical Science and Technology) Medical Biotechnology option.,,,KCSE,KCPE,</t>
  </si>
  <si>
    <t>,,Bachelor of Technology in Biotechnology,,,KCSE,KCPE,</t>
  </si>
  <si>
    <t>,,Bachelor of Science in Microbiology,,,KCSE,KCPE,</t>
  </si>
  <si>
    <t>,Masters of Science in Molecular Biology and Bioinformatics,Bachelor of Science in Microbiology and Biotechnology,,,KCSE,KCPE,</t>
  </si>
  <si>
    <t>,,Bachelor of Science (Molecular &amp; Cellular Biology),,,KCSE,KCPE,</t>
  </si>
  <si>
    <t>,,,Diploma in Industrial Microbiology,Certificate in Junior laboratory Technicians,KCSE,KCPE,</t>
  </si>
  <si>
    <t>,,,,Certificate in Office Practice,KCSE,KCPE,</t>
  </si>
  <si>
    <t>,,Bachelor of Science in biochemistry ,,,KCSE,KCPE,</t>
  </si>
  <si>
    <t>Doctor of Phillosophy in Biochemistry,Master of Science (BioChemistry),Bachelor of Science in biochemistry ,,,KCSE,KCPE,</t>
  </si>
  <si>
    <t>,,Advanced Diploma in Management Studies,Diploma in Business Studies, Management studies,,KCSE,KCPE,</t>
  </si>
  <si>
    <t>,,,Diploma in Security Management,,KCSE,KCPE,</t>
  </si>
  <si>
    <t>,,,,Certificate in National Youtj Service,KCSE,KCPE,</t>
  </si>
  <si>
    <t>,,Bachelorof Business Management ( Supplies and Procurement option),,,KCSE,KCPE,KISM</t>
  </si>
  <si>
    <t>,,Bachelor of Science in procurement &amp; Contract Management,Diploma in Sales Management and Marketing,,KCSE,KCPE,</t>
  </si>
  <si>
    <t>,Master of Business Administration (Human Resource Management),Higher Diploma in Human Resources management,Diploma in Leadership Studies,Advanced Diploma in Business Tech Education Programme Advanced Diploma in Business Administration,KCSE,KCPE,Certified Human Resource Professional Kenya, HRM Professionals Examination Board</t>
  </si>
  <si>
    <t>,,Bachelor of Commerce (procurement and Supply Chain Management Option),Diploma in Management - Purchase Supplies Option,Certificate in Business Management,KCSE,KCPE,</t>
  </si>
  <si>
    <t>,,,,Certificate in Purchasing and Supplies Management,KCSE,KCPE,</t>
  </si>
  <si>
    <t>,,Bachelor of Science in Procurement and Contract Management,Diploma Supply Chain Management,,KCSE,KCPE,KISM</t>
  </si>
  <si>
    <t>Doctor of Philosophy  in Biomedical Sciences,Master of Science in Zoology,Bachelor of Science Zoology,,,KCSE,KCPE,KSG ( Strategic Leadership Development Programme)</t>
  </si>
  <si>
    <t>Doctor of Philosophy  in Epidemiology,Master of Science of Philosophy,Bachelor of Science,,,KCSE,KCPE,</t>
  </si>
  <si>
    <t>Doctor of Philosophy  in Immunology and Infectious Diseases,Master of Science,Bachelor of Science (cum laude) major:Biology minor:Chemistry,,,KCSE,KCPE,</t>
  </si>
  <si>
    <t>,Master of Science in Immunology,Higher Diploma in Medical Laboratory Science,Diploma in Medical Laboratory Sciences,,KCSE,KCPE,</t>
  </si>
  <si>
    <t>,Master of Science in Medical Laboratory Sciences(Hematology and Blood Transfusion),Bachelor of Science (Medical laboratory Science),,,KCSE,KCPE,KMLTTB ( Medical laboratory Technologist)</t>
  </si>
  <si>
    <t>Doctor of Immunology and infectious diseases,Master of Science,Bachelor of Science (cum laude) major:Biology minor:Chemistry,,,KCSE,KCPE,</t>
  </si>
  <si>
    <t>,Master of Science in Biochemistry and Molecular Biology,Bachelor of Science (In Biochemistry),,,KCSE ,KCPE,</t>
  </si>
  <si>
    <t>,,Bachelor of Science (Molecular and Cellular Biology),,,KCSE ,KCPE,</t>
  </si>
  <si>
    <t>,Master of Science in Medical Virology,Bachelor of Science in Medical Laboratory Science,,,KCSE,KCPE,KMLTTB ( Medical laboratory Technologist)</t>
  </si>
  <si>
    <t>,,Bachelor of Science (Biology),,,KCSE,KCPE,</t>
  </si>
  <si>
    <t>,,,Diploma in Industrial Microbiology,Certificate in Science Laboratory Technician,KCSE,KCPE,</t>
  </si>
  <si>
    <t>,,Bachelor of Science (Hoticulture with IT),,,KCSE,KCPE,</t>
  </si>
  <si>
    <t>,,Bachelor of Science in applied Bioengineering,,,KCSE,KCPE,</t>
  </si>
  <si>
    <t>,,Bachelor of Science (Biology),,,,,</t>
  </si>
  <si>
    <t>S/No.</t>
  </si>
  <si>
    <t>Payroll Number</t>
  </si>
  <si>
    <t>Full Name</t>
  </si>
  <si>
    <t>ID Number</t>
  </si>
  <si>
    <t>Gender</t>
  </si>
  <si>
    <t>DOB</t>
  </si>
  <si>
    <t>Age</t>
  </si>
  <si>
    <t>ROD</t>
  </si>
  <si>
    <t>Age of Retirement</t>
  </si>
  <si>
    <t>Designation</t>
  </si>
  <si>
    <t>Job Group</t>
  </si>
  <si>
    <t>Employment Status</t>
  </si>
  <si>
    <t>DOE</t>
  </si>
  <si>
    <t>ADMINISTRATION &amp; HUMAN RESOURCE</t>
  </si>
  <si>
    <t xml:space="preserve">PhD </t>
  </si>
  <si>
    <t>Bachelors/Higher Diploma</t>
  </si>
  <si>
    <t>Certificate</t>
  </si>
  <si>
    <t>KCPE</t>
  </si>
  <si>
    <t>Proffesional Qualification</t>
  </si>
  <si>
    <t>01/09/2029</t>
  </si>
  <si>
    <t xml:space="preserve"> Director General - EL - C01AT</t>
  </si>
  <si>
    <t>0 - Active</t>
  </si>
  <si>
    <t>PhD in Philosophy</t>
  </si>
  <si>
    <t>Master in Science</t>
  </si>
  <si>
    <t>Bachelor of Science</t>
  </si>
  <si>
    <t>14/08/2034</t>
  </si>
  <si>
    <t>Diploma in HRM, Diploma PR</t>
  </si>
  <si>
    <t>05/04/2032</t>
  </si>
  <si>
    <t>Master in Public Policy and Administration</t>
  </si>
  <si>
    <t>Bachelor of Arts</t>
  </si>
  <si>
    <t>Diploma in Human Resource Management</t>
  </si>
  <si>
    <t>IHRM, HRMPB, KSG (Strategic Leadership Development Programme, Senior Management Course)</t>
  </si>
  <si>
    <t>05/06/2035</t>
  </si>
  <si>
    <t xml:space="preserve">Master of Arts in Human Resource </t>
  </si>
  <si>
    <t>Bachelor in Business Administration  in Resourse Management</t>
  </si>
  <si>
    <t>Diploma in Business Administration,Diploma in Human Resource Management</t>
  </si>
  <si>
    <t>Certificate in Business Management,Certificate in co-operative mangement</t>
  </si>
  <si>
    <t>KSG ( Conduct of Meetings and Minute Writing, Corporate Governance)</t>
  </si>
  <si>
    <t>31/07/2027</t>
  </si>
  <si>
    <t>Bachelor of Arts In Human Resource</t>
  </si>
  <si>
    <t>30/01/2028</t>
  </si>
  <si>
    <t>Bachelor of Business Administration,with IT(Finance Option)</t>
  </si>
  <si>
    <t>24/02/2035</t>
  </si>
  <si>
    <t xml:space="preserve">Certificate in Purchasing and Supplies Management </t>
  </si>
  <si>
    <t>27/11/2036</t>
  </si>
  <si>
    <t>Higher Diploma in Archives and Records  Management</t>
  </si>
  <si>
    <t>19/12/2031</t>
  </si>
  <si>
    <t>Diploma in Telephone Receptionist</t>
  </si>
  <si>
    <t>27/08/2033</t>
  </si>
  <si>
    <t xml:space="preserve">Certificate in Telephone Teceptionist and Supervision </t>
  </si>
  <si>
    <t>30/04/2032</t>
  </si>
  <si>
    <t>Diploma in Human Resource</t>
  </si>
  <si>
    <t>22/01/2028</t>
  </si>
  <si>
    <t>ANIMANL SCIENCE WELFARE &amp; ETHICS</t>
  </si>
  <si>
    <t>30/01/2051</t>
  </si>
  <si>
    <t>Doctor of Philosophy</t>
  </si>
  <si>
    <t>Master of Science in Medical physiology</t>
  </si>
  <si>
    <t>Bachelor o of veterinary medicine</t>
  </si>
  <si>
    <t>Certificate of Registration of a Veterinary Surgeon</t>
  </si>
  <si>
    <t>09/10/2037</t>
  </si>
  <si>
    <t>Master of Science in Medical Microbiology</t>
  </si>
  <si>
    <t>Bachelor of Science in Public Health</t>
  </si>
  <si>
    <t>Diploma in Medical  Laboratory Technology</t>
  </si>
  <si>
    <t>30/11/2027</t>
  </si>
  <si>
    <t>Master of Science in Veterinary Epidemiology and Economics.</t>
  </si>
  <si>
    <t>Bachelor of veterinary medicine</t>
  </si>
  <si>
    <t>Master of Science of Health of Acquatic Animal Resources</t>
  </si>
  <si>
    <t>20/12/2035</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</si>
  <si>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</si>
  <si>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</si>
  <si>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</si>
  <si>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</si>
  <si>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</si>
  <si>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06/07/2038</t>
  </si>
  <si>
    <t>Certificate in Animal Health</t>
  </si>
  <si>
    <t>Certificate in Baboon Insertable Cardiac Monitor Project</t>
  </si>
  <si>
    <t>22/07/2029</t>
  </si>
  <si>
    <t>Bachelor of Science of Technology and Applied Biology</t>
  </si>
  <si>
    <t>Diploma in Technology (INDUSTRIAL AND APPLIED BIOLOGY)</t>
  </si>
  <si>
    <t>Certificate in Medical  Laboratory  Science lab</t>
  </si>
  <si>
    <t>09/05/2048</t>
  </si>
  <si>
    <t>Bachelor of Science of Technology in Biotechnology</t>
  </si>
  <si>
    <t>Diploma in Applied Biology</t>
  </si>
  <si>
    <t>30/06/2025</t>
  </si>
  <si>
    <t>13/08/2015</t>
  </si>
  <si>
    <t>Diploma in Technology (Industrial and Applied Biology</t>
  </si>
  <si>
    <t>01/05/2027</t>
  </si>
  <si>
    <t>Diploma in Community Nutrition</t>
  </si>
  <si>
    <t>05/11/2029</t>
  </si>
  <si>
    <t>25/05/2035</t>
  </si>
  <si>
    <t xml:space="preserve">Certificate in Medical Laboratory Science </t>
  </si>
  <si>
    <t>04/08/2034</t>
  </si>
  <si>
    <t>Certificate in Store Keeping</t>
  </si>
  <si>
    <t>14/09/2036</t>
  </si>
  <si>
    <t>07/02/2038</t>
  </si>
  <si>
    <t>Certificate in Library Studies</t>
  </si>
  <si>
    <t>03/10/2040</t>
  </si>
  <si>
    <t>Certificate in Technical Education</t>
  </si>
  <si>
    <t>31/08/2027</t>
  </si>
  <si>
    <t>Ordinary Diploma in Clearing,Forwarding and Shipping Procedure.</t>
  </si>
  <si>
    <t>16/04/2029</t>
  </si>
  <si>
    <t>31/01/2026</t>
  </si>
  <si>
    <t>Bachelor of Veterinary Medicine</t>
  </si>
  <si>
    <t>28/02/2027</t>
  </si>
  <si>
    <t>16/07/2028</t>
  </si>
  <si>
    <t>25/12/2048</t>
  </si>
  <si>
    <t>Computer Packages,Craft in Science Laboratory Technology</t>
  </si>
  <si>
    <t>CONSERVATION &amp; ECOLOGY</t>
  </si>
  <si>
    <t>06/11/2046</t>
  </si>
  <si>
    <t xml:space="preserve">Doctor of Philosophy </t>
  </si>
  <si>
    <t>Masters of Science in Biology, Dryland Biodiversity</t>
  </si>
  <si>
    <t>Bachelor of Science in Nutural Resources Management</t>
  </si>
  <si>
    <t>31/12/2027</t>
  </si>
  <si>
    <t>Bachelor of Science in Natural Resources (Wildlife management option)</t>
  </si>
  <si>
    <t>30/06/2026</t>
  </si>
  <si>
    <t>Diploma in Business Administration</t>
  </si>
  <si>
    <t>20/05/1992</t>
  </si>
  <si>
    <t>Diploma Wildlife /Forestry Conservation</t>
  </si>
  <si>
    <t>31/12/2026</t>
  </si>
  <si>
    <t>Master of Science in Biology of Conservation</t>
  </si>
  <si>
    <t>Bachelor of Science( in Environmental Conservation &amp; Natural Resource Management)</t>
  </si>
  <si>
    <t>28/02/2026</t>
  </si>
  <si>
    <t>Bachelor Of Science</t>
  </si>
  <si>
    <t>31/12/2025</t>
  </si>
  <si>
    <t>Bachelor of Science in Environmental Studies(Planning&amp;Management</t>
  </si>
  <si>
    <t>Bachelor of Science in Wildlife Enterprise&amp; Management</t>
  </si>
  <si>
    <t>Bachelor of Environmental Studies-Science(Enviromental Biology&amp; Health)</t>
  </si>
  <si>
    <t>Bachelor of Science (Conservation Biology)</t>
  </si>
  <si>
    <t>FINANCE &amp; ACCOUNTING</t>
  </si>
  <si>
    <t>06/09/2026</t>
  </si>
  <si>
    <t>26/02/1992</t>
  </si>
  <si>
    <t>Bachelor of Business Management (Accounting)</t>
  </si>
  <si>
    <t>CPAK</t>
  </si>
  <si>
    <t>27/05/2048</t>
  </si>
  <si>
    <t>16/06/2009</t>
  </si>
  <si>
    <t>Master of Arts in Finance</t>
  </si>
  <si>
    <t>Bachelor of Arts in Commerce</t>
  </si>
  <si>
    <t>01/12/2026</t>
  </si>
  <si>
    <t>KATC</t>
  </si>
  <si>
    <t>Bachelor of Arts Commerce</t>
  </si>
  <si>
    <t>Bachelor of Commerce (Accounting)</t>
  </si>
  <si>
    <t>Bachelor of Commerce (Finance)</t>
  </si>
  <si>
    <t>31/01/2028</t>
  </si>
  <si>
    <t>20/01/2022</t>
  </si>
  <si>
    <t>Certificate in Early Childhood Development</t>
  </si>
  <si>
    <t>INFORMATION COMMUNICATION &amp; TECHNOLOGY</t>
  </si>
  <si>
    <t>Bachelor of Arts in IT</t>
  </si>
  <si>
    <t>Diploma In IT</t>
  </si>
  <si>
    <t>21/02/2022</t>
  </si>
  <si>
    <t>Diploma in Health  Records and Informatiom Technology</t>
  </si>
  <si>
    <t>KSRIC</t>
  </si>
  <si>
    <t>16/09/2045</t>
  </si>
  <si>
    <t>Master of Science in Tropical and Infectious Diseases</t>
  </si>
  <si>
    <t>Certificate of Registration of A Veterinary Surgeon</t>
  </si>
  <si>
    <t>Bachelor of Science in Nursing</t>
  </si>
  <si>
    <t>Nursing Council Of Kenya</t>
  </si>
  <si>
    <t>Bachelor of Science in Biostatistics</t>
  </si>
  <si>
    <t>02/01/2026</t>
  </si>
  <si>
    <t>Bachelor of Science in Microbiology</t>
  </si>
  <si>
    <t>31/07/2025</t>
  </si>
  <si>
    <t>Bachelor of Science Microbiology</t>
  </si>
  <si>
    <t xml:space="preserve">certificate in intoduction to biology </t>
  </si>
  <si>
    <t>14/07/2025</t>
  </si>
  <si>
    <t>Diploma in Food Technology</t>
  </si>
  <si>
    <t>Certificate in Food Technology Processing and Preservation</t>
  </si>
  <si>
    <t>Bachelor of Science in Biology</t>
  </si>
  <si>
    <t xml:space="preserve">Diploma in Modern Humanities </t>
  </si>
  <si>
    <t>27/02/2026</t>
  </si>
  <si>
    <t>None</t>
  </si>
  <si>
    <t>30/09/2025</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</si>
  <si>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</si>
  <si>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</si>
  <si>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</si>
  <si>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</si>
  <si>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</si>
  <si>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</si>
  <si>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</si>
  <si>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31/05/2026</t>
  </si>
  <si>
    <t>Bachelor of Science ( major Biology ) Biomedical Option</t>
  </si>
  <si>
    <t>Diploma in Technology ( Biochemistry)</t>
  </si>
  <si>
    <t>16/07/2024</t>
  </si>
  <si>
    <t>Bachelor Of Arts (Anthropology)</t>
  </si>
  <si>
    <t>Bachelor of Science in Statistics</t>
  </si>
  <si>
    <t>30/11/2025</t>
  </si>
  <si>
    <t>Diploma in Registered Nursing</t>
  </si>
  <si>
    <t>30/04/2026</t>
  </si>
  <si>
    <t>LIBRARY</t>
  </si>
  <si>
    <t>05/08/2048</t>
  </si>
  <si>
    <t>Bachelor of Arts in Information Studies</t>
  </si>
  <si>
    <t>25/01/2022</t>
  </si>
  <si>
    <t>29/12/2027</t>
  </si>
  <si>
    <t>NON COMMUNICABLE DISEASES</t>
  </si>
  <si>
    <t>13/06/2036</t>
  </si>
  <si>
    <t>Master of Arts</t>
  </si>
  <si>
    <t>Kenya Advanced  Certification of Education</t>
  </si>
  <si>
    <t>22/09/2051</t>
  </si>
  <si>
    <t>Doctor of Philosophy (Pharmacology)</t>
  </si>
  <si>
    <t>Masters of Science (In pharmacology and Toxicology)</t>
  </si>
  <si>
    <t>Bachelor of Science (Biomedical Science and Technology) Pharmacology and Physiology option</t>
  </si>
  <si>
    <t>02/11/2035</t>
  </si>
  <si>
    <t>Masters of Master of Philosophy</t>
  </si>
  <si>
    <t>Bachelor of Science of Veterinary Medicine</t>
  </si>
  <si>
    <t>kenya Advanced Certficate of Education</t>
  </si>
  <si>
    <t>29/05/2048</t>
  </si>
  <si>
    <t>13/12/2007</t>
  </si>
  <si>
    <t>Diploma in Technology (Industrial and Applied Biology)</t>
  </si>
  <si>
    <t>ONE HEALTH</t>
  </si>
  <si>
    <t>28/10/2044</t>
  </si>
  <si>
    <t xml:space="preserve">Doctor of Phillosophy </t>
  </si>
  <si>
    <t>Master of Science (In Animal Breeding and Genetics)</t>
  </si>
  <si>
    <t>Certificate of Registration of a Veterinary Surgeon.</t>
  </si>
  <si>
    <t>01/04/2044</t>
  </si>
  <si>
    <t>Bachelor of Science in Biochemisry</t>
  </si>
  <si>
    <t>26/04/2034</t>
  </si>
  <si>
    <t>Bachelor of Science in Animal Production</t>
  </si>
  <si>
    <t>01/04/2027</t>
  </si>
  <si>
    <t>13/04/2021</t>
  </si>
  <si>
    <t>Master of Statistics and Data science (Biostatistics)</t>
  </si>
  <si>
    <t>Bachelor of Science of Applied Statistics with Computing</t>
  </si>
  <si>
    <t>Certificate of Python Mastery, Certificate of data Structures and Algorithms, Certificate of Participate in Africa One Health Network workshop, Certificate of Trainer on Statistics for Biomedical Research, Certificate of Training on Covid -19 molecular laboratory testing</t>
  </si>
  <si>
    <t>29/02/2028</t>
  </si>
  <si>
    <t>Bachelor of Science in Microbiology  and Biotechnology</t>
  </si>
  <si>
    <t>30/09/2027</t>
  </si>
  <si>
    <t>Masters of Science in bioinformatics and Molecular Biology</t>
  </si>
  <si>
    <t>Bachelor of Science in Biochemistry and Molecular Biology</t>
  </si>
  <si>
    <t>28/02/2028</t>
  </si>
  <si>
    <t>PHYSICAL MAINTENANCE &amp; TRANSPORT</t>
  </si>
  <si>
    <t>11/12/2041</t>
  </si>
  <si>
    <t xml:space="preserve"> Driving License</t>
  </si>
  <si>
    <t>23/03/2049</t>
  </si>
  <si>
    <t>Bachelor of Management and Leadership</t>
  </si>
  <si>
    <t>31/12/2031</t>
  </si>
  <si>
    <t>Driving License</t>
  </si>
  <si>
    <t>23/01/2017</t>
  </si>
  <si>
    <t>Certificate in Automotive Engineering , Driving License</t>
  </si>
  <si>
    <t>15/02/2022</t>
  </si>
  <si>
    <t>01/02/2028</t>
  </si>
  <si>
    <t>23/01/2022</t>
  </si>
  <si>
    <t>13/12/2042</t>
  </si>
  <si>
    <t>01/07/2034</t>
  </si>
  <si>
    <t>Diploma in Building and Civil Engineering</t>
  </si>
  <si>
    <t>Certificate in Masonry</t>
  </si>
  <si>
    <t>30/11/2033</t>
  </si>
  <si>
    <t>Certificate in Computer Networking Engineering</t>
  </si>
  <si>
    <t>09/07/2027</t>
  </si>
  <si>
    <t>01/03/2038</t>
  </si>
  <si>
    <t>20/11/2035</t>
  </si>
  <si>
    <t xml:space="preserve">KCSE </t>
  </si>
  <si>
    <r>
      <rPr>
        <b/>
        <sz val="12"/>
        <color rgb="FF000000"/>
        <rFont val="Times New Roman"/>
        <family val="1"/>
      </rPr>
      <t>PLANNING &amp; STRATEGY</t>
    </r>
    <r>
      <rPr>
        <sz val="11"/>
        <color rgb="FF000000"/>
        <rFont val="Times New Roman"/>
        <family val="1"/>
      </rPr>
      <t xml:space="preserve"> </t>
    </r>
  </si>
  <si>
    <t>15/07/2020</t>
  </si>
  <si>
    <t>Bachelor of Science in Statistics and Programming</t>
  </si>
  <si>
    <t>19/05/2039</t>
  </si>
  <si>
    <t>Detached: 101 - 01/05/2024</t>
  </si>
  <si>
    <t>BSc in Analytical Chemistry</t>
  </si>
  <si>
    <t>28/03/2047</t>
  </si>
  <si>
    <t>Masters of Arts (Heath Social Science)</t>
  </si>
  <si>
    <t>Bachelor of Science (Enviromental Heath)</t>
  </si>
  <si>
    <t>Diploma in Enviromental Studies</t>
  </si>
  <si>
    <t>Master of Business Administration,Finace Option</t>
  </si>
  <si>
    <t>Diploma in Business Management in TEP</t>
  </si>
  <si>
    <t>Certificate in Public Accounts</t>
  </si>
  <si>
    <t>ICPAK</t>
  </si>
  <si>
    <t>PUBLIC RELATION &amp; MARKETING</t>
  </si>
  <si>
    <t>11/10/2035</t>
  </si>
  <si>
    <t>Master of Arts in Enterpreneurship</t>
  </si>
  <si>
    <t>Bachelor of Arts in Business Administration</t>
  </si>
  <si>
    <t>Public Relations Society of Kenya certificate</t>
  </si>
  <si>
    <t>Bachelor of Arts Journalism and Media studies</t>
  </si>
  <si>
    <t>Bachelor of Arts in Psycology &amp; Couselling</t>
  </si>
  <si>
    <t>30/07/2040</t>
  </si>
  <si>
    <t>Diplomain Business Administration</t>
  </si>
  <si>
    <t>Certificate in Management</t>
  </si>
  <si>
    <t>Diploma in Front Office Operations &amp; Administration, House keeping and Accomodation Studies,and Intenantional Business Communications</t>
  </si>
  <si>
    <t>Diploma in Business Tourism Management</t>
  </si>
  <si>
    <t>03/02/2032</t>
  </si>
  <si>
    <t>21/03/2037</t>
  </si>
  <si>
    <t>Certificate in Tours and Travel Course</t>
  </si>
  <si>
    <t>31/10/2026</t>
  </si>
  <si>
    <t>|Bachelor Arts Journalism</t>
  </si>
  <si>
    <t>31/08/2026</t>
  </si>
  <si>
    <t>Bachelor of Business information Technology</t>
  </si>
  <si>
    <t>REPRODUCTIVE HEALTH &amp; BIOLOGY</t>
  </si>
  <si>
    <t>04/07/2026</t>
  </si>
  <si>
    <t>Doctor of Philosophy  in Biomedical Sciences</t>
  </si>
  <si>
    <t>Master of Science in Molecular biology</t>
  </si>
  <si>
    <t xml:space="preserve">Bachelor of Science </t>
  </si>
  <si>
    <t>KSG(Strategic Leadership Development Program, Corporate Governace)</t>
  </si>
  <si>
    <t>27/03/2038</t>
  </si>
  <si>
    <t>Doctor of Philosophy (Medical Microbiology)</t>
  </si>
  <si>
    <t>Master in Comparative Mammalian Physiology</t>
  </si>
  <si>
    <t>Bachelor of Education (science)</t>
  </si>
  <si>
    <t>01/04/2055</t>
  </si>
  <si>
    <t>Doctor in philosophy</t>
  </si>
  <si>
    <t>Master in biochemical science(medical microbiology)</t>
  </si>
  <si>
    <t>Bachelor of Science in  Biomedical Technology</t>
  </si>
  <si>
    <t>25/09/2054</t>
  </si>
  <si>
    <t>Doctor of Philosophy  in Veterinary Science</t>
  </si>
  <si>
    <t>Master of Science Immunilogy</t>
  </si>
  <si>
    <t xml:space="preserve"> Bachelor of Education (Science)</t>
  </si>
  <si>
    <t>Doctor of Phillosophy</t>
  </si>
  <si>
    <t>Master of Science</t>
  </si>
  <si>
    <t>Bachelor of Science (in Biomedical Technology)</t>
  </si>
  <si>
    <t>28/12/2050</t>
  </si>
  <si>
    <t>25/08/2053</t>
  </si>
  <si>
    <t xml:space="preserve">Masters of Science in tropical and infectious disease </t>
  </si>
  <si>
    <t>Bachelor of Science in Medical laboratory Science</t>
  </si>
  <si>
    <t>01/03/2024</t>
  </si>
  <si>
    <t>Contract Ended: 01/03/2024</t>
  </si>
  <si>
    <t>Master of Business Administration</t>
  </si>
  <si>
    <t>Advanced Diploma in Medical Laboratory Science</t>
  </si>
  <si>
    <t>14/10/2042</t>
  </si>
  <si>
    <t>Doctor of Philosophy  in Bioengeneering Sciences</t>
  </si>
  <si>
    <t>Master of Science in Molecular Biology</t>
  </si>
  <si>
    <t>Bachelor of Science (Biomedical Science and Technology) Medical Biotechnology option.</t>
  </si>
  <si>
    <t>01/08/2027</t>
  </si>
  <si>
    <t>17/09/2021</t>
  </si>
  <si>
    <t>Bachelor of Technology in Biotechnology</t>
  </si>
  <si>
    <t>01/09/2025</t>
  </si>
  <si>
    <t>30/08/2021</t>
  </si>
  <si>
    <t>Masters of Science in Molecular Biology and Bioinformatics</t>
  </si>
  <si>
    <t>Bachelor of Science in Microbiology and Biotechnology</t>
  </si>
  <si>
    <t>Bachelor of Science (Molecular &amp; Cellular Biology)</t>
  </si>
  <si>
    <t>22/12/2026</t>
  </si>
  <si>
    <t>Diploma in Industrial Microbiology</t>
  </si>
  <si>
    <t>Certificate in Junior laboratory Technicians</t>
  </si>
  <si>
    <t>23/09/2026</t>
  </si>
  <si>
    <t>Certificate in Office Practice</t>
  </si>
  <si>
    <t>07/08/2025</t>
  </si>
  <si>
    <t xml:space="preserve">Bachelor of Science in biochemistry </t>
  </si>
  <si>
    <t>31/01/2027</t>
  </si>
  <si>
    <t>Doctor of Phillosophy in Biochemistry</t>
  </si>
  <si>
    <t>Master of Science (BioChemistry)</t>
  </si>
  <si>
    <t>SECURITY</t>
  </si>
  <si>
    <t>Advanced Diploma in Management Studies</t>
  </si>
  <si>
    <t>Diploma in Business Studies, Management studies</t>
  </si>
  <si>
    <t>20/05/2041</t>
  </si>
  <si>
    <t>Diploma in Security Management</t>
  </si>
  <si>
    <t>30/09/2031</t>
  </si>
  <si>
    <t>07/05/2029</t>
  </si>
  <si>
    <t>Certificate in National Youtj Service</t>
  </si>
  <si>
    <t>28/08/2039</t>
  </si>
  <si>
    <t>SUPPLY CHAIN MANAGEMENT</t>
  </si>
  <si>
    <t>24/05/2041</t>
  </si>
  <si>
    <t>Bachelorof Business Management ( Supplies and Procurement option)</t>
  </si>
  <si>
    <t>31/12/2034</t>
  </si>
  <si>
    <t>14/11/1995</t>
  </si>
  <si>
    <t>Bachelor of Science in procurement &amp; Contract Management</t>
  </si>
  <si>
    <t>Diploma in Sales Management and Marketing</t>
  </si>
  <si>
    <t>05/06/2029</t>
  </si>
  <si>
    <t>Master of Business Administration (Human Resource Management)</t>
  </si>
  <si>
    <t>Higher Diploma in Human Resources management</t>
  </si>
  <si>
    <t>Diploma in Leadership Studies</t>
  </si>
  <si>
    <t>Advanced Diploma in Business Tech Education Programme Advanced Diploma in Business Administration</t>
  </si>
  <si>
    <t>Certified Human Resource Professional Kenya, HRM Professionals Examination Board</t>
  </si>
  <si>
    <t>17/08/2034</t>
  </si>
  <si>
    <t>22/05/1995</t>
  </si>
  <si>
    <t>01/02/2045</t>
  </si>
  <si>
    <t>Bachelor of Commerce (procurement and Supply Chain Management Option)</t>
  </si>
  <si>
    <t>Diploma in Management - Purchase Supplies Option</t>
  </si>
  <si>
    <t>Certificate in Business Management</t>
  </si>
  <si>
    <t>21/11/2035</t>
  </si>
  <si>
    <t>Certificate in Purchasing and Supplies Management</t>
  </si>
  <si>
    <t>31/08/2025</t>
  </si>
  <si>
    <t>Bachelor of Science in Procurement and Contract Management</t>
  </si>
  <si>
    <t>Diploma Supply Chain Management</t>
  </si>
  <si>
    <t>TROPICA INFECTIOUS DISEASES</t>
  </si>
  <si>
    <t>14/03/2037</t>
  </si>
  <si>
    <t>Master of Science in Zoology</t>
  </si>
  <si>
    <t>Bachelor of Science Zoology</t>
  </si>
  <si>
    <t>KSG ( Strategic Leadership Development Programme)</t>
  </si>
  <si>
    <t>04/10/2045</t>
  </si>
  <si>
    <t>Doctor of Philosophy  in Epidemiology</t>
  </si>
  <si>
    <t>Master of Science of Philosophy</t>
  </si>
  <si>
    <t>19/11/2052</t>
  </si>
  <si>
    <t>Doctor of Philosophy  in Immunology and Infectious Diseases</t>
  </si>
  <si>
    <t>Bachelor of Science (cum laude) major:Biology minor:Chemistry</t>
  </si>
  <si>
    <t>18/09/2036</t>
  </si>
  <si>
    <t>Master of Science in Immunology</t>
  </si>
  <si>
    <t>Higher Diploma in Medical Laboratory Science</t>
  </si>
  <si>
    <t>Diploma in Medical Laboratory Sciences</t>
  </si>
  <si>
    <t>29/11/2039</t>
  </si>
  <si>
    <t>Master of Science in Medical Laboratory Sciences(Hematology and Blood Transfusion)</t>
  </si>
  <si>
    <t>Bachelor of Science (Medical laboratory Science)</t>
  </si>
  <si>
    <t>KMLTTB ( Medical laboratory Technologist)</t>
  </si>
  <si>
    <t>25/09/2045</t>
  </si>
  <si>
    <t>Doctor of Immunology and infectious diseases</t>
  </si>
  <si>
    <t>Detached: 104 - 31/01/2024</t>
  </si>
  <si>
    <t>28/09/2059</t>
  </si>
  <si>
    <t>Master of Science in Biochemistry and Molecular Biology</t>
  </si>
  <si>
    <t>Bachelor of Science (In Biochemistry)</t>
  </si>
  <si>
    <t>31/03/2026</t>
  </si>
  <si>
    <t>Bachelor of Science (Molecular and Cellular Biology)</t>
  </si>
  <si>
    <t>01/07/2027</t>
  </si>
  <si>
    <t>Master of Science in Medical Virology</t>
  </si>
  <si>
    <t>Bachelor of Science in Medical Laboratory Science</t>
  </si>
  <si>
    <t>Bachelor of Science (Biology)</t>
  </si>
  <si>
    <t>15/01/2040</t>
  </si>
  <si>
    <t>Certificate in Science Laboratory Technician</t>
  </si>
  <si>
    <t>26/01/2022</t>
  </si>
  <si>
    <t>Bachelor of Science (Hoticulture with IT)</t>
  </si>
  <si>
    <t>Bachelor of Science in applied Bioengineering</t>
  </si>
  <si>
    <t>03/01/2022</t>
  </si>
  <si>
    <t>01/03/2022</t>
  </si>
  <si>
    <t>01/12/2010</t>
  </si>
  <si>
    <t>01/09/2024</t>
  </si>
  <si>
    <t>01/12/2016</t>
  </si>
  <si>
    <t>01/10/2012</t>
  </si>
  <si>
    <t>01/02/2017</t>
  </si>
  <si>
    <t>01/10/2011</t>
  </si>
  <si>
    <t>01/05/2007</t>
  </si>
  <si>
    <t>01/12/2024</t>
  </si>
  <si>
    <t>01/08/2002</t>
  </si>
  <si>
    <t>01/07/2011</t>
  </si>
  <si>
    <t>01/01/2022</t>
  </si>
  <si>
    <t>01/07/2006</t>
  </si>
  <si>
    <t>01/07/2012</t>
  </si>
  <si>
    <t>01/01/2020</t>
  </si>
  <si>
    <t>01/10/2004</t>
  </si>
  <si>
    <t>16/07/2015</t>
  </si>
  <si>
    <t>01/01/2014</t>
  </si>
  <si>
    <t>01/10/2017</t>
  </si>
  <si>
    <t>01/01/2010</t>
  </si>
  <si>
    <t>23/03/2021</t>
  </si>
  <si>
    <t>01/01/2017</t>
  </si>
  <si>
    <t>01/11/2011</t>
  </si>
  <si>
    <t>05/12/2016</t>
  </si>
  <si>
    <t>01/09/2009</t>
  </si>
  <si>
    <t>04/07/2016</t>
  </si>
  <si>
    <t>01/03/2017</t>
  </si>
  <si>
    <t>01/11/2017</t>
  </si>
  <si>
    <t>01/08/2007</t>
  </si>
  <si>
    <t>01/09/2012</t>
  </si>
  <si>
    <t>01/08/2011</t>
  </si>
  <si>
    <t>01/02/2022</t>
  </si>
  <si>
    <t>01/01/2007</t>
  </si>
  <si>
    <t>01/03/2012</t>
  </si>
  <si>
    <t>15/07/2022</t>
  </si>
  <si>
    <t>01/11/2023</t>
  </si>
  <si>
    <t>01/11/2012</t>
  </si>
  <si>
    <t>01/02/2008</t>
  </si>
  <si>
    <t>24/07/2012</t>
  </si>
  <si>
    <t>01/10/2010</t>
  </si>
  <si>
    <t>01/07/2010</t>
  </si>
  <si>
    <t>03/07/2022</t>
  </si>
  <si>
    <t>24/06/2011</t>
  </si>
  <si>
    <t>01/03/2011</t>
  </si>
  <si>
    <t>01/05/2022</t>
  </si>
  <si>
    <t>01/01/2011</t>
  </si>
  <si>
    <t>01/09/2021</t>
  </si>
  <si>
    <t>01/07/2022</t>
  </si>
  <si>
    <t>01/12/2015</t>
  </si>
  <si>
    <t>01/04/2019</t>
  </si>
  <si>
    <t>01/01/2019</t>
  </si>
  <si>
    <t>01/12/2017</t>
  </si>
  <si>
    <t>05/10/2016</t>
  </si>
  <si>
    <t>01/10/2016</t>
  </si>
  <si>
    <t>01/08/2016</t>
  </si>
  <si>
    <t>06/12/2017</t>
  </si>
  <si>
    <t>04/12/2017</t>
  </si>
  <si>
    <t>10/10/2017</t>
  </si>
  <si>
    <t>01/07/2017</t>
  </si>
  <si>
    <t>04/05/2017</t>
  </si>
  <si>
    <t>01/03/2026</t>
  </si>
  <si>
    <t>02/01/2018</t>
  </si>
  <si>
    <t>01/01/2018</t>
  </si>
  <si>
    <t>01/01/2025</t>
  </si>
  <si>
    <t>01/04/2025</t>
  </si>
  <si>
    <t>06/09/2019</t>
  </si>
  <si>
    <t>01/06/2019</t>
  </si>
  <si>
    <t>01/07/2020</t>
  </si>
  <si>
    <t>07/09/2021</t>
  </si>
  <si>
    <t>06/08/2021</t>
  </si>
  <si>
    <t>08/07/2021</t>
  </si>
  <si>
    <t>09/02/2022</t>
  </si>
  <si>
    <t>01/01/2024</t>
  </si>
  <si>
    <t>02/05/2025</t>
  </si>
  <si>
    <t>01/10/2024</t>
  </si>
  <si>
    <t>01/08/2024</t>
  </si>
  <si>
    <t>01/11/2024</t>
  </si>
  <si>
    <t>02/12/2024</t>
  </si>
  <si>
    <t>01/03/2025</t>
  </si>
  <si>
    <t>01/02/2025</t>
  </si>
  <si>
    <t/>
  </si>
  <si>
    <t>Chartered Statistician</t>
  </si>
  <si>
    <t xml:space="preserve">Axilliary staff </t>
  </si>
  <si>
    <t>NM14</t>
  </si>
  <si>
    <t>Reccurent</t>
  </si>
  <si>
    <t>Recurrent</t>
  </si>
  <si>
    <t>NM13</t>
  </si>
  <si>
    <t>PSC JOB GROUP</t>
  </si>
  <si>
    <t>NMK JOB GROUPS</t>
  </si>
  <si>
    <t>NM1</t>
  </si>
  <si>
    <t>NM2</t>
  </si>
  <si>
    <t>NM3</t>
  </si>
  <si>
    <t>NM4</t>
  </si>
  <si>
    <t>NM5</t>
  </si>
  <si>
    <t>NM6</t>
  </si>
  <si>
    <t>NM7</t>
  </si>
  <si>
    <t>NM8</t>
  </si>
  <si>
    <t>NM9</t>
  </si>
  <si>
    <t>NM10</t>
  </si>
  <si>
    <t>NM11</t>
  </si>
  <si>
    <t>NM12</t>
  </si>
  <si>
    <t>NM15</t>
  </si>
  <si>
    <t>U</t>
  </si>
  <si>
    <t>ANIMAL ATTENDANT</t>
  </si>
  <si>
    <t>ANIMAL ATTENDANT III</t>
  </si>
  <si>
    <t>LABORATORY ASSISTANT I</t>
  </si>
  <si>
    <t>C</t>
  </si>
  <si>
    <t>NA</t>
  </si>
  <si>
    <t>SECURITY GUARD</t>
  </si>
  <si>
    <t>DATE OF 1ST APPOINTMENT FROM FILES</t>
  </si>
  <si>
    <t>FELLOWSHIP</t>
  </si>
  <si>
    <t>NA (NM11)</t>
  </si>
  <si>
    <t xml:space="preserve">FELLOWSHIP </t>
  </si>
  <si>
    <t>RECURRENT</t>
  </si>
  <si>
    <t>PROJECT</t>
  </si>
  <si>
    <t>ANIMAL HEALTH ASSISTANT</t>
  </si>
  <si>
    <t>CHECK NMK FILES</t>
  </si>
  <si>
    <t>SECURITY GUARD II</t>
  </si>
  <si>
    <t>RESEARCH SCIENTIST II</t>
  </si>
  <si>
    <t>ASSISTANT RESEARCH SCIENTIST</t>
  </si>
  <si>
    <t>RESEARCH ASSISTANT II</t>
  </si>
  <si>
    <t>ANIMAL TECHNICIAN</t>
  </si>
  <si>
    <t>CASUAL</t>
  </si>
  <si>
    <t>CASUAL CLERICAL OFFICER</t>
  </si>
  <si>
    <t>AUXILLIARY STAFF</t>
  </si>
  <si>
    <t>OFFICE ASSISTANT</t>
  </si>
  <si>
    <t>ADMINISTRATIVE OFFICER III</t>
  </si>
  <si>
    <t>TELEPHONE OPERATOR II</t>
  </si>
  <si>
    <t>ANIMAL/LABORATORY TECHNICIAN II</t>
  </si>
  <si>
    <t>ANIMAL HEALTH TECHNICIAN I</t>
  </si>
  <si>
    <t>LABORATORY TECHNOLOGIST III</t>
  </si>
  <si>
    <t>TEMPORARY CASUAL</t>
  </si>
  <si>
    <t>AUXILLIARY STAFF III</t>
  </si>
  <si>
    <t>AUXIALLIARY STAFF</t>
  </si>
  <si>
    <t>AUXILLIARY STAFF II</t>
  </si>
  <si>
    <t>ANIMAL ATTENDENT III</t>
  </si>
  <si>
    <t xml:space="preserve">SECURITY GUARD  </t>
  </si>
  <si>
    <t>LABORATORY ASSISTANT II</t>
  </si>
  <si>
    <t>CURATORIAL ASSISTANT II</t>
  </si>
  <si>
    <t xml:space="preserve">CASHIER </t>
  </si>
  <si>
    <t xml:space="preserve">CLINICAL VETERINARIAN </t>
  </si>
  <si>
    <t xml:space="preserve">LABORATORY ASSISTANT (TRAINEE) </t>
  </si>
  <si>
    <t xml:space="preserve">CLERK </t>
  </si>
  <si>
    <t>DRIVER GRADE II</t>
  </si>
  <si>
    <t>CLARICAL OFFICER II</t>
  </si>
  <si>
    <t>MUSEUM/ CUSTOMER CARE ASSISTANT</t>
  </si>
  <si>
    <t>AUXILLARY STAFF II</t>
  </si>
  <si>
    <t>Axilliary staff (CASUAL)</t>
  </si>
  <si>
    <t>CUSUAL</t>
  </si>
  <si>
    <t>ANIMAL HEALTH ASSISTANT III</t>
  </si>
  <si>
    <t>ASSISTANT LIBRARIAN</t>
  </si>
  <si>
    <t>ANIMAL HEALTH ASSISTANT II</t>
  </si>
  <si>
    <t>ANIMAL HANDLER</t>
  </si>
  <si>
    <t>ACCOUNTANT II</t>
  </si>
  <si>
    <t>CASUAL- SECURITY GUARD</t>
  </si>
  <si>
    <t>TECHNICIAN</t>
  </si>
  <si>
    <t>CLINICAL VETERINARY OFFICER</t>
  </si>
  <si>
    <t>SENIOR ANIMAL HEALTH ASSISTANT</t>
  </si>
  <si>
    <t xml:space="preserve">TICKET CLERK </t>
  </si>
  <si>
    <t xml:space="preserve">CASUAL </t>
  </si>
  <si>
    <t>ICT OFFICER II</t>
  </si>
  <si>
    <t xml:space="preserve">ADMINISTRATIVE ASSISTANT </t>
  </si>
  <si>
    <t>ANIMAL HEALTH ASSISTANT I</t>
  </si>
  <si>
    <t>LIBRARIAN ASSISTANT</t>
  </si>
  <si>
    <t>STUNDENTSHIP</t>
  </si>
  <si>
    <t>INTERNSHIP</t>
  </si>
  <si>
    <t>Procurement officer [2]- EL</t>
  </si>
  <si>
    <t>PROCUREMENT OFFICER II</t>
  </si>
  <si>
    <t>AUDITOR II</t>
  </si>
  <si>
    <t xml:space="preserve">NA </t>
  </si>
  <si>
    <t>AUDIO VISUAL OFFICER II</t>
  </si>
  <si>
    <t>STUDENTSHIP</t>
  </si>
  <si>
    <t>Neil Mathenge</t>
  </si>
  <si>
    <t>Joseph Ochieng Owino</t>
  </si>
  <si>
    <t>Jackline Wanjiru Njoroge</t>
  </si>
  <si>
    <t>Mitchelle Nyanga'te Nchogu</t>
  </si>
  <si>
    <t>Josphate Chacha Menganyi</t>
  </si>
  <si>
    <t>Bachelor of science in biology, KCSE, KCPE</t>
  </si>
  <si>
    <t>Huma Pullary Moses</t>
  </si>
  <si>
    <t>Damaris Njoki Waithera</t>
  </si>
  <si>
    <t>Dominic Mwaura Muturi</t>
  </si>
  <si>
    <t>Cynthia Awuor</t>
  </si>
  <si>
    <t>Dr. Ashley Wambui</t>
  </si>
  <si>
    <t>Vivian Chepchumba Ruto</t>
  </si>
  <si>
    <t>Emanuel Nganda Mbugua</t>
  </si>
  <si>
    <t>Dr. Michelle Imani Namodi</t>
  </si>
  <si>
    <t>Nancy Wangui Gichuhi</t>
  </si>
  <si>
    <t>ACCOUNTS CLERK III</t>
  </si>
  <si>
    <t>SENIOR RESEARCH SCIENTIST I</t>
  </si>
  <si>
    <t>ADMINISTRATIVE OFFICER -QUALITY ASSURANCE</t>
  </si>
  <si>
    <t xml:space="preserve">ASSISTANT ARCHITECT </t>
  </si>
  <si>
    <t>CLEARICAL OFFICER III</t>
  </si>
  <si>
    <t>CUSTOMER CARE ASSISTANT I</t>
  </si>
  <si>
    <t>RESEARCH FELLOWSHIP</t>
  </si>
  <si>
    <t>RESEARH SCIENTIST II</t>
  </si>
  <si>
    <t>SENIOR RESEARCH SCIENTIST II</t>
  </si>
  <si>
    <t xml:space="preserve">NM5 </t>
  </si>
  <si>
    <t xml:space="preserve">CLINICAL VETERINARY OFFICER </t>
  </si>
  <si>
    <t>Bachelor of science in microbiology, KCSE, KCPE</t>
  </si>
  <si>
    <t>Diploma in supply chain management, KCSE, KCPE</t>
  </si>
  <si>
    <t>Diploma in science laboratory Technology , KCSE, KCPE</t>
  </si>
  <si>
    <t>Bachelor of science in health records, KCSE, KCPE</t>
  </si>
  <si>
    <t>Bachelor of veterinary medicine, KCSE, KCPE</t>
  </si>
  <si>
    <t>Bachelor of veterinary medicines, KCSE, KCPE</t>
  </si>
  <si>
    <t>Bachelor of education, KCSE, KCPE</t>
  </si>
  <si>
    <t>Bachelor of science microbiology and biotechnology, KCSE, KCPE</t>
  </si>
  <si>
    <t>Bachelor of economics, KCSE, KCPE</t>
  </si>
  <si>
    <t>Degree of bachelor of leisure , tourism and hotel management , KCSE, KCPE</t>
  </si>
  <si>
    <t>Bachelors of Science in Biology, KCSE, KCPE</t>
  </si>
  <si>
    <t>,Master of science in molecular medicine,Bachelor of Science in Microbiology  and Biotechnology,,,KCSE,KCPE,</t>
  </si>
  <si>
    <t>SHORTHAND/AUDIO TYPIST</t>
  </si>
  <si>
    <t>ACCOUNTS CLERK II</t>
  </si>
  <si>
    <t>SENIOR AUXILIARY STAFF</t>
  </si>
  <si>
    <t>AUXILIARY STAFF I</t>
  </si>
  <si>
    <t>LABORATORY TECHNICIAN II</t>
  </si>
  <si>
    <t>AUXILLARY STAFF I</t>
  </si>
  <si>
    <t>COLLECTION MANAGER III</t>
  </si>
  <si>
    <t>TRANSPORT ASSISTANT</t>
  </si>
  <si>
    <t>ARTISAN III</t>
  </si>
  <si>
    <t>ARTISAN GRADE I</t>
  </si>
  <si>
    <t>MUSEUM ASSISTANT I</t>
  </si>
  <si>
    <t>DRIVER/MECHANIC GRADE II</t>
  </si>
  <si>
    <t>CURATORIAL ASSISTANT I</t>
  </si>
  <si>
    <t>CLERICAL OFFICER II</t>
  </si>
  <si>
    <t>TYPIST</t>
  </si>
  <si>
    <t>E</t>
  </si>
  <si>
    <t>SENIOR SECURITY OFFICER</t>
  </si>
  <si>
    <t>SUPPLIES OFFICER III</t>
  </si>
  <si>
    <t>,Masters of Science in bioinformatics and Molecular Biology, Bachelor of Science in Biochemistry and Molecular Biology,,,KCSE,KCPE,</t>
  </si>
  <si>
    <t>,,Bachelor of Management and Leadership, Diploma in Business Administration,,KCSE,KCPE,</t>
  </si>
  <si>
    <t xml:space="preserve">Auxiliary staff </t>
  </si>
  <si>
    <t>ACCOUNTS CLERK</t>
  </si>
  <si>
    <t xml:space="preserve">ACCOUNTS CLERK </t>
  </si>
  <si>
    <t>INFORMATION COMMUNICATION TECHNOLOGY OFFICER II</t>
  </si>
  <si>
    <t>INFORMATION COMMUNICATION TECHNOLOGY ASSISTANT II</t>
  </si>
  <si>
    <t>NEW JOB GRADE KIP</t>
  </si>
  <si>
    <t>PRINCIPLE OF CONVERSION USED FOR NEW TERMS OF EMPLOYMENT</t>
  </si>
  <si>
    <t>Carolyne Kerubo Mokua</t>
  </si>
  <si>
    <t>Miss. Carolyne Kerubo Uhuru</t>
  </si>
  <si>
    <t>NUMBER OF YEARS IN SERVICE</t>
  </si>
  <si>
    <t>NMK GRADE</t>
  </si>
  <si>
    <t>Principal Administrative Officer [1] - EL - C01AQ</t>
  </si>
  <si>
    <t>Maxwell Nyamwange Onyancha</t>
  </si>
  <si>
    <t>Dr. Allan Ragi Maina</t>
  </si>
  <si>
    <t>Miss. Kelly wanjugu Kanoe</t>
  </si>
  <si>
    <t>BACHELOR OF ARTS IN GEOGRAPHY</t>
  </si>
  <si>
    <t xml:space="preserve">BACHELOR OF SCIENCE IN BIOCHEMISTRY </t>
  </si>
  <si>
    <t>AGE</t>
  </si>
  <si>
    <t>TICKET CLERK</t>
  </si>
  <si>
    <t>,Master of Statistics and Data science (Biostatistics),Bachelor of Science of Applied Statistics with Computing,,Certificate of Python Mastery, Certificate of data Structures and Algorithms, Certificate of Participate in Africa One Health Network workshop, Certificate of Trainer on Statistics for Biomedical Research, Certificate of Training on Covid -19 molecular laboratory testing,KCSE,KCPE, Charterd Statistician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</si>
</sst>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_(* \(#,##0.00\);_(* &quot;-&quot;??_);_(@_)"/>
  </numFmts>
  <fonts count="14" x14ac:knownFonts="1">
    <font>
      <sz val="11"/>
      <color theme="1"/>
      <name val="Calibri"/>
      <family val="2"/>
      <scheme val="minor"/>
    </font>
    <font>
      <sz val="11"/>
      <color theme="1"/>
      <name val="Calibri"/>
      <family val="2"/>
      <scheme val="minor"/>
    </font>
    <font>
      <b/>
      <sz val="8"/>
      <name val="Bookman Old Style"/>
      <family val="1"/>
    </font>
    <font>
      <b/>
      <sz val="8"/>
      <color theme="1"/>
      <name val="Bookman Old Style"/>
      <family val="1"/>
    </font>
    <font>
      <sz val="8"/>
      <color theme="1"/>
      <name val="Bookman Old Style"/>
      <family val="1"/>
    </font>
    <font>
      <sz val="8"/>
      <name val="Bookman Old Style"/>
      <family val="1"/>
    </font>
    <font>
      <sz val="8"/>
      <color rgb="FFFF0000"/>
      <name val="Bookman Old Style"/>
      <family val="1"/>
    </font>
    <font>
      <b/>
      <sz val="11"/>
      <color theme="1"/>
      <name val="Calibri"/>
      <family val="2"/>
      <scheme val="minor"/>
    </font>
    <font>
      <sz val="11"/>
      <name val="Calibri"/>
      <family val="2"/>
      <scheme val="minor"/>
    </font>
    <font>
      <b/>
      <sz val="11"/>
      <color rgb="FF000000"/>
      <name val="Times New Roman"/>
      <family val="1"/>
    </font>
    <font>
      <sz val="11"/>
      <color rgb="FF000000"/>
      <name val="Times New Roman"/>
      <family val="1"/>
    </font>
    <font>
      <sz val="11"/>
      <color rgb="FF000000"/>
      <name val="Calibri"/>
      <family val="2"/>
    </font>
    <font>
      <sz val="12"/>
      <color rgb="FF000000"/>
      <name val="Times New Roman"/>
      <family val="1"/>
    </font>
    <font>
      <b/>
      <sz val="12"/>
      <color rgb="FF000000"/>
      <name val="Times New Roman"/>
      <family val="1"/>
    </font>
  </fonts>
  <fills count="23">
    <fill>
      <patternFill patternType="none"/>
    </fill>
    <fill>
      <patternFill patternType="gray125"/>
    </fill>
    <fill>
      <patternFill patternType="solid">
        <fgColor rgb="FF92D050"/>
        <bgColor indexed="64"/>
      </patternFill>
    </fill>
    <fill>
      <patternFill patternType="solid">
        <fgColor theme="0"/>
        <bgColor indexed="64"/>
      </patternFill>
    </fill>
    <fill>
      <patternFill patternType="solid">
        <fgColor rgb="FFFFFF00"/>
        <bgColor indexed="64"/>
      </patternFill>
    </fill>
    <fill>
      <patternFill patternType="solid">
        <fgColor theme="1" tint="0.249977111117893"/>
        <bgColor indexed="64"/>
      </patternFill>
    </fill>
    <fill>
      <patternFill patternType="solid">
        <fgColor rgb="FFFF0000"/>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4"/>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s>
  <cellStyleXfs count="2">
    <xf numFmtId="0" fontId="0" fillId="0" borderId="0"/>
    <xf numFmtId="164" fontId="1" fillId="0" borderId="0" applyFont="0" applyFill="0" applyBorder="0" applyAlignment="0" applyProtection="0"/>
  </cellStyleXfs>
  <cellXfs count="228">
    <xf numFmtId="0" fontId="0" fillId="0" borderId="0" xfId="0"/>
    <xf numFmtId="0" fontId="4" fillId="0" borderId="0" xfId="0" applyFont="1" applyAlignment="1">
      <alignment horizontal="left" vertical="top"/>
    </xf>
    <xf numFmtId="0" fontId="5" fillId="0" borderId="1" xfId="0" applyFont="1" applyBorder="1" applyAlignment="1">
      <alignment horizontal="left" vertical="top"/>
    </xf>
    <xf numFmtId="0" fontId="5" fillId="0" borderId="2" xfId="0" applyFont="1" applyBorder="1" applyAlignment="1">
      <alignment horizontal="left" vertical="top" wrapText="1"/>
    </xf>
    <xf numFmtId="164" fontId="5" fillId="0" borderId="1" xfId="1" applyFont="1" applyFill="1" applyBorder="1" applyAlignment="1">
      <alignment horizontal="left" vertical="top"/>
    </xf>
    <xf numFmtId="14" fontId="5" fillId="0" borderId="1" xfId="0" applyNumberFormat="1" applyFont="1" applyBorder="1" applyAlignment="1">
      <alignment horizontal="left" vertical="top"/>
    </xf>
    <xf numFmtId="164" fontId="5" fillId="0" borderId="1" xfId="1" applyFont="1" applyBorder="1" applyAlignment="1">
      <alignment horizontal="left" vertical="top"/>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164" fontId="5" fillId="3" borderId="1" xfId="1" applyFont="1" applyFill="1" applyBorder="1" applyAlignment="1">
      <alignment horizontal="left" vertical="top"/>
    </xf>
    <xf numFmtId="0" fontId="4" fillId="0" borderId="1" xfId="0" applyFont="1" applyBorder="1" applyAlignment="1">
      <alignment horizontal="left" vertical="top"/>
    </xf>
    <xf numFmtId="0" fontId="4" fillId="2" borderId="0" xfId="0" applyFont="1" applyFill="1" applyAlignment="1">
      <alignment horizontal="left" vertical="top"/>
    </xf>
    <xf numFmtId="0" fontId="5" fillId="4" borderId="1" xfId="0" applyFont="1" applyFill="1" applyBorder="1" applyAlignment="1">
      <alignment horizontal="left" vertical="top"/>
    </xf>
    <xf numFmtId="164" fontId="5" fillId="4" borderId="1" xfId="1" applyFont="1" applyFill="1" applyBorder="1" applyAlignment="1">
      <alignment horizontal="left" vertical="top"/>
    </xf>
    <xf numFmtId="14" fontId="5" fillId="4" borderId="1" xfId="0" applyNumberFormat="1" applyFont="1" applyFill="1" applyBorder="1" applyAlignment="1">
      <alignment horizontal="left" vertical="top"/>
    </xf>
    <xf numFmtId="0" fontId="5" fillId="3" borderId="2" xfId="0" applyFont="1" applyFill="1" applyBorder="1" applyAlignment="1">
      <alignment horizontal="left" vertical="top" wrapText="1"/>
    </xf>
    <xf numFmtId="14" fontId="5" fillId="3" borderId="1" xfId="0" applyNumberFormat="1" applyFont="1" applyFill="1" applyBorder="1" applyAlignment="1">
      <alignment horizontal="left" vertical="top"/>
    </xf>
    <xf numFmtId="0" fontId="4" fillId="3" borderId="0" xfId="0" applyFont="1" applyFill="1" applyAlignment="1">
      <alignment horizontal="left" vertical="top"/>
    </xf>
    <xf numFmtId="0" fontId="5" fillId="0" borderId="0" xfId="0" applyFont="1" applyAlignment="1">
      <alignment horizontal="left" vertical="top" wrapText="1"/>
    </xf>
    <xf numFmtId="0" fontId="5" fillId="0" borderId="0" xfId="0" applyFont="1" applyAlignment="1">
      <alignment horizontal="left" vertical="top"/>
    </xf>
    <xf numFmtId="0" fontId="5" fillId="2" borderId="0" xfId="0" applyFont="1" applyFill="1" applyAlignment="1">
      <alignment horizontal="left" vertical="top"/>
    </xf>
    <xf numFmtId="0" fontId="5" fillId="0" borderId="3" xfId="0" applyFont="1" applyBorder="1" applyAlignment="1">
      <alignment horizontal="left" vertical="top"/>
    </xf>
    <xf numFmtId="0" fontId="5" fillId="0" borderId="5" xfId="0" applyFont="1" applyBorder="1" applyAlignment="1">
      <alignment horizontal="left" vertical="top" wrapText="1"/>
    </xf>
    <xf numFmtId="14" fontId="5" fillId="0" borderId="3" xfId="0" applyNumberFormat="1" applyFont="1" applyBorder="1" applyAlignment="1">
      <alignment horizontal="left" vertical="top"/>
    </xf>
    <xf numFmtId="164" fontId="5" fillId="0" borderId="3" xfId="1" applyFont="1" applyBorder="1" applyAlignment="1">
      <alignment horizontal="left" vertical="top"/>
    </xf>
    <xf numFmtId="0" fontId="5" fillId="0" borderId="9" xfId="0" applyFont="1" applyBorder="1" applyAlignment="1">
      <alignment horizontal="left" vertical="top" wrapText="1"/>
    </xf>
    <xf numFmtId="164" fontId="5" fillId="0" borderId="0" xfId="1" applyFont="1" applyBorder="1" applyAlignment="1">
      <alignment horizontal="left" vertical="top"/>
    </xf>
    <xf numFmtId="0" fontId="5" fillId="0" borderId="7" xfId="0" applyFont="1" applyBorder="1" applyAlignment="1">
      <alignment horizontal="left" vertical="top" wrapText="1"/>
    </xf>
    <xf numFmtId="0" fontId="6" fillId="0" borderId="0" xfId="0" applyFont="1" applyAlignment="1">
      <alignment horizontal="left" vertical="top"/>
    </xf>
    <xf numFmtId="14" fontId="4" fillId="0" borderId="1" xfId="0" applyNumberFormat="1" applyFont="1" applyBorder="1" applyAlignment="1">
      <alignment horizontal="left" vertical="top"/>
    </xf>
    <xf numFmtId="14" fontId="4" fillId="0" borderId="0" xfId="0" applyNumberFormat="1" applyFont="1" applyAlignment="1">
      <alignment horizontal="left" vertical="top"/>
    </xf>
    <xf numFmtId="164" fontId="5" fillId="0" borderId="3" xfId="1" applyFont="1" applyFill="1" applyBorder="1" applyAlignment="1">
      <alignment horizontal="left" vertical="top"/>
    </xf>
    <xf numFmtId="14" fontId="4" fillId="0" borderId="6" xfId="0" applyNumberFormat="1" applyFont="1" applyBorder="1" applyAlignment="1">
      <alignment horizontal="left" vertical="center"/>
    </xf>
    <xf numFmtId="14" fontId="4" fillId="0" borderId="1" xfId="0" applyNumberFormat="1" applyFont="1" applyBorder="1" applyAlignment="1">
      <alignment horizontal="left" vertical="center"/>
    </xf>
    <xf numFmtId="0" fontId="5" fillId="0" borderId="4" xfId="0" applyFont="1" applyBorder="1" applyAlignment="1">
      <alignment horizontal="left" vertical="top"/>
    </xf>
    <xf numFmtId="14" fontId="5" fillId="0" borderId="4" xfId="0" applyNumberFormat="1" applyFont="1" applyBorder="1" applyAlignment="1">
      <alignment horizontal="left" vertical="top"/>
    </xf>
    <xf numFmtId="164" fontId="5" fillId="0" borderId="4" xfId="1" applyFont="1" applyBorder="1" applyAlignment="1">
      <alignment horizontal="left" vertical="top"/>
    </xf>
    <xf numFmtId="14" fontId="4" fillId="0" borderId="1" xfId="0" applyNumberFormat="1" applyFont="1" applyBorder="1" applyAlignment="1">
      <alignment horizontal="left"/>
    </xf>
    <xf numFmtId="14" fontId="4" fillId="0" borderId="8" xfId="0" applyNumberFormat="1" applyFont="1" applyBorder="1" applyAlignment="1">
      <alignment horizontal="left" vertical="center"/>
    </xf>
    <xf numFmtId="164" fontId="5" fillId="0" borderId="4" xfId="1" applyFont="1" applyFill="1" applyBorder="1" applyAlignment="1">
      <alignment horizontal="left" vertical="top" wrapText="1"/>
    </xf>
    <xf numFmtId="0" fontId="4" fillId="0" borderId="4" xfId="0" applyFont="1" applyBorder="1" applyAlignment="1">
      <alignment horizontal="left" vertical="top"/>
    </xf>
    <xf numFmtId="0" fontId="4" fillId="0" borderId="0" xfId="0" applyFont="1" applyAlignment="1">
      <alignment horizontal="left" vertical="top" wrapText="1"/>
    </xf>
    <xf numFmtId="0" fontId="5" fillId="0" borderId="2" xfId="0" applyFont="1" applyBorder="1" applyAlignment="1">
      <alignment horizontal="left" vertical="top"/>
    </xf>
    <xf numFmtId="0" fontId="5" fillId="0" borderId="5" xfId="0" applyFont="1" applyBorder="1" applyAlignment="1">
      <alignment horizontal="left" vertical="top"/>
    </xf>
    <xf numFmtId="0" fontId="5" fillId="0" borderId="7" xfId="0" applyFont="1" applyBorder="1" applyAlignment="1">
      <alignment horizontal="left" vertical="top"/>
    </xf>
    <xf numFmtId="0" fontId="2" fillId="4" borderId="1" xfId="0" applyFont="1" applyFill="1" applyBorder="1" applyAlignment="1">
      <alignment horizontal="left" vertical="top" wrapText="1"/>
    </xf>
    <xf numFmtId="14" fontId="5" fillId="4" borderId="3" xfId="0" applyNumberFormat="1" applyFont="1" applyFill="1" applyBorder="1" applyAlignment="1">
      <alignment horizontal="left" vertical="top"/>
    </xf>
    <xf numFmtId="14" fontId="4" fillId="4" borderId="1" xfId="0" applyNumberFormat="1" applyFont="1" applyFill="1" applyBorder="1" applyAlignment="1">
      <alignment horizontal="left" vertical="top"/>
    </xf>
    <xf numFmtId="14" fontId="4" fillId="4" borderId="0" xfId="0" applyNumberFormat="1" applyFont="1" applyFill="1" applyAlignment="1">
      <alignment horizontal="left" vertical="top"/>
    </xf>
    <xf numFmtId="14" fontId="4" fillId="4" borderId="0" xfId="0" applyNumberFormat="1" applyFont="1" applyFill="1" applyAlignment="1">
      <alignment horizontal="left" vertical="center"/>
    </xf>
    <xf numFmtId="14" fontId="4" fillId="4" borderId="1" xfId="0" applyNumberFormat="1" applyFont="1" applyFill="1" applyBorder="1" applyAlignment="1">
      <alignment horizontal="left" vertical="center"/>
    </xf>
    <xf numFmtId="14" fontId="5" fillId="4" borderId="4" xfId="0" applyNumberFormat="1" applyFont="1" applyFill="1" applyBorder="1" applyAlignment="1">
      <alignment horizontal="left" vertical="top"/>
    </xf>
    <xf numFmtId="14" fontId="4" fillId="4" borderId="1" xfId="0" applyNumberFormat="1" applyFont="1" applyFill="1" applyBorder="1" applyAlignment="1">
      <alignment horizontal="left"/>
    </xf>
    <xf numFmtId="0" fontId="4" fillId="4" borderId="0" xfId="0" applyFont="1" applyFill="1" applyAlignment="1">
      <alignment horizontal="left" vertical="top"/>
    </xf>
    <xf numFmtId="164" fontId="5" fillId="4" borderId="3" xfId="1" applyFont="1" applyFill="1" applyBorder="1" applyAlignment="1">
      <alignment horizontal="left" vertical="top"/>
    </xf>
    <xf numFmtId="164" fontId="5" fillId="4" borderId="0" xfId="1" applyFont="1" applyFill="1" applyBorder="1" applyAlignment="1">
      <alignment horizontal="left" vertical="top"/>
    </xf>
    <xf numFmtId="164" fontId="5" fillId="4" borderId="4" xfId="1" applyFont="1" applyFill="1" applyBorder="1" applyAlignment="1">
      <alignment horizontal="left" vertical="top"/>
    </xf>
    <xf numFmtId="14" fontId="5" fillId="0" borderId="2" xfId="0" applyNumberFormat="1" applyFont="1" applyBorder="1" applyAlignment="1">
      <alignment horizontal="left" vertical="top" wrapText="1"/>
    </xf>
    <xf numFmtId="14" fontId="5" fillId="3" borderId="2" xfId="0" applyNumberFormat="1" applyFont="1" applyFill="1" applyBorder="1" applyAlignment="1">
      <alignment horizontal="left" vertical="top" wrapText="1"/>
    </xf>
    <xf numFmtId="14" fontId="5" fillId="0" borderId="5" xfId="0" applyNumberFormat="1" applyFont="1" applyBorder="1" applyAlignment="1">
      <alignment horizontal="left" vertical="top" wrapText="1"/>
    </xf>
    <xf numFmtId="14" fontId="5" fillId="0" borderId="7" xfId="0" applyNumberFormat="1" applyFont="1" applyBorder="1" applyAlignment="1">
      <alignment horizontal="left" vertical="top" wrapText="1"/>
    </xf>
    <xf numFmtId="14" fontId="4" fillId="0" borderId="1" xfId="0" applyNumberFormat="1" applyFont="1" applyBorder="1" applyAlignment="1">
      <alignment horizontal="left" vertical="center" wrapText="1"/>
    </xf>
    <xf numFmtId="14" fontId="4" fillId="0" borderId="6" xfId="0" applyNumberFormat="1" applyFont="1" applyBorder="1" applyAlignment="1">
      <alignment horizontal="left" vertical="center" wrapText="1"/>
    </xf>
    <xf numFmtId="0" fontId="5" fillId="0" borderId="0" xfId="0" applyFont="1" applyBorder="1" applyAlignment="1">
      <alignment horizontal="left" vertical="top"/>
    </xf>
    <xf numFmtId="0" fontId="4" fillId="0" borderId="0" xfId="0" applyFont="1" applyAlignment="1">
      <alignment horizontal="left"/>
    </xf>
    <xf numFmtId="0" fontId="4" fillId="0" borderId="1" xfId="0" applyFont="1" applyBorder="1" applyAlignment="1">
      <alignment horizontal="left"/>
    </xf>
    <xf numFmtId="0" fontId="4" fillId="0" borderId="6" xfId="0" applyFont="1" applyBorder="1" applyAlignment="1">
      <alignment horizontal="left" vertical="center"/>
    </xf>
    <xf numFmtId="0" fontId="4" fillId="0" borderId="1" xfId="0" applyFont="1" applyBorder="1" applyAlignment="1">
      <alignment horizontal="left" vertical="center"/>
    </xf>
    <xf numFmtId="0" fontId="7" fillId="0" borderId="0" xfId="0" applyFont="1" applyAlignment="1">
      <alignment horizontal="left"/>
    </xf>
    <xf numFmtId="0" fontId="8" fillId="6" borderId="0" xfId="0" applyFont="1" applyFill="1" applyAlignment="1">
      <alignment horizontal="left"/>
    </xf>
    <xf numFmtId="0" fontId="0" fillId="0" borderId="0" xfId="0" applyAlignment="1">
      <alignment horizontal="left"/>
    </xf>
    <xf numFmtId="0" fontId="0" fillId="15" borderId="0" xfId="0" applyFill="1" applyAlignment="1">
      <alignment horizontal="left"/>
    </xf>
    <xf numFmtId="0" fontId="0" fillId="16" borderId="0" xfId="0" applyFill="1" applyAlignment="1">
      <alignment horizontal="left"/>
    </xf>
    <xf numFmtId="0" fontId="0" fillId="17" borderId="0" xfId="0" applyFill="1" applyAlignment="1">
      <alignment horizontal="left"/>
    </xf>
    <xf numFmtId="0" fontId="0" fillId="10" borderId="0" xfId="0" applyFill="1" applyAlignment="1">
      <alignment horizontal="left"/>
    </xf>
    <xf numFmtId="0" fontId="0" fillId="14" borderId="0" xfId="0" applyFill="1" applyAlignment="1">
      <alignment horizontal="left"/>
    </xf>
    <xf numFmtId="0" fontId="0" fillId="13" borderId="0" xfId="0" applyFill="1" applyAlignment="1">
      <alignment horizontal="left"/>
    </xf>
    <xf numFmtId="0" fontId="0" fillId="18" borderId="0" xfId="0" applyFill="1" applyAlignment="1">
      <alignment horizontal="left"/>
    </xf>
    <xf numFmtId="0" fontId="0" fillId="19" borderId="0" xfId="0" applyFill="1" applyAlignment="1">
      <alignment horizontal="left"/>
    </xf>
    <xf numFmtId="0" fontId="0" fillId="12" borderId="0" xfId="0" applyFill="1" applyAlignment="1">
      <alignment horizontal="left"/>
    </xf>
    <xf numFmtId="0" fontId="0" fillId="5" borderId="0" xfId="0" applyFill="1" applyAlignment="1">
      <alignment horizontal="left"/>
    </xf>
    <xf numFmtId="0" fontId="0" fillId="8" borderId="0" xfId="0" applyFill="1" applyAlignment="1">
      <alignment horizontal="left"/>
    </xf>
    <xf numFmtId="0" fontId="0" fillId="7" borderId="0" xfId="0" applyFill="1" applyAlignment="1">
      <alignment horizontal="left"/>
    </xf>
    <xf numFmtId="0" fontId="4" fillId="0" borderId="2" xfId="0" applyFont="1" applyBorder="1" applyAlignment="1">
      <alignment horizontal="left" vertical="center" wrapText="1"/>
    </xf>
    <xf numFmtId="14" fontId="4" fillId="4" borderId="0" xfId="0" applyNumberFormat="1" applyFont="1" applyFill="1" applyAlignment="1">
      <alignment horizontal="left"/>
    </xf>
    <xf numFmtId="0" fontId="5" fillId="0" borderId="6" xfId="0" applyFont="1" applyBorder="1" applyAlignment="1">
      <alignment horizontal="left" vertical="center" wrapText="1"/>
    </xf>
    <xf numFmtId="0" fontId="4" fillId="0" borderId="0" xfId="0" applyFont="1" applyAlignment="1">
      <alignment horizontal="left" vertical="center" wrapText="1"/>
    </xf>
    <xf numFmtId="0" fontId="5" fillId="0" borderId="1" xfId="0" applyFont="1" applyBorder="1" applyAlignment="1">
      <alignment horizontal="left" vertical="center" wrapText="1"/>
    </xf>
    <xf numFmtId="0" fontId="4" fillId="0" borderId="1" xfId="0" applyFont="1" applyBorder="1" applyAlignment="1">
      <alignment horizontal="left" vertical="center" wrapText="1"/>
    </xf>
    <xf numFmtId="0" fontId="4" fillId="0" borderId="0" xfId="0" applyFont="1" applyAlignment="1">
      <alignment horizontal="left" wrapText="1"/>
    </xf>
    <xf numFmtId="0" fontId="4" fillId="0" borderId="1" xfId="0" applyFont="1" applyBorder="1" applyAlignment="1">
      <alignment horizontal="left" wrapText="1"/>
    </xf>
    <xf numFmtId="0" fontId="5" fillId="0" borderId="4" xfId="0" applyFont="1" applyBorder="1" applyAlignment="1">
      <alignment horizontal="left" vertical="center"/>
    </xf>
    <xf numFmtId="0" fontId="4" fillId="0" borderId="4" xfId="0" applyFont="1" applyBorder="1" applyAlignment="1">
      <alignment horizontal="left" wrapText="1"/>
    </xf>
    <xf numFmtId="14" fontId="4" fillId="0" borderId="4" xfId="0" applyNumberFormat="1" applyFont="1" applyBorder="1" applyAlignment="1">
      <alignment horizontal="left"/>
    </xf>
    <xf numFmtId="14" fontId="4" fillId="4" borderId="4" xfId="0" applyNumberFormat="1" applyFont="1" applyFill="1" applyBorder="1" applyAlignment="1">
      <alignment horizontal="left"/>
    </xf>
    <xf numFmtId="0" fontId="2" fillId="9" borderId="1" xfId="0" applyFont="1" applyFill="1" applyBorder="1" applyAlignment="1">
      <alignment horizontal="left" vertical="top" wrapText="1"/>
    </xf>
    <xf numFmtId="0" fontId="2" fillId="9" borderId="2" xfId="0" applyFont="1" applyFill="1" applyBorder="1" applyAlignment="1">
      <alignment horizontal="left" vertical="top" wrapText="1"/>
    </xf>
    <xf numFmtId="0" fontId="3" fillId="9" borderId="1" xfId="0" applyFont="1" applyFill="1" applyBorder="1" applyAlignment="1">
      <alignment horizontal="left" vertical="top" wrapText="1"/>
    </xf>
    <xf numFmtId="0" fontId="4" fillId="20" borderId="0" xfId="0" applyFont="1" applyFill="1" applyAlignment="1">
      <alignment horizontal="left" vertical="top"/>
    </xf>
    <xf numFmtId="0" fontId="2" fillId="20" borderId="2" xfId="0" applyFont="1" applyFill="1" applyBorder="1" applyAlignment="1">
      <alignment horizontal="left" vertical="top" wrapText="1"/>
    </xf>
    <xf numFmtId="14" fontId="5" fillId="20" borderId="2" xfId="0" applyNumberFormat="1" applyFont="1" applyFill="1" applyBorder="1" applyAlignment="1">
      <alignment horizontal="left" vertical="top" wrapText="1"/>
    </xf>
    <xf numFmtId="14" fontId="5" fillId="20" borderId="0" xfId="0" applyNumberFormat="1" applyFont="1" applyFill="1" applyBorder="1" applyAlignment="1">
      <alignment horizontal="left" vertical="top" wrapText="1"/>
    </xf>
    <xf numFmtId="14" fontId="5" fillId="20" borderId="5" xfId="0" applyNumberFormat="1" applyFont="1" applyFill="1" applyBorder="1" applyAlignment="1">
      <alignment horizontal="left" vertical="top" wrapText="1"/>
    </xf>
    <xf numFmtId="14" fontId="4" fillId="20" borderId="2" xfId="0" applyNumberFormat="1" applyFont="1" applyFill="1" applyBorder="1" applyAlignment="1">
      <alignment horizontal="left" vertical="center" wrapText="1"/>
    </xf>
    <xf numFmtId="14" fontId="5" fillId="20" borderId="7" xfId="0" applyNumberFormat="1" applyFont="1" applyFill="1" applyBorder="1" applyAlignment="1">
      <alignment horizontal="left" vertical="top" wrapText="1"/>
    </xf>
    <xf numFmtId="14" fontId="4" fillId="20" borderId="0" xfId="0" applyNumberFormat="1" applyFont="1" applyFill="1" applyBorder="1" applyAlignment="1">
      <alignment horizontal="left" vertical="center" wrapText="1"/>
    </xf>
    <xf numFmtId="0" fontId="4" fillId="20" borderId="1" xfId="0" applyFont="1" applyFill="1" applyBorder="1" applyAlignment="1">
      <alignment horizontal="left" vertical="center" wrapText="1"/>
    </xf>
    <xf numFmtId="0" fontId="5" fillId="20" borderId="7" xfId="0" applyFont="1" applyFill="1" applyBorder="1" applyAlignment="1">
      <alignment horizontal="left" vertical="top" wrapText="1"/>
    </xf>
    <xf numFmtId="0" fontId="5" fillId="20" borderId="2" xfId="0" applyFont="1" applyFill="1" applyBorder="1" applyAlignment="1">
      <alignment horizontal="left" vertical="top" wrapText="1"/>
    </xf>
    <xf numFmtId="0" fontId="5" fillId="20" borderId="5" xfId="0" applyFont="1" applyFill="1" applyBorder="1" applyAlignment="1">
      <alignment horizontal="left" vertical="top" wrapText="1"/>
    </xf>
    <xf numFmtId="0" fontId="4" fillId="20" borderId="0" xfId="0" applyFont="1" applyFill="1" applyAlignment="1">
      <alignment horizontal="left" wrapText="1"/>
    </xf>
    <xf numFmtId="0" fontId="4" fillId="20" borderId="1" xfId="0" applyFont="1" applyFill="1" applyBorder="1" applyAlignment="1">
      <alignment horizontal="left" wrapText="1"/>
    </xf>
    <xf numFmtId="0" fontId="4" fillId="20" borderId="4" xfId="0" applyFont="1" applyFill="1" applyBorder="1" applyAlignment="1">
      <alignment horizontal="left" wrapText="1"/>
    </xf>
    <xf numFmtId="0" fontId="4" fillId="20" borderId="0" xfId="0" applyFont="1" applyFill="1" applyAlignment="1">
      <alignment horizontal="left" vertical="top" wrapText="1"/>
    </xf>
    <xf numFmtId="0" fontId="4" fillId="20" borderId="0" xfId="0" applyFont="1" applyFill="1" applyAlignment="1">
      <alignment horizontal="left"/>
    </xf>
    <xf numFmtId="0" fontId="4" fillId="20" borderId="1" xfId="0" applyFont="1" applyFill="1" applyBorder="1" applyAlignment="1">
      <alignment horizontal="left"/>
    </xf>
    <xf numFmtId="0" fontId="9" fillId="0" borderId="1" xfId="0" applyFont="1" applyBorder="1" applyAlignment="1">
      <alignment horizontal="left"/>
    </xf>
    <xf numFmtId="0" fontId="9" fillId="0" borderId="1" xfId="0" applyFont="1" applyBorder="1" applyAlignment="1">
      <alignment horizontal="left" wrapText="1"/>
    </xf>
    <xf numFmtId="0" fontId="10" fillId="21" borderId="1" xfId="0" applyFont="1" applyFill="1" applyBorder="1" applyAlignment="1">
      <alignment horizontal="left"/>
    </xf>
    <xf numFmtId="0" fontId="9" fillId="21" borderId="1" xfId="0" applyFont="1" applyFill="1" applyBorder="1" applyAlignment="1">
      <alignment horizontal="left"/>
    </xf>
    <xf numFmtId="0" fontId="10" fillId="3" borderId="1" xfId="0" applyFont="1" applyFill="1" applyBorder="1" applyAlignment="1">
      <alignment horizontal="left"/>
    </xf>
    <xf numFmtId="14" fontId="10" fillId="3" borderId="1" xfId="0" applyNumberFormat="1" applyFont="1" applyFill="1" applyBorder="1" applyAlignment="1">
      <alignment horizontal="left"/>
    </xf>
    <xf numFmtId="0" fontId="11" fillId="3" borderId="1" xfId="0" applyFont="1" applyFill="1" applyBorder="1" applyAlignment="1">
      <alignment horizontal="left"/>
    </xf>
    <xf numFmtId="0" fontId="0" fillId="3" borderId="1" xfId="0" applyFill="1" applyBorder="1" applyAlignment="1">
      <alignment horizontal="left"/>
    </xf>
    <xf numFmtId="0" fontId="1" fillId="3" borderId="1" xfId="0" applyFont="1" applyFill="1" applyBorder="1" applyAlignment="1">
      <alignment horizontal="left"/>
    </xf>
    <xf numFmtId="0" fontId="10" fillId="0" borderId="1" xfId="0" applyFont="1" applyBorder="1" applyAlignment="1">
      <alignment horizontal="left"/>
    </xf>
    <xf numFmtId="14" fontId="10" fillId="0" borderId="1" xfId="0" applyNumberFormat="1" applyFont="1" applyBorder="1" applyAlignment="1">
      <alignment horizontal="left"/>
    </xf>
    <xf numFmtId="0" fontId="0" fillId="0" borderId="1" xfId="0" applyBorder="1" applyAlignment="1">
      <alignment horizontal="left"/>
    </xf>
    <xf numFmtId="0" fontId="11" fillId="0" borderId="1" xfId="0" applyFont="1" applyBorder="1" applyAlignment="1">
      <alignment horizontal="left"/>
    </xf>
    <xf numFmtId="0" fontId="7" fillId="0" borderId="1" xfId="0" applyFont="1" applyBorder="1" applyAlignment="1">
      <alignment horizontal="left"/>
    </xf>
    <xf numFmtId="0" fontId="12" fillId="0" borderId="1" xfId="0" applyFont="1" applyBorder="1" applyAlignment="1">
      <alignment horizontal="left" vertical="center" wrapText="1"/>
    </xf>
    <xf numFmtId="0" fontId="1" fillId="0" borderId="1" xfId="0" applyFont="1" applyBorder="1" applyAlignment="1">
      <alignment horizontal="left"/>
    </xf>
    <xf numFmtId="0" fontId="12" fillId="0" borderId="1" xfId="0" applyFont="1" applyBorder="1" applyAlignment="1">
      <alignment horizontal="left"/>
    </xf>
    <xf numFmtId="0" fontId="13" fillId="21" borderId="1" xfId="0" applyFont="1" applyFill="1" applyBorder="1" applyAlignment="1">
      <alignment horizontal="left"/>
    </xf>
    <xf numFmtId="14" fontId="0" fillId="0" borderId="1" xfId="0" applyNumberFormat="1" applyBorder="1" applyAlignment="1">
      <alignment horizontal="left"/>
    </xf>
    <xf numFmtId="0" fontId="10" fillId="22" borderId="1" xfId="0" applyFont="1" applyFill="1" applyBorder="1" applyAlignment="1">
      <alignment horizontal="left"/>
    </xf>
    <xf numFmtId="14" fontId="10" fillId="22" borderId="1" xfId="0" applyNumberFormat="1" applyFont="1" applyFill="1" applyBorder="1" applyAlignment="1">
      <alignment horizontal="left"/>
    </xf>
    <xf numFmtId="0" fontId="9" fillId="21" borderId="9" xfId="0" applyFont="1" applyFill="1" applyBorder="1" applyAlignment="1">
      <alignment horizontal="left"/>
    </xf>
    <xf numFmtId="0" fontId="10" fillId="21" borderId="11" xfId="0" applyFont="1" applyFill="1" applyBorder="1" applyAlignment="1">
      <alignment horizontal="left"/>
    </xf>
    <xf numFmtId="0" fontId="10" fillId="21" borderId="2" xfId="0" applyFont="1" applyFill="1" applyBorder="1" applyAlignment="1">
      <alignment horizontal="left"/>
    </xf>
    <xf numFmtId="14" fontId="10" fillId="21" borderId="1" xfId="0" applyNumberFormat="1" applyFont="1" applyFill="1" applyBorder="1" applyAlignment="1">
      <alignment horizontal="left"/>
    </xf>
    <xf numFmtId="0" fontId="0" fillId="21" borderId="1" xfId="0" applyFill="1" applyBorder="1" applyAlignment="1">
      <alignment horizontal="left"/>
    </xf>
    <xf numFmtId="0" fontId="12" fillId="21" borderId="1" xfId="0" applyFont="1" applyFill="1" applyBorder="1" applyAlignment="1">
      <alignment horizontal="left"/>
    </xf>
    <xf numFmtId="0" fontId="12" fillId="21" borderId="1" xfId="0" applyFont="1" applyFill="1" applyBorder="1" applyAlignment="1">
      <alignment horizontal="left" vertical="center" wrapText="1"/>
    </xf>
    <xf numFmtId="0" fontId="13" fillId="21" borderId="1" xfId="0" applyFont="1" applyFill="1" applyBorder="1" applyAlignment="1">
      <alignment horizontal="left" vertical="center"/>
    </xf>
    <xf numFmtId="14" fontId="11" fillId="0" borderId="1" xfId="0" applyNumberFormat="1" applyFont="1" applyBorder="1" applyAlignment="1">
      <alignment horizontal="left"/>
    </xf>
    <xf numFmtId="1" fontId="0" fillId="0" borderId="0" xfId="0" applyNumberFormat="1" applyAlignment="1">
      <alignment horizontal="left"/>
    </xf>
    <xf numFmtId="14" fontId="0" fillId="0" borderId="0" xfId="0" applyNumberFormat="1" applyAlignment="1">
      <alignment horizontal="left"/>
    </xf>
    <xf numFmtId="2" fontId="0" fillId="0" borderId="0" xfId="0" applyNumberFormat="1" applyAlignment="1">
      <alignment horizontal="left"/>
    </xf>
    <xf numFmtId="1" fontId="4" fillId="0" borderId="0" xfId="0" applyNumberFormat="1" applyFont="1" applyAlignment="1">
      <alignment horizontal="left" vertical="top"/>
    </xf>
    <xf numFmtId="1" fontId="2" fillId="9" borderId="1" xfId="0" applyNumberFormat="1" applyFont="1" applyFill="1" applyBorder="1" applyAlignment="1">
      <alignment horizontal="left" vertical="top" wrapText="1"/>
    </xf>
    <xf numFmtId="1" fontId="5" fillId="0" borderId="1" xfId="0" applyNumberFormat="1" applyFont="1" applyBorder="1" applyAlignment="1">
      <alignment horizontal="left" vertical="top"/>
    </xf>
    <xf numFmtId="1" fontId="5" fillId="0" borderId="1" xfId="0" applyNumberFormat="1" applyFont="1" applyBorder="1" applyAlignment="1">
      <alignment horizontal="left" vertical="top" wrapText="1"/>
    </xf>
    <xf numFmtId="1" fontId="5" fillId="3" borderId="1" xfId="0" applyNumberFormat="1" applyFont="1" applyFill="1" applyBorder="1" applyAlignment="1">
      <alignment horizontal="left" vertical="top" wrapText="1"/>
    </xf>
    <xf numFmtId="1" fontId="5" fillId="0" borderId="3" xfId="0" applyNumberFormat="1" applyFont="1" applyBorder="1" applyAlignment="1">
      <alignment horizontal="left" vertical="top"/>
    </xf>
    <xf numFmtId="1" fontId="5" fillId="0" borderId="9" xfId="0" applyNumberFormat="1" applyFont="1" applyBorder="1" applyAlignment="1">
      <alignment horizontal="left" vertical="top" wrapText="1"/>
    </xf>
    <xf numFmtId="1" fontId="5" fillId="0" borderId="6" xfId="0" applyNumberFormat="1" applyFont="1" applyBorder="1" applyAlignment="1">
      <alignment horizontal="left" vertical="center" wrapText="1"/>
    </xf>
    <xf numFmtId="1" fontId="5" fillId="0" borderId="1" xfId="0" applyNumberFormat="1" applyFont="1" applyBorder="1" applyAlignment="1">
      <alignment horizontal="left" vertical="center" wrapText="1"/>
    </xf>
    <xf numFmtId="1" fontId="5" fillId="0" borderId="4" xfId="0" applyNumberFormat="1" applyFont="1" applyBorder="1" applyAlignment="1">
      <alignment horizontal="left" vertical="top"/>
    </xf>
    <xf numFmtId="1" fontId="5" fillId="0" borderId="4" xfId="0" applyNumberFormat="1" applyFont="1" applyBorder="1" applyAlignment="1">
      <alignment horizontal="left" vertical="center"/>
    </xf>
    <xf numFmtId="1" fontId="4" fillId="0" borderId="1" xfId="0" applyNumberFormat="1" applyFont="1" applyBorder="1" applyAlignment="1">
      <alignment horizontal="left" vertical="top"/>
    </xf>
    <xf numFmtId="1" fontId="4" fillId="0" borderId="3" xfId="0" applyNumberFormat="1" applyFont="1" applyBorder="1" applyAlignment="1">
      <alignment horizontal="left" vertical="top"/>
    </xf>
    <xf numFmtId="1" fontId="5" fillId="0" borderId="1" xfId="0" applyNumberFormat="1" applyFont="1" applyFill="1" applyBorder="1" applyAlignment="1">
      <alignment horizontal="left" vertical="top"/>
    </xf>
    <xf numFmtId="0" fontId="5" fillId="0" borderId="2" xfId="0" applyFont="1" applyFill="1" applyBorder="1" applyAlignment="1">
      <alignment horizontal="left" vertical="top"/>
    </xf>
    <xf numFmtId="14" fontId="5" fillId="0" borderId="2" xfId="0" applyNumberFormat="1" applyFont="1" applyFill="1" applyBorder="1" applyAlignment="1">
      <alignment horizontal="left" vertical="top" wrapText="1"/>
    </xf>
    <xf numFmtId="0" fontId="5" fillId="0" borderId="2" xfId="0" applyFont="1" applyFill="1" applyBorder="1" applyAlignment="1">
      <alignment horizontal="left" vertical="top" wrapText="1"/>
    </xf>
    <xf numFmtId="14" fontId="5" fillId="0" borderId="1" xfId="0" applyNumberFormat="1" applyFont="1" applyFill="1" applyBorder="1" applyAlignment="1">
      <alignment horizontal="left" vertical="top"/>
    </xf>
    <xf numFmtId="0" fontId="4" fillId="0" borderId="0" xfId="0" applyFont="1" applyFill="1" applyAlignment="1">
      <alignment horizontal="left" vertical="top"/>
    </xf>
    <xf numFmtId="0" fontId="5" fillId="0" borderId="1" xfId="0" applyFont="1" applyFill="1" applyBorder="1" applyAlignment="1">
      <alignment horizontal="left" vertical="top"/>
    </xf>
    <xf numFmtId="0" fontId="7" fillId="0" borderId="0" xfId="0" applyFont="1"/>
    <xf numFmtId="14" fontId="5" fillId="0" borderId="0" xfId="0" applyNumberFormat="1" applyFont="1" applyBorder="1" applyAlignment="1">
      <alignment horizontal="left" vertical="top" wrapText="1"/>
    </xf>
    <xf numFmtId="14" fontId="4" fillId="0" borderId="2" xfId="0" applyNumberFormat="1" applyFont="1" applyBorder="1" applyAlignment="1">
      <alignment horizontal="left" vertical="center" wrapText="1"/>
    </xf>
    <xf numFmtId="14" fontId="4" fillId="0" borderId="0" xfId="0" applyNumberFormat="1" applyFont="1" applyBorder="1" applyAlignment="1">
      <alignment horizontal="left" vertical="center" wrapText="1"/>
    </xf>
    <xf numFmtId="14" fontId="4" fillId="20" borderId="1" xfId="0" applyNumberFormat="1" applyFont="1" applyFill="1" applyBorder="1" applyAlignment="1">
      <alignment horizontal="left" vertical="center" wrapText="1"/>
    </xf>
    <xf numFmtId="0" fontId="3" fillId="11" borderId="0" xfId="0" applyFont="1" applyFill="1" applyBorder="1" applyAlignment="1">
      <alignment horizontal="center" vertical="top"/>
    </xf>
    <xf numFmtId="1" fontId="5" fillId="4" borderId="2" xfId="0" applyNumberFormat="1" applyFont="1" applyFill="1" applyBorder="1" applyAlignment="1">
      <alignment horizontal="left" vertical="top" wrapText="1"/>
    </xf>
    <xf numFmtId="14" fontId="5" fillId="0" borderId="1" xfId="1" applyNumberFormat="1" applyFont="1" applyFill="1" applyBorder="1" applyAlignment="1">
      <alignment horizontal="left" vertical="top"/>
    </xf>
    <xf numFmtId="0" fontId="5" fillId="6" borderId="2" xfId="0" applyFont="1" applyFill="1" applyBorder="1" applyAlignment="1">
      <alignment horizontal="left" vertical="top" wrapText="1"/>
    </xf>
    <xf numFmtId="0" fontId="5" fillId="6" borderId="2" xfId="0" applyFont="1" applyFill="1" applyBorder="1" applyAlignment="1">
      <alignment horizontal="left" vertical="top"/>
    </xf>
    <xf numFmtId="0" fontId="4" fillId="0" borderId="2" xfId="0" applyFont="1" applyFill="1" applyBorder="1" applyAlignment="1">
      <alignment horizontal="left" vertical="center" wrapText="1"/>
    </xf>
    <xf numFmtId="0" fontId="4" fillId="0" borderId="0" xfId="0" applyFont="1"/>
    <xf numFmtId="0" fontId="4" fillId="0" borderId="0" xfId="0" applyFont="1" applyFill="1"/>
    <xf numFmtId="14" fontId="4" fillId="0" borderId="0" xfId="0" applyNumberFormat="1" applyFont="1" applyAlignment="1">
      <alignment horizontal="left"/>
    </xf>
    <xf numFmtId="0" fontId="3" fillId="4" borderId="10" xfId="0" applyFont="1" applyFill="1" applyBorder="1" applyAlignment="1">
      <alignment horizontal="center" vertical="top"/>
    </xf>
    <xf numFmtId="0" fontId="3" fillId="11" borderId="10" xfId="0" applyFont="1" applyFill="1" applyBorder="1" applyAlignment="1">
      <alignment horizontal="center" vertical="top"/>
    </xf>
    <xf numFmtId="0" fontId="9" fillId="0" borderId="1" xfId="0" applyFont="1" applyBorder="1" applyAlignment="1">
      <alignment horizontal="left"/>
    </xf>
    <xf numFmtId="1" fontId="4" fillId="20" borderId="0" xfId="0" applyNumberFormat="1" applyFont="1" applyFill="1" applyAlignment="1">
      <alignment horizontal="left" vertical="top"/>
    </xf>
    <xf numFmtId="1" fontId="2" fillId="20" borderId="2" xfId="0" applyNumberFormat="1" applyFont="1" applyFill="1" applyBorder="1" applyAlignment="1">
      <alignment horizontal="left" vertical="top" wrapText="1"/>
    </xf>
    <xf numFmtId="1" fontId="5" fillId="20" borderId="2" xfId="0" applyNumberFormat="1" applyFont="1" applyFill="1" applyBorder="1" applyAlignment="1">
      <alignment horizontal="left" vertical="top" wrapText="1"/>
    </xf>
    <xf numFmtId="1" fontId="5" fillId="20" borderId="5" xfId="0" applyNumberFormat="1" applyFont="1" applyFill="1" applyBorder="1" applyAlignment="1">
      <alignment horizontal="left" vertical="top" wrapText="1"/>
    </xf>
    <xf numFmtId="1" fontId="4" fillId="20" borderId="1" xfId="0" applyNumberFormat="1" applyFont="1" applyFill="1" applyBorder="1" applyAlignment="1">
      <alignment horizontal="left" vertical="center" wrapText="1"/>
    </xf>
    <xf numFmtId="1" fontId="4" fillId="20" borderId="0" xfId="0" applyNumberFormat="1" applyFont="1" applyFill="1" applyAlignment="1">
      <alignment horizontal="left" wrapText="1"/>
    </xf>
    <xf numFmtId="1" fontId="4" fillId="20" borderId="1" xfId="0" applyNumberFormat="1" applyFont="1" applyFill="1" applyBorder="1" applyAlignment="1">
      <alignment horizontal="left" wrapText="1"/>
    </xf>
    <xf numFmtId="1" fontId="4" fillId="20" borderId="4" xfId="0" applyNumberFormat="1" applyFont="1" applyFill="1" applyBorder="1" applyAlignment="1">
      <alignment horizontal="left" wrapText="1"/>
    </xf>
    <xf numFmtId="1" fontId="4" fillId="20" borderId="0" xfId="0" applyNumberFormat="1" applyFont="1" applyFill="1" applyAlignment="1">
      <alignment horizontal="left" vertical="top" wrapText="1"/>
    </xf>
    <xf numFmtId="1" fontId="5" fillId="20" borderId="7" xfId="0" applyNumberFormat="1" applyFont="1" applyFill="1" applyBorder="1" applyAlignment="1">
      <alignment horizontal="left" vertical="top" wrapText="1"/>
    </xf>
    <xf numFmtId="1" fontId="4" fillId="20" borderId="0" xfId="0" applyNumberFormat="1" applyFont="1" applyFill="1" applyAlignment="1">
      <alignment horizontal="left"/>
    </xf>
    <xf numFmtId="1" fontId="4" fillId="20" borderId="1" xfId="0" applyNumberFormat="1" applyFont="1" applyFill="1" applyBorder="1" applyAlignment="1">
      <alignment horizontal="left"/>
    </xf>
    <xf numFmtId="1" fontId="5" fillId="0" borderId="1" xfId="1" applyNumberFormat="1" applyFont="1" applyFill="1" applyBorder="1" applyAlignment="1">
      <alignment horizontal="left" vertical="top"/>
    </xf>
    <xf numFmtId="1" fontId="5" fillId="0" borderId="0" xfId="0" applyNumberFormat="1" applyFont="1" applyBorder="1" applyAlignment="1">
      <alignment horizontal="left" vertical="top"/>
    </xf>
    <xf numFmtId="1" fontId="5" fillId="0" borderId="3" xfId="1" applyNumberFormat="1" applyFont="1" applyFill="1" applyBorder="1" applyAlignment="1">
      <alignment horizontal="left" vertical="top"/>
    </xf>
    <xf numFmtId="1" fontId="5" fillId="0" borderId="4" xfId="1" applyNumberFormat="1" applyFont="1" applyFill="1" applyBorder="1" applyAlignment="1">
      <alignment horizontal="left" vertical="top" wrapText="1"/>
    </xf>
    <xf numFmtId="1" fontId="4" fillId="0" borderId="6" xfId="0" applyNumberFormat="1" applyFont="1" applyBorder="1" applyAlignment="1">
      <alignment horizontal="left" vertical="center"/>
    </xf>
    <xf numFmtId="1" fontId="4" fillId="0" borderId="1" xfId="0" applyNumberFormat="1" applyFont="1" applyBorder="1" applyAlignment="1">
      <alignment horizontal="left" vertical="center"/>
    </xf>
    <xf numFmtId="14" fontId="4" fillId="0" borderId="0" xfId="0" applyNumberFormat="1" applyFont="1"/>
    <xf numFmtId="14" fontId="4" fillId="4" borderId="0" xfId="0" applyNumberFormat="1" applyFont="1" applyFill="1"/>
    <xf numFmtId="1" fontId="5" fillId="18" borderId="1" xfId="0" applyNumberFormat="1" applyFont="1" applyFill="1" applyBorder="1" applyAlignment="1">
      <alignment horizontal="left" vertical="top"/>
    </xf>
    <xf numFmtId="0" fontId="5" fillId="18" borderId="2" xfId="0" applyFont="1" applyFill="1" applyBorder="1" applyAlignment="1">
      <alignment horizontal="left" vertical="top"/>
    </xf>
    <xf numFmtId="14" fontId="5" fillId="18" borderId="2" xfId="0" applyNumberFormat="1" applyFont="1" applyFill="1" applyBorder="1" applyAlignment="1">
      <alignment horizontal="left" vertical="top" wrapText="1"/>
    </xf>
    <xf numFmtId="1" fontId="5" fillId="18" borderId="2" xfId="0" applyNumberFormat="1" applyFont="1" applyFill="1" applyBorder="1" applyAlignment="1">
      <alignment horizontal="left" vertical="top" wrapText="1"/>
    </xf>
    <xf numFmtId="0" fontId="5" fillId="18" borderId="2" xfId="0" applyFont="1" applyFill="1" applyBorder="1" applyAlignment="1">
      <alignment horizontal="left" vertical="top" wrapText="1"/>
    </xf>
    <xf numFmtId="14" fontId="5" fillId="18" borderId="1" xfId="0" applyNumberFormat="1" applyFont="1" applyFill="1" applyBorder="1" applyAlignment="1">
      <alignment horizontal="left" vertical="top"/>
    </xf>
    <xf numFmtId="0" fontId="5" fillId="18" borderId="1" xfId="0" applyFont="1" applyFill="1" applyBorder="1" applyAlignment="1">
      <alignment horizontal="left" vertical="top"/>
    </xf>
    <xf numFmtId="164" fontId="5" fillId="18" borderId="1" xfId="1" applyFont="1" applyFill="1" applyBorder="1" applyAlignment="1">
      <alignment horizontal="left" vertical="top"/>
    </xf>
    <xf numFmtId="1" fontId="5" fillId="18" borderId="1" xfId="1" applyNumberFormat="1" applyFont="1" applyFill="1" applyBorder="1" applyAlignment="1">
      <alignment horizontal="left" vertical="top"/>
    </xf>
    <xf numFmtId="0" fontId="4" fillId="18" borderId="0" xfId="0" applyFont="1" applyFill="1"/>
    <xf numFmtId="0" fontId="4" fillId="18" borderId="0" xfId="0" applyFont="1" applyFill="1" applyAlignment="1">
      <alignment horizontal="left" vertical="top"/>
    </xf>
    <xf numFmtId="1" fontId="2" fillId="9" borderId="2" xfId="0" applyNumberFormat="1" applyFont="1" applyFill="1" applyBorder="1" applyAlignment="1">
      <alignment horizontal="left" vertical="top" wrapText="1"/>
    </xf>
    <xf numFmtId="1" fontId="5" fillId="0" borderId="2" xfId="0" applyNumberFormat="1" applyFont="1" applyBorder="1" applyAlignment="1">
      <alignment horizontal="left" vertical="top" wrapText="1"/>
    </xf>
    <xf numFmtId="1" fontId="5" fillId="0" borderId="5" xfId="0" applyNumberFormat="1" applyFont="1" applyBorder="1" applyAlignment="1">
      <alignment horizontal="left" vertical="top" wrapText="1"/>
    </xf>
    <xf numFmtId="1" fontId="5" fillId="0" borderId="7" xfId="0" applyNumberFormat="1" applyFont="1" applyBorder="1" applyAlignment="1">
      <alignment horizontal="left" vertical="top" wrapText="1"/>
    </xf>
    <xf numFmtId="1" fontId="4" fillId="0" borderId="1" xfId="0" applyNumberFormat="1" applyFont="1" applyBorder="1" applyAlignment="1">
      <alignment horizontal="left" vertical="center" wrapText="1"/>
    </xf>
    <xf numFmtId="1" fontId="4" fillId="0" borderId="0" xfId="0" applyNumberFormat="1" applyFont="1" applyAlignment="1">
      <alignment horizontal="left" wrapText="1"/>
    </xf>
    <xf numFmtId="1" fontId="4" fillId="0" borderId="1" xfId="0" applyNumberFormat="1" applyFont="1" applyBorder="1" applyAlignment="1">
      <alignment horizontal="left" wrapText="1"/>
    </xf>
    <xf numFmtId="1" fontId="4" fillId="0" borderId="4" xfId="0" applyNumberFormat="1" applyFont="1" applyBorder="1" applyAlignment="1">
      <alignment horizontal="left" wrapText="1"/>
    </xf>
    <xf numFmtId="1" fontId="4" fillId="0" borderId="0" xfId="0" applyNumberFormat="1" applyFont="1" applyAlignment="1">
      <alignment horizontal="left" vertical="top" wrapText="1"/>
    </xf>
    <xf numFmtId="1" fontId="4" fillId="0" borderId="0" xfId="0" applyNumberFormat="1" applyFont="1" applyAlignment="1">
      <alignment horizontal="left"/>
    </xf>
    <xf numFmtId="1" fontId="4" fillId="0" borderId="1" xfId="0" applyNumberFormat="1" applyFont="1" applyBorder="1" applyAlignment="1">
      <alignment horizontal="left"/>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pageSetUpPr fitToPage="1"/>
  </sheetPr>
  <dimension ref="A1:BO303"/>
  <sheetViews>
    <sheetView tabSelected="1" zoomScale="198" zoomScaleNormal="242" zoomScaleSheetLayoutView="89" workbookViewId="0">
      <pane xSplit="2" ySplit="4" topLeftCell="S104" activePane="bottomRight" state="frozen"/>
      <selection pane="topRight" activeCell="C1" sqref="C1"/>
      <selection pane="bottomLeft" activeCell="A5" sqref="A5"/>
      <selection pane="bottomRight" activeCell="S110" sqref="S110"/>
    </sheetView>
  </sheetViews>
  <sheetFormatPr defaultColWidth="16.5546875" defaultRowHeight="12" x14ac:dyDescent="0.3"/>
  <cols>
    <col min="1" max="1" width="14.5546875" style="149" bestFit="1" customWidth="1"/>
    <col min="2" max="2" width="36.33203125" style="1" bestFit="1" customWidth="1"/>
    <col min="3" max="3" width="13.21875" style="1" bestFit="1" customWidth="1"/>
    <col min="4" max="4" width="4.21875" style="149" bestFit="1" customWidth="1"/>
    <col min="5" max="5" width="13.21875" style="98" customWidth="1"/>
    <col min="6" max="6" width="10.5546875" style="186" customWidth="1"/>
    <col min="7" max="7" width="12.5546875" style="1" bestFit="1" customWidth="1"/>
    <col min="8" max="8" width="22.77734375" style="1" bestFit="1" customWidth="1"/>
    <col min="9" max="9" width="14.6640625" style="1" customWidth="1"/>
    <col min="10" max="10" width="12.5546875" style="1" customWidth="1"/>
    <col min="11" max="11" width="41.21875" style="1" bestFit="1" customWidth="1"/>
    <col min="12" max="12" width="12.77734375" style="1" bestFit="1" customWidth="1"/>
    <col min="13" max="13" width="1.77734375" style="1" bestFit="1" customWidth="1"/>
    <col min="14" max="14" width="50.77734375" style="1" bestFit="1" customWidth="1"/>
    <col min="15" max="15" width="14.6640625" style="1" bestFit="1" customWidth="1"/>
    <col min="16" max="16" width="14.6640625" style="1" customWidth="1"/>
    <col min="17" max="17" width="18.5546875" style="149" customWidth="1"/>
    <col min="18" max="18" width="18.5546875" style="1" customWidth="1"/>
    <col min="19" max="19" width="169.33203125" style="1" bestFit="1" customWidth="1"/>
    <col min="20" max="20" width="19.109375" style="1" customWidth="1"/>
    <col min="21" max="22" width="14.44140625" style="53" customWidth="1"/>
    <col min="23" max="23" width="12" style="53" customWidth="1"/>
    <col min="24" max="24" width="16.33203125" style="53" customWidth="1"/>
    <col min="25" max="27" width="19.109375" style="53" customWidth="1"/>
    <col min="28" max="30" width="16.33203125" style="53" customWidth="1"/>
    <col min="31" max="31" width="31.44140625" style="53" customWidth="1"/>
    <col min="32" max="32" width="5.33203125" style="1" customWidth="1"/>
    <col min="33" max="16384" width="16.5546875" style="1"/>
  </cols>
  <sheetData>
    <row r="1" spans="1:31" x14ac:dyDescent="0.3">
      <c r="G1" s="1" t="s">
        <v>1298</v>
      </c>
      <c r="H1" s="183" t="s">
        <v>385</v>
      </c>
      <c r="I1" s="183"/>
      <c r="J1" s="183"/>
      <c r="K1" s="184" t="s">
        <v>384</v>
      </c>
      <c r="L1" s="184"/>
      <c r="M1" s="174"/>
    </row>
    <row r="2" spans="1:31" ht="40.799999999999997" x14ac:dyDescent="0.3">
      <c r="A2" s="150" t="s">
        <v>0</v>
      </c>
      <c r="B2" s="96" t="s">
        <v>4</v>
      </c>
      <c r="C2" s="96" t="s">
        <v>13</v>
      </c>
      <c r="D2" s="217" t="s">
        <v>1438</v>
      </c>
      <c r="E2" s="99" t="s">
        <v>646</v>
      </c>
      <c r="F2" s="187" t="s">
        <v>1430</v>
      </c>
      <c r="G2" s="96" t="s">
        <v>1300</v>
      </c>
      <c r="H2" s="96" t="s">
        <v>5</v>
      </c>
      <c r="I2" s="96" t="s">
        <v>387</v>
      </c>
      <c r="J2" s="96" t="s">
        <v>386</v>
      </c>
      <c r="K2" s="96" t="s">
        <v>5</v>
      </c>
      <c r="L2" s="96" t="s">
        <v>6</v>
      </c>
      <c r="M2" s="96"/>
      <c r="N2" s="95" t="s">
        <v>1</v>
      </c>
      <c r="O2" s="95" t="s">
        <v>7</v>
      </c>
      <c r="P2" s="95" t="s">
        <v>1431</v>
      </c>
      <c r="Q2" s="150" t="s">
        <v>365</v>
      </c>
      <c r="R2" s="95" t="s">
        <v>16</v>
      </c>
      <c r="S2" s="97" t="s">
        <v>12</v>
      </c>
      <c r="T2" s="95" t="s">
        <v>14</v>
      </c>
      <c r="U2" s="45" t="s">
        <v>3</v>
      </c>
      <c r="V2" s="45" t="s">
        <v>17</v>
      </c>
      <c r="W2" s="45" t="s">
        <v>1426</v>
      </c>
      <c r="X2" s="45" t="s">
        <v>8</v>
      </c>
      <c r="Y2" s="45" t="s">
        <v>15</v>
      </c>
      <c r="Z2" s="45" t="s">
        <v>1427</v>
      </c>
      <c r="AA2" s="45" t="s">
        <v>2</v>
      </c>
      <c r="AB2" s="45" t="s">
        <v>9</v>
      </c>
      <c r="AC2" s="45" t="s">
        <v>10</v>
      </c>
      <c r="AD2" s="45" t="s">
        <v>18</v>
      </c>
      <c r="AE2" s="45" t="s">
        <v>11</v>
      </c>
    </row>
    <row r="3" spans="1:31" x14ac:dyDescent="0.3">
      <c r="A3" s="151">
        <v>19901899045</v>
      </c>
      <c r="B3" s="42" t="s">
        <v>19</v>
      </c>
      <c r="C3" s="57">
        <v>23654</v>
      </c>
      <c r="D3" s="218">
        <f ca="1">DATEDIF(C3,TODAY(),"Y")</f>
        <v>61</v>
      </c>
      <c r="E3" s="100">
        <v>32908</v>
      </c>
      <c r="F3" s="188">
        <f ca="1">DATEDIF(E3,TODAY(),"Y")</f>
        <v>36</v>
      </c>
      <c r="G3" s="57" t="s">
        <v>1298</v>
      </c>
      <c r="H3" s="3" t="s">
        <v>1298</v>
      </c>
      <c r="I3" s="3" t="s">
        <v>1298</v>
      </c>
      <c r="J3" s="3" t="s">
        <v>1298</v>
      </c>
      <c r="K3" s="3" t="s">
        <v>1298</v>
      </c>
      <c r="L3" s="3" t="s">
        <v>1298</v>
      </c>
      <c r="M3" s="175">
        <f>IF(COUNTA(G3:L3)=0,0,1)</f>
        <v>1</v>
      </c>
      <c r="N3" s="4" t="s">
        <v>366</v>
      </c>
      <c r="O3" s="4" t="s">
        <v>1293</v>
      </c>
      <c r="P3" s="4" t="str">
        <f>IFERROR(VLOOKUP(TRIM(CLEAN(O3)),'JOB GROUPS'!A:B,2,FALSE),"Not Found")</f>
        <v>NM1</v>
      </c>
      <c r="Q3" s="198">
        <f ca="1">DATEDIF(R3,TODAY(),"Y")</f>
        <v>1</v>
      </c>
      <c r="R3" s="180" t="s">
        <v>1193</v>
      </c>
      <c r="S3" s="6" t="s">
        <v>647</v>
      </c>
      <c r="T3" s="5" t="s">
        <v>368</v>
      </c>
      <c r="U3" s="13"/>
      <c r="V3" s="13"/>
      <c r="W3" s="13"/>
      <c r="X3" s="13"/>
      <c r="Y3" s="14"/>
      <c r="Z3" s="14"/>
      <c r="AA3" s="14"/>
      <c r="AB3" s="13"/>
      <c r="AC3" s="13"/>
      <c r="AD3" s="13"/>
      <c r="AE3" s="13"/>
    </row>
    <row r="4" spans="1:31" ht="14.4" customHeight="1" x14ac:dyDescent="0.3">
      <c r="A4" s="152">
        <v>19990495773</v>
      </c>
      <c r="B4" s="3" t="s">
        <v>20</v>
      </c>
      <c r="C4" s="57" t="s">
        <v>202</v>
      </c>
      <c r="D4" s="218">
        <f t="shared" ref="D4:D67" ca="1" si="0">DATEDIF(C4,TODAY(),"Y")</f>
        <v>51</v>
      </c>
      <c r="E4" s="100">
        <v>36167</v>
      </c>
      <c r="F4" s="188">
        <f t="shared" ref="F4:F67" ca="1" si="1">DATEDIF(E4,TODAY(),"Y")</f>
        <v>27</v>
      </c>
      <c r="G4" s="57" t="s">
        <v>1298</v>
      </c>
      <c r="H4" s="3" t="s">
        <v>1298</v>
      </c>
      <c r="I4" s="3" t="s">
        <v>1298</v>
      </c>
      <c r="J4" s="3" t="s">
        <v>1298</v>
      </c>
      <c r="K4" s="165" t="s">
        <v>1401</v>
      </c>
      <c r="L4" s="3" t="s">
        <v>1289</v>
      </c>
      <c r="M4" s="175">
        <f t="shared" ref="M4:M67" si="2">IF(COUNTA(G4:L4)=0,0,1)</f>
        <v>1</v>
      </c>
      <c r="N4" s="4" t="s">
        <v>296</v>
      </c>
      <c r="O4" s="4" t="s">
        <v>372</v>
      </c>
      <c r="P4" s="4" t="str">
        <f>IFERROR(VLOOKUP(TRIM(CLEAN(O4)),'JOB GROUPS'!A:B,2,FALSE),"Not Found")</f>
        <v>NM6</v>
      </c>
      <c r="Q4" s="198">
        <f t="shared" ref="Q4:Q67" ca="1" si="3">DATEDIF(R4,TODAY(),"Y")</f>
        <v>1</v>
      </c>
      <c r="R4" s="180" t="s">
        <v>1199</v>
      </c>
      <c r="S4" s="6" t="s">
        <v>648</v>
      </c>
      <c r="T4" s="5" t="s">
        <v>369</v>
      </c>
      <c r="U4" s="13"/>
      <c r="V4" s="13"/>
      <c r="W4" s="13"/>
      <c r="X4" s="13"/>
      <c r="Y4" s="14"/>
      <c r="Z4" s="14"/>
      <c r="AA4" s="14"/>
      <c r="AB4" s="13"/>
      <c r="AC4" s="13"/>
      <c r="AD4" s="13"/>
      <c r="AE4" s="13"/>
    </row>
    <row r="5" spans="1:31" ht="14.4" customHeight="1" x14ac:dyDescent="0.3">
      <c r="A5" s="151">
        <v>20114215626</v>
      </c>
      <c r="B5" s="42" t="s">
        <v>21</v>
      </c>
      <c r="C5" s="57">
        <v>26454</v>
      </c>
      <c r="D5" s="218">
        <f t="shared" ca="1" si="0"/>
        <v>54</v>
      </c>
      <c r="E5" s="100">
        <v>40546</v>
      </c>
      <c r="F5" s="188">
        <f t="shared" ca="1" si="1"/>
        <v>15</v>
      </c>
      <c r="G5" s="57" t="s">
        <v>1298</v>
      </c>
      <c r="H5" s="3" t="s">
        <v>1298</v>
      </c>
      <c r="I5" s="3" t="s">
        <v>1298</v>
      </c>
      <c r="J5" s="3" t="s">
        <v>1298</v>
      </c>
      <c r="K5" s="3" t="s">
        <v>1380</v>
      </c>
      <c r="L5" s="3" t="s">
        <v>1287</v>
      </c>
      <c r="M5" s="175">
        <f t="shared" si="2"/>
        <v>1</v>
      </c>
      <c r="N5" s="4" t="s">
        <v>1432</v>
      </c>
      <c r="O5" s="4" t="s">
        <v>373</v>
      </c>
      <c r="P5" s="4" t="str">
        <f>IFERROR(VLOOKUP(TRIM(CLEAN(O5)),'JOB GROUPS'!A:B,2,FALSE),"Not Found")</f>
        <v>NM4</v>
      </c>
      <c r="Q5" s="198">
        <f t="shared" ca="1" si="3"/>
        <v>9</v>
      </c>
      <c r="R5" s="180" t="s">
        <v>1194</v>
      </c>
      <c r="S5" s="6" t="s">
        <v>649</v>
      </c>
      <c r="T5" s="5" t="s">
        <v>369</v>
      </c>
      <c r="U5" s="13"/>
      <c r="V5" s="13"/>
      <c r="W5" s="13"/>
      <c r="X5" s="13"/>
      <c r="Y5" s="14"/>
      <c r="Z5" s="14"/>
      <c r="AA5" s="14"/>
      <c r="AB5" s="13"/>
      <c r="AC5" s="13"/>
      <c r="AD5" s="13"/>
      <c r="AE5" s="13"/>
    </row>
    <row r="6" spans="1:31" ht="14.4" customHeight="1" x14ac:dyDescent="0.3">
      <c r="A6" s="152">
        <v>19990495650</v>
      </c>
      <c r="B6" s="3" t="s">
        <v>22</v>
      </c>
      <c r="C6" s="57">
        <v>27551</v>
      </c>
      <c r="D6" s="218">
        <f t="shared" ca="1" si="0"/>
        <v>51</v>
      </c>
      <c r="E6" s="100">
        <v>36169</v>
      </c>
      <c r="F6" s="188">
        <f t="shared" ca="1" si="1"/>
        <v>27</v>
      </c>
      <c r="G6" s="57" t="s">
        <v>1298</v>
      </c>
      <c r="H6" s="3" t="s">
        <v>1298</v>
      </c>
      <c r="I6" s="3" t="s">
        <v>1298</v>
      </c>
      <c r="J6" s="3" t="s">
        <v>1298</v>
      </c>
      <c r="K6" s="165" t="s">
        <v>1402</v>
      </c>
      <c r="L6" s="3" t="s">
        <v>1291</v>
      </c>
      <c r="M6" s="175">
        <f t="shared" si="2"/>
        <v>1</v>
      </c>
      <c r="N6" s="4" t="s">
        <v>298</v>
      </c>
      <c r="O6" s="4" t="s">
        <v>372</v>
      </c>
      <c r="P6" s="4" t="str">
        <f>IFERROR(VLOOKUP(TRIM(CLEAN(O6)),'JOB GROUPS'!A:B,2,FALSE),"Not Found")</f>
        <v>NM6</v>
      </c>
      <c r="Q6" s="198">
        <f t="shared" ca="1" si="3"/>
        <v>9</v>
      </c>
      <c r="R6" s="180" t="s">
        <v>1194</v>
      </c>
      <c r="S6" s="6" t="s">
        <v>650</v>
      </c>
      <c r="T6" s="5" t="s">
        <v>369</v>
      </c>
      <c r="U6" s="13"/>
      <c r="V6" s="13"/>
      <c r="W6" s="13"/>
      <c r="X6" s="13"/>
      <c r="Y6" s="14"/>
      <c r="Z6" s="14"/>
      <c r="AA6" s="14"/>
      <c r="AB6" s="13"/>
      <c r="AC6" s="13"/>
      <c r="AD6" s="13"/>
      <c r="AE6" s="13"/>
    </row>
    <row r="7" spans="1:31" ht="14.4" customHeight="1" x14ac:dyDescent="0.3">
      <c r="A7" s="151">
        <v>20160708902</v>
      </c>
      <c r="B7" s="42" t="s">
        <v>23</v>
      </c>
      <c r="C7" s="57">
        <v>31900</v>
      </c>
      <c r="D7" s="218">
        <f t="shared" ca="1" si="0"/>
        <v>39</v>
      </c>
      <c r="E7" s="100">
        <v>42377</v>
      </c>
      <c r="F7" s="188">
        <f t="shared" ca="1" si="1"/>
        <v>10</v>
      </c>
      <c r="G7" s="57" t="s">
        <v>1298</v>
      </c>
      <c r="H7" s="3" t="s">
        <v>1298</v>
      </c>
      <c r="I7" s="3" t="s">
        <v>1298</v>
      </c>
      <c r="J7" s="3" t="s">
        <v>1298</v>
      </c>
      <c r="K7" s="3" t="s">
        <v>1317</v>
      </c>
      <c r="L7" s="3" t="s">
        <v>1287</v>
      </c>
      <c r="M7" s="175">
        <f t="shared" si="2"/>
        <v>1</v>
      </c>
      <c r="N7" s="4" t="s">
        <v>299</v>
      </c>
      <c r="O7" s="4" t="s">
        <v>375</v>
      </c>
      <c r="P7" s="4" t="str">
        <f>IFERROR(VLOOKUP(TRIM(CLEAN(O7)),'JOB GROUPS'!A:B,2,FALSE),"Not Found")</f>
        <v>NM8</v>
      </c>
      <c r="Q7" s="198">
        <f t="shared" ca="1" si="3"/>
        <v>9</v>
      </c>
      <c r="R7" s="180" t="s">
        <v>1245</v>
      </c>
      <c r="S7" s="6" t="s">
        <v>651</v>
      </c>
      <c r="T7" s="5" t="s">
        <v>368</v>
      </c>
      <c r="U7" s="13"/>
      <c r="V7" s="13"/>
      <c r="W7" s="13"/>
      <c r="X7" s="13"/>
      <c r="Y7" s="14"/>
      <c r="Z7" s="14"/>
      <c r="AA7" s="14"/>
      <c r="AB7" s="13"/>
      <c r="AC7" s="13"/>
      <c r="AD7" s="13"/>
      <c r="AE7" s="13"/>
    </row>
    <row r="8" spans="1:31" ht="14.4" customHeight="1" x14ac:dyDescent="0.3">
      <c r="A8" s="151">
        <v>20220598180</v>
      </c>
      <c r="B8" s="42" t="s">
        <v>24</v>
      </c>
      <c r="C8" s="57">
        <v>34676</v>
      </c>
      <c r="D8" s="218">
        <f t="shared" ca="1" si="0"/>
        <v>31</v>
      </c>
      <c r="E8" s="100">
        <v>44563</v>
      </c>
      <c r="F8" s="188">
        <f t="shared" ca="1" si="1"/>
        <v>4</v>
      </c>
      <c r="G8" s="57" t="s">
        <v>1298</v>
      </c>
      <c r="H8" s="3" t="s">
        <v>1298</v>
      </c>
      <c r="I8" s="3" t="s">
        <v>1298</v>
      </c>
      <c r="J8" s="3" t="s">
        <v>1298</v>
      </c>
      <c r="K8" s="3" t="s">
        <v>1352</v>
      </c>
      <c r="L8" s="3" t="s">
        <v>1291</v>
      </c>
      <c r="M8" s="175">
        <f t="shared" si="2"/>
        <v>1</v>
      </c>
      <c r="N8" s="4" t="s">
        <v>300</v>
      </c>
      <c r="O8" s="4" t="s">
        <v>375</v>
      </c>
      <c r="P8" s="4" t="str">
        <f>IFERROR(VLOOKUP(TRIM(CLEAN(O8)),'JOB GROUPS'!A:B,2,FALSE),"Not Found")</f>
        <v>NM8</v>
      </c>
      <c r="Q8" s="198">
        <f t="shared" ca="1" si="3"/>
        <v>1</v>
      </c>
      <c r="R8" s="180" t="s">
        <v>1255</v>
      </c>
      <c r="S8" s="6" t="s">
        <v>652</v>
      </c>
      <c r="T8" s="5" t="s">
        <v>368</v>
      </c>
      <c r="U8" s="13"/>
      <c r="V8" s="13"/>
      <c r="W8" s="13"/>
      <c r="X8" s="13"/>
      <c r="Y8" s="14"/>
      <c r="Z8" s="14"/>
      <c r="AA8" s="14"/>
      <c r="AB8" s="13"/>
      <c r="AC8" s="13"/>
      <c r="AD8" s="13"/>
      <c r="AE8" s="13"/>
    </row>
    <row r="9" spans="1:31" ht="14.4" customHeight="1" x14ac:dyDescent="0.3">
      <c r="A9" s="152">
        <v>20121211099</v>
      </c>
      <c r="B9" s="3" t="s">
        <v>25</v>
      </c>
      <c r="C9" s="57" t="s">
        <v>203</v>
      </c>
      <c r="D9" s="218">
        <f t="shared" ca="1" si="0"/>
        <v>51</v>
      </c>
      <c r="E9" s="100">
        <v>40913</v>
      </c>
      <c r="F9" s="188">
        <f t="shared" ca="1" si="1"/>
        <v>14</v>
      </c>
      <c r="G9" s="57" t="s">
        <v>1298</v>
      </c>
      <c r="H9" s="3" t="s">
        <v>1298</v>
      </c>
      <c r="I9" s="3" t="s">
        <v>1298</v>
      </c>
      <c r="J9" s="3" t="s">
        <v>1298</v>
      </c>
      <c r="K9" s="165" t="s">
        <v>1299</v>
      </c>
      <c r="L9" s="3" t="s">
        <v>1274</v>
      </c>
      <c r="M9" s="175">
        <f t="shared" si="2"/>
        <v>1</v>
      </c>
      <c r="N9" s="4" t="s">
        <v>301</v>
      </c>
      <c r="O9" s="4" t="s">
        <v>378</v>
      </c>
      <c r="P9" s="4" t="str">
        <f>IFERROR(VLOOKUP(TRIM(CLEAN(O9)),'JOB GROUPS'!A:B,2,FALSE),"Not Found")</f>
        <v>NM11</v>
      </c>
      <c r="Q9" s="198">
        <f t="shared" ca="1" si="3"/>
        <v>10</v>
      </c>
      <c r="R9" s="180" t="s">
        <v>1239</v>
      </c>
      <c r="S9" s="6" t="s">
        <v>653</v>
      </c>
      <c r="T9" s="5" t="s">
        <v>368</v>
      </c>
      <c r="U9" s="13"/>
      <c r="V9" s="13"/>
      <c r="W9" s="13"/>
      <c r="X9" s="13"/>
      <c r="Y9" s="14"/>
      <c r="Z9" s="14"/>
      <c r="AA9" s="14"/>
      <c r="AB9" s="13"/>
      <c r="AC9" s="13"/>
      <c r="AD9" s="13"/>
      <c r="AE9" s="13"/>
    </row>
    <row r="10" spans="1:31" ht="14.4" customHeight="1" x14ac:dyDescent="0.3">
      <c r="A10" s="151">
        <v>19990495812</v>
      </c>
      <c r="B10" s="42" t="s">
        <v>26</v>
      </c>
      <c r="C10" s="57" t="s">
        <v>204</v>
      </c>
      <c r="D10" s="218">
        <f t="shared" ca="1" si="0"/>
        <v>49</v>
      </c>
      <c r="E10" s="100">
        <v>36166</v>
      </c>
      <c r="F10" s="188">
        <f t="shared" ca="1" si="1"/>
        <v>27</v>
      </c>
      <c r="G10" s="57" t="s">
        <v>1298</v>
      </c>
      <c r="H10" s="3" t="s">
        <v>1298</v>
      </c>
      <c r="I10" s="3" t="s">
        <v>1298</v>
      </c>
      <c r="J10" s="3" t="s">
        <v>1298</v>
      </c>
      <c r="K10" s="165" t="s">
        <v>1403</v>
      </c>
      <c r="L10" s="3" t="s">
        <v>1277</v>
      </c>
      <c r="M10" s="175">
        <f t="shared" si="2"/>
        <v>1</v>
      </c>
      <c r="N10" s="4" t="s">
        <v>302</v>
      </c>
      <c r="O10" s="4" t="s">
        <v>376</v>
      </c>
      <c r="P10" s="4" t="str">
        <f>IFERROR(VLOOKUP(TRIM(CLEAN(O10)),'JOB GROUPS'!A:B,2,FALSE),"Not Found")</f>
        <v>NM9</v>
      </c>
      <c r="Q10" s="198">
        <f t="shared" ca="1" si="3"/>
        <v>8</v>
      </c>
      <c r="R10" s="180" t="s">
        <v>1209</v>
      </c>
      <c r="S10" s="6" t="s">
        <v>654</v>
      </c>
      <c r="T10" s="5" t="s">
        <v>369</v>
      </c>
      <c r="U10" s="13"/>
      <c r="V10" s="13"/>
      <c r="W10" s="13"/>
      <c r="X10" s="13"/>
      <c r="Y10" s="14"/>
      <c r="Z10" s="14"/>
      <c r="AA10" s="14"/>
      <c r="AB10" s="13"/>
      <c r="AC10" s="13"/>
      <c r="AD10" s="13"/>
      <c r="AE10" s="13"/>
    </row>
    <row r="11" spans="1:31" ht="14.4" customHeight="1" x14ac:dyDescent="0.3">
      <c r="A11" s="151">
        <v>20077018333</v>
      </c>
      <c r="B11" s="42" t="s">
        <v>27</v>
      </c>
      <c r="C11" s="57" t="s">
        <v>205</v>
      </c>
      <c r="D11" s="218">
        <f t="shared" ca="1" si="0"/>
        <v>54</v>
      </c>
      <c r="E11" s="100">
        <v>39083</v>
      </c>
      <c r="F11" s="188">
        <f t="shared" ca="1" si="1"/>
        <v>19</v>
      </c>
      <c r="G11" s="57" t="s">
        <v>1298</v>
      </c>
      <c r="H11" s="3" t="s">
        <v>1298</v>
      </c>
      <c r="I11" s="3" t="s">
        <v>1298</v>
      </c>
      <c r="J11" s="3" t="s">
        <v>1298</v>
      </c>
      <c r="K11" s="165" t="s">
        <v>1404</v>
      </c>
      <c r="L11" s="3" t="s">
        <v>1274</v>
      </c>
      <c r="M11" s="175">
        <f t="shared" si="2"/>
        <v>1</v>
      </c>
      <c r="N11" s="4" t="s">
        <v>303</v>
      </c>
      <c r="O11" s="4" t="s">
        <v>377</v>
      </c>
      <c r="P11" s="4" t="str">
        <f>IFERROR(VLOOKUP(TRIM(CLEAN(O11)),'JOB GROUPS'!A:B,2,FALSE),"Not Found")</f>
        <v>NM10</v>
      </c>
      <c r="Q11" s="198">
        <f t="shared" ca="1" si="3"/>
        <v>9</v>
      </c>
      <c r="R11" s="180" t="s">
        <v>1194</v>
      </c>
      <c r="S11" s="6" t="s">
        <v>655</v>
      </c>
      <c r="T11" s="5" t="s">
        <v>369</v>
      </c>
      <c r="U11" s="13"/>
      <c r="V11" s="13"/>
      <c r="W11" s="13"/>
      <c r="X11" s="13"/>
      <c r="Y11" s="14"/>
      <c r="Z11" s="14"/>
      <c r="AA11" s="14"/>
      <c r="AB11" s="13"/>
      <c r="AC11" s="13"/>
      <c r="AD11" s="13"/>
      <c r="AE11" s="13"/>
    </row>
    <row r="12" spans="1:31" ht="14.4" customHeight="1" x14ac:dyDescent="0.3">
      <c r="A12" s="151">
        <v>20077018202</v>
      </c>
      <c r="B12" s="42" t="s">
        <v>28</v>
      </c>
      <c r="C12" s="57" t="s">
        <v>206</v>
      </c>
      <c r="D12" s="218">
        <f t="shared" ca="1" si="0"/>
        <v>52</v>
      </c>
      <c r="E12" s="100">
        <v>39417</v>
      </c>
      <c r="F12" s="188">
        <f t="shared" ca="1" si="1"/>
        <v>18</v>
      </c>
      <c r="G12" s="57">
        <v>36010</v>
      </c>
      <c r="H12" s="3" t="s">
        <v>1313</v>
      </c>
      <c r="I12" s="3" t="s">
        <v>1298</v>
      </c>
      <c r="J12" s="3" t="s">
        <v>1304</v>
      </c>
      <c r="K12" s="3" t="s">
        <v>1318</v>
      </c>
      <c r="L12" s="3" t="s">
        <v>1277</v>
      </c>
      <c r="M12" s="175">
        <f t="shared" si="2"/>
        <v>1</v>
      </c>
      <c r="N12" s="4" t="s">
        <v>304</v>
      </c>
      <c r="O12" s="4" t="s">
        <v>378</v>
      </c>
      <c r="P12" s="4" t="str">
        <f>IFERROR(VLOOKUP(TRIM(CLEAN(O12)),'JOB GROUPS'!A:B,2,FALSE),"Not Found")</f>
        <v>NM11</v>
      </c>
      <c r="Q12" s="198">
        <f t="shared" ca="1" si="3"/>
        <v>13</v>
      </c>
      <c r="R12" s="180" t="s">
        <v>1195</v>
      </c>
      <c r="S12" s="6" t="s">
        <v>656</v>
      </c>
      <c r="T12" s="5" t="s">
        <v>369</v>
      </c>
      <c r="U12" s="13"/>
      <c r="V12" s="13"/>
      <c r="W12" s="13"/>
      <c r="X12" s="13"/>
      <c r="Y12" s="14"/>
      <c r="Z12" s="14"/>
      <c r="AA12" s="14"/>
      <c r="AB12" s="13"/>
      <c r="AC12" s="13"/>
      <c r="AD12" s="13"/>
      <c r="AE12" s="13"/>
    </row>
    <row r="13" spans="1:31" ht="14.4" customHeight="1" x14ac:dyDescent="0.3">
      <c r="A13" s="152">
        <v>20220598130</v>
      </c>
      <c r="B13" s="3" t="s">
        <v>29</v>
      </c>
      <c r="C13" s="57" t="s">
        <v>207</v>
      </c>
      <c r="D13" s="218">
        <f t="shared" ca="1" si="0"/>
        <v>29</v>
      </c>
      <c r="E13" s="100">
        <v>44563</v>
      </c>
      <c r="F13" s="188">
        <f t="shared" ca="1" si="1"/>
        <v>4</v>
      </c>
      <c r="G13" s="57">
        <v>40969</v>
      </c>
      <c r="H13" s="3" t="s">
        <v>1313</v>
      </c>
      <c r="I13" s="3" t="s">
        <v>1298</v>
      </c>
      <c r="J13" s="3" t="s">
        <v>1304</v>
      </c>
      <c r="K13" s="3" t="s">
        <v>1316</v>
      </c>
      <c r="L13" s="3" t="s">
        <v>1291</v>
      </c>
      <c r="M13" s="175">
        <f t="shared" si="2"/>
        <v>1</v>
      </c>
      <c r="N13" s="9" t="s">
        <v>305</v>
      </c>
      <c r="O13" s="4" t="s">
        <v>378</v>
      </c>
      <c r="P13" s="4" t="str">
        <f>IFERROR(VLOOKUP(TRIM(CLEAN(O13)),'JOB GROUPS'!A:B,2,FALSE),"Not Found")</f>
        <v>NM11</v>
      </c>
      <c r="Q13" s="198">
        <f t="shared" ca="1" si="3"/>
        <v>1</v>
      </c>
      <c r="R13" s="180" t="s">
        <v>1199</v>
      </c>
      <c r="S13" s="6" t="s">
        <v>657</v>
      </c>
      <c r="T13" s="5" t="s">
        <v>368</v>
      </c>
      <c r="U13" s="13"/>
      <c r="V13" s="13"/>
      <c r="W13" s="13"/>
      <c r="X13" s="13"/>
      <c r="Y13" s="14"/>
      <c r="Z13" s="14"/>
      <c r="AA13" s="14"/>
      <c r="AB13" s="13"/>
      <c r="AC13" s="13"/>
      <c r="AD13" s="13"/>
      <c r="AE13" s="13"/>
    </row>
    <row r="14" spans="1:31" ht="14.4" customHeight="1" x14ac:dyDescent="0.3">
      <c r="A14" s="152">
        <v>20077018391</v>
      </c>
      <c r="B14" s="3" t="s">
        <v>30</v>
      </c>
      <c r="C14" s="57">
        <v>26303</v>
      </c>
      <c r="D14" s="218">
        <f t="shared" ca="1" si="0"/>
        <v>54</v>
      </c>
      <c r="E14" s="100">
        <v>39083</v>
      </c>
      <c r="F14" s="188">
        <f t="shared" ca="1" si="1"/>
        <v>19</v>
      </c>
      <c r="G14" s="57">
        <v>37774</v>
      </c>
      <c r="H14" s="3" t="s">
        <v>1314</v>
      </c>
      <c r="I14" s="3" t="s">
        <v>1298</v>
      </c>
      <c r="J14" s="3" t="s">
        <v>1304</v>
      </c>
      <c r="K14" s="3" t="s">
        <v>1315</v>
      </c>
      <c r="L14" s="3" t="s">
        <v>1274</v>
      </c>
      <c r="M14" s="175">
        <f t="shared" si="2"/>
        <v>1</v>
      </c>
      <c r="N14" s="9" t="s">
        <v>306</v>
      </c>
      <c r="O14" s="4" t="s">
        <v>379</v>
      </c>
      <c r="P14" s="4" t="str">
        <f>IFERROR(VLOOKUP(TRIM(CLEAN(O14)),'JOB GROUPS'!A:B,2,FALSE),"Not Found")</f>
        <v>NM12</v>
      </c>
      <c r="Q14" s="198">
        <f t="shared" ca="1" si="3"/>
        <v>19</v>
      </c>
      <c r="R14" s="180" t="s">
        <v>1223</v>
      </c>
      <c r="S14" s="6" t="s">
        <v>658</v>
      </c>
      <c r="T14" s="5" t="s">
        <v>369</v>
      </c>
      <c r="U14" s="13"/>
      <c r="V14" s="13"/>
      <c r="W14" s="13"/>
      <c r="X14" s="13"/>
      <c r="Y14" s="14"/>
      <c r="Z14" s="14"/>
      <c r="AA14" s="14"/>
      <c r="AB14" s="13"/>
      <c r="AC14" s="13"/>
      <c r="AD14" s="13"/>
      <c r="AE14" s="13"/>
    </row>
    <row r="15" spans="1:31" ht="14.4" customHeight="1" x14ac:dyDescent="0.3">
      <c r="A15" s="151">
        <v>20240300989</v>
      </c>
      <c r="B15" s="42" t="s">
        <v>31</v>
      </c>
      <c r="C15" s="57" t="s">
        <v>208</v>
      </c>
      <c r="D15" s="218">
        <f t="shared" ca="1" si="0"/>
        <v>27</v>
      </c>
      <c r="E15" s="100">
        <v>45334</v>
      </c>
      <c r="F15" s="188">
        <f t="shared" ca="1" si="1"/>
        <v>2</v>
      </c>
      <c r="G15" s="57">
        <v>44256</v>
      </c>
      <c r="H15" s="3" t="s">
        <v>1313</v>
      </c>
      <c r="I15" s="3" t="s">
        <v>1298</v>
      </c>
      <c r="J15" s="3" t="s">
        <v>1304</v>
      </c>
      <c r="K15" s="3" t="s">
        <v>1316</v>
      </c>
      <c r="L15" s="3" t="s">
        <v>1291</v>
      </c>
      <c r="M15" s="175">
        <f t="shared" si="2"/>
        <v>1</v>
      </c>
      <c r="N15" s="4" t="s">
        <v>306</v>
      </c>
      <c r="O15" s="4" t="s">
        <v>379</v>
      </c>
      <c r="P15" s="4" t="str">
        <f>IFERROR(VLOOKUP(TRIM(CLEAN(O15)),'JOB GROUPS'!A:B,2,FALSE),"Not Found")</f>
        <v>NM12</v>
      </c>
      <c r="Q15" s="198">
        <f t="shared" ca="1" si="3"/>
        <v>1</v>
      </c>
      <c r="R15" s="180" t="s">
        <v>1268</v>
      </c>
      <c r="S15" s="6" t="s">
        <v>657</v>
      </c>
      <c r="T15" s="5" t="s">
        <v>368</v>
      </c>
      <c r="U15" s="13"/>
      <c r="V15" s="13"/>
      <c r="W15" s="13"/>
      <c r="X15" s="13"/>
      <c r="Y15" s="14"/>
      <c r="Z15" s="14"/>
      <c r="AA15" s="14"/>
      <c r="AB15" s="13"/>
      <c r="AC15" s="13"/>
      <c r="AD15" s="13"/>
      <c r="AE15" s="13"/>
    </row>
    <row r="16" spans="1:31" s="216" customFormat="1" ht="14.4" customHeight="1" x14ac:dyDescent="0.3">
      <c r="A16" s="206"/>
      <c r="B16" s="207"/>
      <c r="C16" s="208"/>
      <c r="D16" s="209"/>
      <c r="E16" s="208"/>
      <c r="F16" s="209"/>
      <c r="G16" s="208"/>
      <c r="H16" s="210"/>
      <c r="I16" s="210"/>
      <c r="J16" s="210"/>
      <c r="K16" s="210"/>
      <c r="L16" s="210"/>
      <c r="M16" s="209"/>
      <c r="N16" s="213"/>
      <c r="O16" s="213"/>
      <c r="P16" s="213"/>
      <c r="Q16" s="214"/>
      <c r="R16" s="215"/>
      <c r="S16" s="213"/>
      <c r="T16" s="211"/>
      <c r="U16" s="213"/>
      <c r="V16" s="213"/>
      <c r="W16" s="213"/>
      <c r="X16" s="213"/>
      <c r="Y16" s="211"/>
      <c r="Z16" s="211"/>
      <c r="AA16" s="211"/>
      <c r="AB16" s="213"/>
      <c r="AC16" s="213"/>
      <c r="AD16" s="213"/>
      <c r="AE16" s="213"/>
    </row>
    <row r="17" spans="1:67" ht="14.4" customHeight="1" x14ac:dyDescent="0.3">
      <c r="A17" s="151">
        <v>20077017769</v>
      </c>
      <c r="B17" s="42" t="s">
        <v>32</v>
      </c>
      <c r="C17" s="57">
        <v>29587</v>
      </c>
      <c r="D17" s="218">
        <f t="shared" ca="1" si="0"/>
        <v>45</v>
      </c>
      <c r="E17" s="100">
        <v>39427</v>
      </c>
      <c r="F17" s="188">
        <f t="shared" ca="1" si="1"/>
        <v>18</v>
      </c>
      <c r="G17" s="57" t="s">
        <v>1298</v>
      </c>
      <c r="H17" s="3" t="s">
        <v>1298</v>
      </c>
      <c r="I17" s="3" t="s">
        <v>1298</v>
      </c>
      <c r="J17" s="3" t="s">
        <v>1298</v>
      </c>
      <c r="K17" s="3" t="s">
        <v>1311</v>
      </c>
      <c r="L17" s="3" t="s">
        <v>1286</v>
      </c>
      <c r="M17" s="175">
        <f t="shared" si="2"/>
        <v>1</v>
      </c>
      <c r="N17" s="4" t="s">
        <v>307</v>
      </c>
      <c r="O17" s="4" t="s">
        <v>380</v>
      </c>
      <c r="P17" s="4" t="str">
        <f>IFERROR(VLOOKUP(TRIM(CLEAN(O17)),'JOB GROUPS'!A:B,2,FALSE),"Not Found")</f>
        <v>NM5</v>
      </c>
      <c r="Q17" s="198">
        <f t="shared" ca="1" si="3"/>
        <v>8</v>
      </c>
      <c r="R17" s="180" t="s">
        <v>1218</v>
      </c>
      <c r="S17" s="6" t="s">
        <v>660</v>
      </c>
      <c r="T17" s="5" t="s">
        <v>369</v>
      </c>
      <c r="U17" s="13"/>
      <c r="V17" s="13"/>
      <c r="W17" s="13"/>
      <c r="X17" s="13"/>
      <c r="Y17" s="14"/>
      <c r="Z17" s="14"/>
      <c r="AA17" s="14"/>
      <c r="AB17" s="13"/>
      <c r="AC17" s="13"/>
      <c r="AD17" s="13"/>
      <c r="AE17" s="13"/>
    </row>
    <row r="18" spans="1:67" ht="14.4" customHeight="1" x14ac:dyDescent="0.3">
      <c r="A18" s="151">
        <v>20030731445</v>
      </c>
      <c r="B18" s="42" t="s">
        <v>33</v>
      </c>
      <c r="C18" s="57">
        <v>28408</v>
      </c>
      <c r="D18" s="218">
        <f t="shared" ca="1" si="0"/>
        <v>48</v>
      </c>
      <c r="E18" s="100">
        <v>37867</v>
      </c>
      <c r="F18" s="188">
        <f t="shared" ca="1" si="1"/>
        <v>22</v>
      </c>
      <c r="G18" s="57" t="s">
        <v>1298</v>
      </c>
      <c r="H18" s="3" t="s">
        <v>1298</v>
      </c>
      <c r="I18" s="3" t="s">
        <v>1298</v>
      </c>
      <c r="J18" s="3" t="s">
        <v>1298</v>
      </c>
      <c r="K18" s="3" t="s">
        <v>1321</v>
      </c>
      <c r="L18" s="3" t="s">
        <v>1289</v>
      </c>
      <c r="M18" s="175">
        <f t="shared" si="2"/>
        <v>1</v>
      </c>
      <c r="N18" s="4" t="s">
        <v>308</v>
      </c>
      <c r="O18" s="4" t="s">
        <v>374</v>
      </c>
      <c r="P18" s="4" t="str">
        <f>IFERROR(VLOOKUP(TRIM(CLEAN(O18)),'JOB GROUPS'!A:B,2,FALSE),"Not Found")</f>
        <v>NM7</v>
      </c>
      <c r="Q18" s="198">
        <f t="shared" ca="1" si="3"/>
        <v>9</v>
      </c>
      <c r="R18" s="180" t="s">
        <v>1194</v>
      </c>
      <c r="S18" s="6" t="s">
        <v>661</v>
      </c>
      <c r="T18" s="5" t="s">
        <v>369</v>
      </c>
      <c r="U18" s="13"/>
      <c r="V18" s="13"/>
      <c r="W18" s="13"/>
      <c r="X18" s="13"/>
      <c r="Y18" s="14"/>
      <c r="Z18" s="14"/>
      <c r="AA18" s="14"/>
      <c r="AB18" s="13"/>
      <c r="AC18" s="13"/>
      <c r="AD18" s="13"/>
      <c r="AE18" s="13"/>
    </row>
    <row r="19" spans="1:67" ht="14.4" customHeight="1" x14ac:dyDescent="0.3">
      <c r="A19" s="151">
        <v>20178600817</v>
      </c>
      <c r="B19" s="42" t="s">
        <v>34</v>
      </c>
      <c r="C19" s="57" t="s">
        <v>209</v>
      </c>
      <c r="D19" s="218">
        <f t="shared" ca="1" si="0"/>
        <v>34</v>
      </c>
      <c r="E19" s="100">
        <v>42747</v>
      </c>
      <c r="F19" s="188">
        <f t="shared" ca="1" si="1"/>
        <v>9</v>
      </c>
      <c r="G19" s="57" t="s">
        <v>1298</v>
      </c>
      <c r="H19" s="3" t="s">
        <v>1298</v>
      </c>
      <c r="I19" s="3" t="s">
        <v>1298</v>
      </c>
      <c r="J19" s="3" t="s">
        <v>1298</v>
      </c>
      <c r="K19" s="3" t="s">
        <v>1347</v>
      </c>
      <c r="L19" s="3" t="s">
        <v>1286</v>
      </c>
      <c r="M19" s="175">
        <f t="shared" si="2"/>
        <v>1</v>
      </c>
      <c r="N19" s="4" t="s">
        <v>309</v>
      </c>
      <c r="O19" s="4" t="s">
        <v>374</v>
      </c>
      <c r="P19" s="4" t="str">
        <f>IFERROR(VLOOKUP(TRIM(CLEAN(O19)),'JOB GROUPS'!A:B,2,FALSE),"Not Found")</f>
        <v>NM7</v>
      </c>
      <c r="Q19" s="198">
        <f t="shared" ca="1" si="3"/>
        <v>8</v>
      </c>
      <c r="R19" s="180" t="s">
        <v>1242</v>
      </c>
      <c r="S19" s="6" t="s">
        <v>662</v>
      </c>
      <c r="T19" s="5" t="s">
        <v>369</v>
      </c>
      <c r="U19" s="13"/>
      <c r="V19" s="13"/>
      <c r="W19" s="13"/>
      <c r="X19" s="13"/>
      <c r="Y19" s="14"/>
      <c r="Z19" s="14"/>
      <c r="AA19" s="14"/>
      <c r="AB19" s="13"/>
      <c r="AC19" s="13"/>
      <c r="AD19" s="13"/>
      <c r="AE19" s="13"/>
    </row>
    <row r="20" spans="1:67" ht="14.4" customHeight="1" x14ac:dyDescent="0.3">
      <c r="A20" s="151">
        <v>20178600833</v>
      </c>
      <c r="B20" s="42" t="s">
        <v>35</v>
      </c>
      <c r="C20" s="57" t="s">
        <v>210</v>
      </c>
      <c r="D20" s="218">
        <f t="shared" ca="1" si="0"/>
        <v>35</v>
      </c>
      <c r="E20" s="100">
        <v>42747</v>
      </c>
      <c r="F20" s="188">
        <f t="shared" ca="1" si="1"/>
        <v>9</v>
      </c>
      <c r="G20" s="57" t="s">
        <v>1298</v>
      </c>
      <c r="H20" s="3" t="s">
        <v>1298</v>
      </c>
      <c r="I20" s="3" t="s">
        <v>1298</v>
      </c>
      <c r="J20" s="3" t="s">
        <v>1298</v>
      </c>
      <c r="K20" s="3" t="s">
        <v>1347</v>
      </c>
      <c r="L20" s="3" t="s">
        <v>1286</v>
      </c>
      <c r="M20" s="175">
        <f t="shared" si="2"/>
        <v>1</v>
      </c>
      <c r="N20" s="4" t="s">
        <v>309</v>
      </c>
      <c r="O20" s="4" t="s">
        <v>374</v>
      </c>
      <c r="P20" s="4" t="str">
        <f>IFERROR(VLOOKUP(TRIM(CLEAN(O20)),'JOB GROUPS'!A:B,2,FALSE),"Not Found")</f>
        <v>NM7</v>
      </c>
      <c r="Q20" s="198">
        <f t="shared" ca="1" si="3"/>
        <v>8</v>
      </c>
      <c r="R20" s="180" t="s">
        <v>1242</v>
      </c>
      <c r="S20" s="6" t="s">
        <v>663</v>
      </c>
      <c r="T20" s="5" t="s">
        <v>368</v>
      </c>
      <c r="U20" s="13"/>
      <c r="V20" s="13"/>
      <c r="W20" s="13"/>
      <c r="X20" s="13"/>
      <c r="Y20" s="14"/>
      <c r="Z20" s="14"/>
      <c r="AA20" s="14"/>
      <c r="AB20" s="13"/>
      <c r="AC20" s="13"/>
      <c r="AD20" s="13"/>
      <c r="AE20" s="13"/>
    </row>
    <row r="21" spans="1:67" ht="14.4" customHeight="1" x14ac:dyDescent="0.3">
      <c r="A21" s="152">
        <v>20010746137</v>
      </c>
      <c r="B21" s="3" t="s">
        <v>36</v>
      </c>
      <c r="C21" s="57" t="s">
        <v>211</v>
      </c>
      <c r="D21" s="218">
        <f t="shared" ca="1" si="0"/>
        <v>50</v>
      </c>
      <c r="E21" s="100">
        <v>36896</v>
      </c>
      <c r="F21" s="188">
        <f t="shared" ca="1" si="1"/>
        <v>25</v>
      </c>
      <c r="G21" s="57" t="s">
        <v>1298</v>
      </c>
      <c r="H21" s="3" t="s">
        <v>1298</v>
      </c>
      <c r="I21" s="3" t="s">
        <v>1298</v>
      </c>
      <c r="J21" s="3" t="s">
        <v>1298</v>
      </c>
      <c r="K21" s="165" t="s">
        <v>1405</v>
      </c>
      <c r="L21" s="3" t="s">
        <v>1291</v>
      </c>
      <c r="M21" s="175">
        <f t="shared" si="2"/>
        <v>1</v>
      </c>
      <c r="N21" s="4" t="s">
        <v>310</v>
      </c>
      <c r="O21" s="4" t="s">
        <v>375</v>
      </c>
      <c r="P21" s="4" t="str">
        <f>IFERROR(VLOOKUP(TRIM(CLEAN(O21)),'JOB GROUPS'!A:B,2,FALSE),"Not Found")</f>
        <v>NM8</v>
      </c>
      <c r="Q21" s="198">
        <f t="shared" ca="1" si="3"/>
        <v>16</v>
      </c>
      <c r="R21" s="180" t="s">
        <v>1210</v>
      </c>
      <c r="S21" s="6" t="s">
        <v>664</v>
      </c>
      <c r="T21" s="5" t="s">
        <v>368</v>
      </c>
      <c r="U21" s="13"/>
      <c r="V21" s="13"/>
      <c r="W21" s="13"/>
      <c r="X21" s="13"/>
      <c r="Y21" s="14"/>
      <c r="Z21" s="14"/>
      <c r="AA21" s="14"/>
      <c r="AB21" s="13"/>
      <c r="AC21" s="13"/>
      <c r="AD21" s="13"/>
      <c r="AE21" s="13"/>
    </row>
    <row r="22" spans="1:67" ht="14.4" customHeight="1" x14ac:dyDescent="0.3">
      <c r="A22" s="151">
        <v>20220597833</v>
      </c>
      <c r="B22" s="42" t="s">
        <v>37</v>
      </c>
      <c r="C22" s="57" t="s">
        <v>212</v>
      </c>
      <c r="D22" s="218">
        <f t="shared" ca="1" si="0"/>
        <v>29</v>
      </c>
      <c r="E22" s="100">
        <v>44564</v>
      </c>
      <c r="F22" s="188">
        <f t="shared" ca="1" si="1"/>
        <v>4</v>
      </c>
      <c r="G22" s="57" t="s">
        <v>1298</v>
      </c>
      <c r="H22" s="3" t="s">
        <v>1298</v>
      </c>
      <c r="I22" s="3" t="s">
        <v>1298</v>
      </c>
      <c r="J22" s="3" t="s">
        <v>1298</v>
      </c>
      <c r="K22" s="3" t="s">
        <v>1346</v>
      </c>
      <c r="L22" s="3" t="s">
        <v>1287</v>
      </c>
      <c r="M22" s="175">
        <f t="shared" si="2"/>
        <v>1</v>
      </c>
      <c r="N22" s="5" t="s">
        <v>311</v>
      </c>
      <c r="O22" s="2" t="s">
        <v>375</v>
      </c>
      <c r="P22" s="4" t="str">
        <f>IFERROR(VLOOKUP(TRIM(CLEAN(O22)),'JOB GROUPS'!A:B,2,FALSE),"Not Found")</f>
        <v>NM8</v>
      </c>
      <c r="Q22" s="198">
        <f t="shared" ca="1" si="3"/>
        <v>4</v>
      </c>
      <c r="R22" s="180" t="s">
        <v>1191</v>
      </c>
      <c r="S22" s="6" t="s">
        <v>665</v>
      </c>
      <c r="T22" s="5" t="s">
        <v>369</v>
      </c>
      <c r="U22" s="13"/>
      <c r="V22" s="13"/>
      <c r="W22" s="13"/>
      <c r="X22" s="13"/>
      <c r="Y22" s="14"/>
      <c r="Z22" s="14"/>
      <c r="AA22" s="14"/>
      <c r="AB22" s="13"/>
      <c r="AC22" s="13"/>
      <c r="AD22" s="13"/>
      <c r="AE22" s="13"/>
    </row>
    <row r="23" spans="1:67" ht="14.4" customHeight="1" x14ac:dyDescent="0.3">
      <c r="A23" s="151">
        <v>20089224039</v>
      </c>
      <c r="B23" s="42" t="s">
        <v>38</v>
      </c>
      <c r="C23" s="57">
        <v>28678</v>
      </c>
      <c r="D23" s="218">
        <f t="shared" ca="1" si="0"/>
        <v>47</v>
      </c>
      <c r="E23" s="100">
        <v>39479</v>
      </c>
      <c r="F23" s="188">
        <f t="shared" ca="1" si="1"/>
        <v>18</v>
      </c>
      <c r="G23" s="57" t="s">
        <v>1298</v>
      </c>
      <c r="H23" s="3" t="s">
        <v>1298</v>
      </c>
      <c r="I23" s="3" t="s">
        <v>1298</v>
      </c>
      <c r="J23" s="3" t="s">
        <v>1298</v>
      </c>
      <c r="K23" s="3" t="s">
        <v>1320</v>
      </c>
      <c r="L23" s="3" t="s">
        <v>1290</v>
      </c>
      <c r="M23" s="175">
        <f t="shared" si="2"/>
        <v>1</v>
      </c>
      <c r="N23" s="5" t="s">
        <v>312</v>
      </c>
      <c r="O23" s="2" t="s">
        <v>377</v>
      </c>
      <c r="P23" s="4" t="str">
        <f>IFERROR(VLOOKUP(TRIM(CLEAN(O23)),'JOB GROUPS'!A:B,2,FALSE),"Not Found")</f>
        <v>NM10</v>
      </c>
      <c r="Q23" s="198">
        <f t="shared" ca="1" si="3"/>
        <v>13</v>
      </c>
      <c r="R23" s="180" t="s">
        <v>1195</v>
      </c>
      <c r="S23" s="6" t="s">
        <v>666</v>
      </c>
      <c r="T23" s="5" t="s">
        <v>368</v>
      </c>
      <c r="U23" s="13"/>
      <c r="V23" s="13"/>
      <c r="W23" s="13"/>
      <c r="X23" s="13"/>
      <c r="Y23" s="14"/>
      <c r="Z23" s="14"/>
      <c r="AA23" s="14"/>
      <c r="AB23" s="13"/>
      <c r="AC23" s="13"/>
      <c r="AD23" s="13"/>
      <c r="AE23" s="13"/>
    </row>
    <row r="24" spans="1:67" ht="14.4" customHeight="1" x14ac:dyDescent="0.3">
      <c r="A24" s="151">
        <v>20114215537</v>
      </c>
      <c r="B24" s="42" t="s">
        <v>39</v>
      </c>
      <c r="C24" s="57" t="s">
        <v>213</v>
      </c>
      <c r="D24" s="218">
        <f t="shared" ca="1" si="0"/>
        <v>56</v>
      </c>
      <c r="E24" s="100">
        <v>40549</v>
      </c>
      <c r="F24" s="188">
        <f t="shared" ca="1" si="1"/>
        <v>15</v>
      </c>
      <c r="G24" s="57">
        <v>40238</v>
      </c>
      <c r="H24" s="3" t="s">
        <v>1303</v>
      </c>
      <c r="I24" s="3" t="s">
        <v>1298</v>
      </c>
      <c r="J24" s="3" t="s">
        <v>1305</v>
      </c>
      <c r="K24" s="3" t="s">
        <v>1298</v>
      </c>
      <c r="L24" s="3" t="s">
        <v>1298</v>
      </c>
      <c r="M24" s="175">
        <f t="shared" si="2"/>
        <v>1</v>
      </c>
      <c r="N24" s="5" t="s">
        <v>312</v>
      </c>
      <c r="O24" s="2" t="s">
        <v>377</v>
      </c>
      <c r="P24" s="4" t="str">
        <f>IFERROR(VLOOKUP(TRIM(CLEAN(O24)),'JOB GROUPS'!A:B,2,FALSE),"Not Found")</f>
        <v>NM10</v>
      </c>
      <c r="Q24" s="198">
        <f t="shared" ca="1" si="3"/>
        <v>14</v>
      </c>
      <c r="R24" s="180" t="s">
        <v>1233</v>
      </c>
      <c r="S24" s="6" t="s">
        <v>667</v>
      </c>
      <c r="T24" s="5" t="s">
        <v>369</v>
      </c>
      <c r="U24" s="13"/>
      <c r="V24" s="13"/>
      <c r="W24" s="13"/>
      <c r="X24" s="13"/>
      <c r="Y24" s="14"/>
      <c r="Z24" s="14"/>
      <c r="AA24" s="14"/>
      <c r="AB24" s="13"/>
      <c r="AC24" s="13"/>
      <c r="AD24" s="13"/>
      <c r="AE24" s="13"/>
    </row>
    <row r="25" spans="1:67" ht="14.4" customHeight="1" x14ac:dyDescent="0.3">
      <c r="A25" s="151">
        <v>20142576250</v>
      </c>
      <c r="B25" s="42" t="s">
        <v>40</v>
      </c>
      <c r="C25" s="57">
        <v>32421</v>
      </c>
      <c r="D25" s="218">
        <f t="shared" ca="1" si="0"/>
        <v>37</v>
      </c>
      <c r="E25" s="100">
        <v>41640</v>
      </c>
      <c r="F25" s="188">
        <f t="shared" ca="1" si="1"/>
        <v>12</v>
      </c>
      <c r="G25" s="57" t="s">
        <v>1298</v>
      </c>
      <c r="H25" s="3" t="s">
        <v>1298</v>
      </c>
      <c r="I25" s="3" t="s">
        <v>1298</v>
      </c>
      <c r="J25" s="3" t="s">
        <v>1298</v>
      </c>
      <c r="K25" s="3" t="s">
        <v>1321</v>
      </c>
      <c r="L25" s="3" t="s">
        <v>1289</v>
      </c>
      <c r="M25" s="175">
        <f t="shared" si="2"/>
        <v>1</v>
      </c>
      <c r="N25" s="5" t="s">
        <v>313</v>
      </c>
      <c r="O25" s="2" t="s">
        <v>377</v>
      </c>
      <c r="P25" s="4" t="str">
        <f>IFERROR(VLOOKUP(TRIM(CLEAN(O25)),'JOB GROUPS'!A:B,2,FALSE),"Not Found")</f>
        <v>NM10</v>
      </c>
      <c r="Q25" s="198">
        <f t="shared" ca="1" si="3"/>
        <v>12</v>
      </c>
      <c r="R25" s="205">
        <v>41640</v>
      </c>
      <c r="S25" s="6" t="s">
        <v>668</v>
      </c>
      <c r="T25" s="5" t="s">
        <v>369</v>
      </c>
      <c r="U25" s="13"/>
      <c r="V25" s="13"/>
      <c r="W25" s="13"/>
      <c r="X25" s="13"/>
      <c r="Y25" s="14"/>
      <c r="Z25" s="14"/>
      <c r="AA25" s="14"/>
      <c r="AB25" s="13"/>
      <c r="AC25" s="13"/>
      <c r="AD25" s="13"/>
      <c r="AE25" s="13"/>
    </row>
    <row r="26" spans="1:67" s="11" customFormat="1" ht="14.4" customHeight="1" x14ac:dyDescent="0.3">
      <c r="A26" s="151">
        <v>20152655226</v>
      </c>
      <c r="B26" s="42" t="s">
        <v>41</v>
      </c>
      <c r="C26" s="57">
        <v>31963</v>
      </c>
      <c r="D26" s="218">
        <f t="shared" ca="1" si="0"/>
        <v>38</v>
      </c>
      <c r="E26" s="100" t="s">
        <v>873</v>
      </c>
      <c r="F26" s="188">
        <f t="shared" ca="1" si="1"/>
        <v>10</v>
      </c>
      <c r="G26" s="57">
        <v>40500</v>
      </c>
      <c r="H26" s="3" t="s">
        <v>1294</v>
      </c>
      <c r="I26" s="3" t="s">
        <v>1298</v>
      </c>
      <c r="J26" s="3" t="s">
        <v>1304</v>
      </c>
      <c r="K26" s="3" t="s">
        <v>1342</v>
      </c>
      <c r="L26" s="3" t="s">
        <v>1291</v>
      </c>
      <c r="M26" s="175">
        <f t="shared" si="2"/>
        <v>1</v>
      </c>
      <c r="N26" s="5" t="s">
        <v>312</v>
      </c>
      <c r="O26" s="2" t="s">
        <v>377</v>
      </c>
      <c r="P26" s="4" t="str">
        <f>IFERROR(VLOOKUP(TRIM(CLEAN(O26)),'JOB GROUPS'!A:B,2,FALSE),"Not Found")</f>
        <v>NM10</v>
      </c>
      <c r="Q26" s="198">
        <f t="shared" ca="1" si="3"/>
        <v>10</v>
      </c>
      <c r="R26" s="205">
        <v>42370</v>
      </c>
      <c r="S26" s="6" t="s">
        <v>669</v>
      </c>
      <c r="T26" s="5" t="s">
        <v>369</v>
      </c>
      <c r="U26" s="13"/>
      <c r="V26" s="13"/>
      <c r="W26" s="13"/>
      <c r="X26" s="13"/>
      <c r="Y26" s="14"/>
      <c r="Z26" s="14"/>
      <c r="AA26" s="14"/>
      <c r="AB26" s="13"/>
      <c r="AC26" s="13"/>
      <c r="AD26" s="13"/>
      <c r="AE26" s="13"/>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row>
    <row r="27" spans="1:67" ht="14.4" customHeight="1" x14ac:dyDescent="0.3">
      <c r="A27" s="151">
        <v>20178600980</v>
      </c>
      <c r="B27" s="42" t="s">
        <v>42</v>
      </c>
      <c r="C27" s="57" t="s">
        <v>214</v>
      </c>
      <c r="D27" s="218">
        <f t="shared" ca="1" si="0"/>
        <v>45</v>
      </c>
      <c r="E27" s="100">
        <v>42830</v>
      </c>
      <c r="F27" s="188">
        <f t="shared" ca="1" si="1"/>
        <v>9</v>
      </c>
      <c r="G27" s="57" t="s">
        <v>1298</v>
      </c>
      <c r="H27" s="3" t="s">
        <v>1298</v>
      </c>
      <c r="I27" s="3" t="s">
        <v>1298</v>
      </c>
      <c r="J27" s="3" t="s">
        <v>1298</v>
      </c>
      <c r="K27" s="3" t="s">
        <v>1348</v>
      </c>
      <c r="L27" s="3" t="s">
        <v>1289</v>
      </c>
      <c r="M27" s="175">
        <f t="shared" si="2"/>
        <v>1</v>
      </c>
      <c r="N27" s="5" t="s">
        <v>312</v>
      </c>
      <c r="O27" s="2" t="s">
        <v>377</v>
      </c>
      <c r="P27" s="4" t="str">
        <f>IFERROR(VLOOKUP(TRIM(CLEAN(O27)),'JOB GROUPS'!A:B,2,FALSE),"Not Found")</f>
        <v>NM10</v>
      </c>
      <c r="Q27" s="198">
        <f t="shared" ca="1" si="3"/>
        <v>9</v>
      </c>
      <c r="R27" s="180" t="s">
        <v>1250</v>
      </c>
      <c r="S27" s="6" t="s">
        <v>670</v>
      </c>
      <c r="T27" s="5" t="s">
        <v>368</v>
      </c>
      <c r="U27" s="13"/>
      <c r="V27" s="13"/>
      <c r="W27" s="13"/>
      <c r="X27" s="13"/>
      <c r="Y27" s="14"/>
      <c r="Z27" s="14"/>
      <c r="AA27" s="14"/>
      <c r="AB27" s="13"/>
      <c r="AC27" s="13"/>
      <c r="AD27" s="13"/>
      <c r="AE27" s="13"/>
    </row>
    <row r="28" spans="1:67" ht="14.4" customHeight="1" x14ac:dyDescent="0.3">
      <c r="A28" s="151">
        <v>19920654349</v>
      </c>
      <c r="B28" s="42" t="s">
        <v>43</v>
      </c>
      <c r="C28" s="57">
        <v>25365</v>
      </c>
      <c r="D28" s="218">
        <f t="shared" ca="1" si="0"/>
        <v>57</v>
      </c>
      <c r="E28" s="100">
        <v>33640</v>
      </c>
      <c r="F28" s="188">
        <f t="shared" ca="1" si="1"/>
        <v>34</v>
      </c>
      <c r="G28" s="57" t="s">
        <v>1298</v>
      </c>
      <c r="H28" s="3" t="s">
        <v>1298</v>
      </c>
      <c r="I28" s="3" t="s">
        <v>1298</v>
      </c>
      <c r="J28" s="3" t="s">
        <v>1298</v>
      </c>
      <c r="K28" s="3" t="s">
        <v>1295</v>
      </c>
      <c r="L28" s="3" t="s">
        <v>1274</v>
      </c>
      <c r="M28" s="175">
        <f t="shared" si="2"/>
        <v>1</v>
      </c>
      <c r="N28" s="5" t="s">
        <v>314</v>
      </c>
      <c r="O28" s="2" t="s">
        <v>378</v>
      </c>
      <c r="P28" s="4" t="str">
        <f>IFERROR(VLOOKUP(TRIM(CLEAN(O28)),'JOB GROUPS'!A:B,2,FALSE),"Not Found")</f>
        <v>NM11</v>
      </c>
      <c r="Q28" s="198">
        <f t="shared" ca="1" si="3"/>
        <v>14</v>
      </c>
      <c r="R28" s="180" t="s">
        <v>1197</v>
      </c>
      <c r="S28" s="6" t="s">
        <v>671</v>
      </c>
      <c r="T28" s="5" t="s">
        <v>368</v>
      </c>
      <c r="U28" s="13"/>
      <c r="V28" s="13"/>
      <c r="W28" s="13"/>
      <c r="X28" s="13"/>
      <c r="Y28" s="14"/>
      <c r="Z28" s="14"/>
      <c r="AA28" s="14"/>
      <c r="AB28" s="13"/>
      <c r="AC28" s="13"/>
      <c r="AD28" s="13"/>
      <c r="AE28" s="13"/>
    </row>
    <row r="29" spans="1:67" ht="14.4" customHeight="1" x14ac:dyDescent="0.3">
      <c r="A29" s="151">
        <v>19980490640</v>
      </c>
      <c r="B29" s="42" t="s">
        <v>44</v>
      </c>
      <c r="C29" s="57" t="s">
        <v>215</v>
      </c>
      <c r="D29" s="218">
        <f t="shared" ca="1" si="0"/>
        <v>51</v>
      </c>
      <c r="E29" s="100">
        <v>36016</v>
      </c>
      <c r="F29" s="188">
        <f t="shared" ca="1" si="1"/>
        <v>27</v>
      </c>
      <c r="G29" s="57" t="s">
        <v>1298</v>
      </c>
      <c r="H29" s="3" t="s">
        <v>1298</v>
      </c>
      <c r="I29" s="3" t="s">
        <v>1298</v>
      </c>
      <c r="J29" s="3" t="s">
        <v>1298</v>
      </c>
      <c r="K29" s="3" t="s">
        <v>1332</v>
      </c>
      <c r="L29" s="3" t="s">
        <v>1277</v>
      </c>
      <c r="M29" s="175">
        <f t="shared" si="2"/>
        <v>1</v>
      </c>
      <c r="N29" s="4" t="s">
        <v>315</v>
      </c>
      <c r="O29" s="4" t="s">
        <v>378</v>
      </c>
      <c r="P29" s="4" t="str">
        <f>IFERROR(VLOOKUP(TRIM(CLEAN(O29)),'JOB GROUPS'!A:B,2,FALSE),"Not Found")</f>
        <v>NM11</v>
      </c>
      <c r="Q29" s="198">
        <f t="shared" ca="1" si="3"/>
        <v>13</v>
      </c>
      <c r="R29" s="180" t="s">
        <v>1195</v>
      </c>
      <c r="S29" s="6" t="s">
        <v>672</v>
      </c>
      <c r="T29" s="5" t="s">
        <v>369</v>
      </c>
      <c r="U29" s="13"/>
      <c r="V29" s="13"/>
      <c r="W29" s="13"/>
      <c r="X29" s="13"/>
      <c r="Y29" s="14"/>
      <c r="Z29" s="14"/>
      <c r="AA29" s="14"/>
      <c r="AB29" s="13"/>
      <c r="AC29" s="13"/>
      <c r="AD29" s="13"/>
      <c r="AE29" s="13"/>
    </row>
    <row r="30" spans="1:67" ht="14.4" customHeight="1" x14ac:dyDescent="0.3">
      <c r="A30" s="151">
        <v>20060933768</v>
      </c>
      <c r="B30" s="42" t="s">
        <v>45</v>
      </c>
      <c r="C30" s="57">
        <v>27157</v>
      </c>
      <c r="D30" s="218">
        <f t="shared" ca="1" si="0"/>
        <v>52</v>
      </c>
      <c r="E30" s="100">
        <v>38907</v>
      </c>
      <c r="F30" s="188">
        <f t="shared" ca="1" si="1"/>
        <v>19</v>
      </c>
      <c r="G30" s="57" t="s">
        <v>1298</v>
      </c>
      <c r="H30" s="3" t="s">
        <v>1298</v>
      </c>
      <c r="I30" s="3" t="s">
        <v>1298</v>
      </c>
      <c r="J30" s="3" t="s">
        <v>1298</v>
      </c>
      <c r="K30" s="3" t="s">
        <v>1306</v>
      </c>
      <c r="L30" s="3" t="s">
        <v>1291</v>
      </c>
      <c r="M30" s="175">
        <f t="shared" si="2"/>
        <v>1</v>
      </c>
      <c r="N30" s="4" t="s">
        <v>314</v>
      </c>
      <c r="O30" s="4" t="s">
        <v>378</v>
      </c>
      <c r="P30" s="4" t="str">
        <f>IFERROR(VLOOKUP(TRIM(CLEAN(O30)),'JOB GROUPS'!A:B,2,FALSE),"Not Found")</f>
        <v>NM11</v>
      </c>
      <c r="Q30" s="198">
        <f t="shared" ca="1" si="3"/>
        <v>14</v>
      </c>
      <c r="R30" s="180" t="s">
        <v>1197</v>
      </c>
      <c r="S30" s="6" t="s">
        <v>673</v>
      </c>
      <c r="T30" s="5" t="s">
        <v>369</v>
      </c>
      <c r="U30" s="13"/>
      <c r="V30" s="13"/>
      <c r="W30" s="13"/>
      <c r="X30" s="13"/>
      <c r="Y30" s="14"/>
      <c r="Z30" s="14"/>
      <c r="AA30" s="14"/>
      <c r="AB30" s="13"/>
      <c r="AC30" s="13"/>
      <c r="AD30" s="13"/>
      <c r="AE30" s="13"/>
    </row>
    <row r="31" spans="1:67" ht="14.4" customHeight="1" x14ac:dyDescent="0.3">
      <c r="A31" s="151">
        <v>20077018155</v>
      </c>
      <c r="B31" s="42" t="s">
        <v>46</v>
      </c>
      <c r="C31" s="57" t="s">
        <v>216</v>
      </c>
      <c r="D31" s="218">
        <f t="shared" ca="1" si="0"/>
        <v>49</v>
      </c>
      <c r="E31" s="100">
        <v>39084</v>
      </c>
      <c r="F31" s="188">
        <f t="shared" ca="1" si="1"/>
        <v>19</v>
      </c>
      <c r="G31" s="57" t="s">
        <v>1298</v>
      </c>
      <c r="H31" s="3" t="s">
        <v>1298</v>
      </c>
      <c r="I31" s="3" t="s">
        <v>1298</v>
      </c>
      <c r="J31" s="3" t="s">
        <v>1298</v>
      </c>
      <c r="K31" s="3" t="s">
        <v>1333</v>
      </c>
      <c r="L31" s="3" t="s">
        <v>1291</v>
      </c>
      <c r="M31" s="175">
        <f t="shared" si="2"/>
        <v>1</v>
      </c>
      <c r="N31" s="4" t="s">
        <v>316</v>
      </c>
      <c r="O31" s="4" t="s">
        <v>378</v>
      </c>
      <c r="P31" s="4" t="str">
        <f>IFERROR(VLOOKUP(TRIM(CLEAN(O31)),'JOB GROUPS'!A:B,2,FALSE),"Not Found")</f>
        <v>NM11</v>
      </c>
      <c r="Q31" s="198">
        <f t="shared" ca="1" si="3"/>
        <v>13</v>
      </c>
      <c r="R31" s="180" t="s">
        <v>1220</v>
      </c>
      <c r="S31" s="6" t="s">
        <v>657</v>
      </c>
      <c r="T31" s="5" t="s">
        <v>369</v>
      </c>
      <c r="U31" s="13"/>
      <c r="V31" s="13"/>
      <c r="W31" s="13"/>
      <c r="X31" s="13"/>
      <c r="Y31" s="14"/>
      <c r="Z31" s="14"/>
      <c r="AA31" s="14"/>
      <c r="AB31" s="13"/>
      <c r="AC31" s="13"/>
      <c r="AD31" s="13"/>
      <c r="AE31" s="13"/>
    </row>
    <row r="32" spans="1:67" ht="14.4" customHeight="1" x14ac:dyDescent="0.3">
      <c r="A32" s="152">
        <v>20077018309</v>
      </c>
      <c r="B32" s="3" t="s">
        <v>47</v>
      </c>
      <c r="C32" s="57">
        <v>28704</v>
      </c>
      <c r="D32" s="218">
        <f t="shared" ca="1" si="0"/>
        <v>47</v>
      </c>
      <c r="E32" s="100">
        <v>39083</v>
      </c>
      <c r="F32" s="188">
        <f t="shared" ca="1" si="1"/>
        <v>19</v>
      </c>
      <c r="G32" s="57">
        <v>37744</v>
      </c>
      <c r="H32" s="3" t="s">
        <v>1313</v>
      </c>
      <c r="I32" s="3" t="s">
        <v>1298</v>
      </c>
      <c r="J32" s="3" t="s">
        <v>1304</v>
      </c>
      <c r="K32" s="3" t="s">
        <v>1335</v>
      </c>
      <c r="L32" s="3" t="s">
        <v>1277</v>
      </c>
      <c r="M32" s="175">
        <f t="shared" si="2"/>
        <v>1</v>
      </c>
      <c r="N32" s="4" t="s">
        <v>305</v>
      </c>
      <c r="O32" s="4" t="s">
        <v>378</v>
      </c>
      <c r="P32" s="4" t="str">
        <f>IFERROR(VLOOKUP(TRIM(CLEAN(O32)),'JOB GROUPS'!A:B,2,FALSE),"Not Found")</f>
        <v>NM11</v>
      </c>
      <c r="Q32" s="198">
        <f t="shared" ca="1" si="3"/>
        <v>14</v>
      </c>
      <c r="R32" s="180" t="s">
        <v>1221</v>
      </c>
      <c r="S32" s="6" t="s">
        <v>674</v>
      </c>
      <c r="T32" s="5" t="s">
        <v>369</v>
      </c>
      <c r="U32" s="13"/>
      <c r="V32" s="13"/>
      <c r="W32" s="13"/>
      <c r="X32" s="13"/>
      <c r="Y32" s="14"/>
      <c r="Z32" s="14"/>
      <c r="AA32" s="14"/>
      <c r="AB32" s="13"/>
      <c r="AC32" s="13"/>
      <c r="AD32" s="13"/>
      <c r="AE32" s="13"/>
    </row>
    <row r="33" spans="1:61" ht="14.4" customHeight="1" x14ac:dyDescent="0.3">
      <c r="A33" s="151">
        <v>20089223821</v>
      </c>
      <c r="B33" s="42" t="s">
        <v>48</v>
      </c>
      <c r="C33" s="57">
        <v>29321</v>
      </c>
      <c r="D33" s="218">
        <f t="shared" ca="1" si="0"/>
        <v>46</v>
      </c>
      <c r="E33" s="100">
        <v>39454</v>
      </c>
      <c r="F33" s="188">
        <f t="shared" ca="1" si="1"/>
        <v>18</v>
      </c>
      <c r="G33" s="57">
        <v>38108</v>
      </c>
      <c r="H33" s="3" t="s">
        <v>1313</v>
      </c>
      <c r="I33" s="3" t="s">
        <v>1298</v>
      </c>
      <c r="J33" s="3" t="s">
        <v>1304</v>
      </c>
      <c r="K33" s="3" t="s">
        <v>1319</v>
      </c>
      <c r="L33" s="3" t="s">
        <v>1291</v>
      </c>
      <c r="M33" s="175">
        <f t="shared" si="2"/>
        <v>1</v>
      </c>
      <c r="N33" s="4" t="s">
        <v>314</v>
      </c>
      <c r="O33" s="4" t="s">
        <v>378</v>
      </c>
      <c r="P33" s="4" t="str">
        <f>IFERROR(VLOOKUP(TRIM(CLEAN(O33)),'JOB GROUPS'!A:B,2,FALSE),"Not Found")</f>
        <v>NM11</v>
      </c>
      <c r="Q33" s="198">
        <f t="shared" ca="1" si="3"/>
        <v>13</v>
      </c>
      <c r="R33" s="180" t="s">
        <v>1195</v>
      </c>
      <c r="S33" s="6" t="s">
        <v>675</v>
      </c>
      <c r="T33" s="5" t="s">
        <v>369</v>
      </c>
      <c r="U33" s="13"/>
      <c r="V33" s="13"/>
      <c r="W33" s="13"/>
      <c r="X33" s="13"/>
      <c r="Y33" s="14"/>
      <c r="Z33" s="14"/>
      <c r="AA33" s="14"/>
      <c r="AB33" s="13"/>
      <c r="AC33" s="13"/>
      <c r="AD33" s="13"/>
      <c r="AE33" s="13"/>
    </row>
    <row r="34" spans="1:61" ht="14.4" customHeight="1" x14ac:dyDescent="0.3">
      <c r="A34" s="151">
        <v>20210646208</v>
      </c>
      <c r="B34" s="42" t="s">
        <v>49</v>
      </c>
      <c r="C34" s="57" t="s">
        <v>217</v>
      </c>
      <c r="D34" s="218">
        <f t="shared" ca="1" si="0"/>
        <v>50</v>
      </c>
      <c r="E34" s="100">
        <v>44197</v>
      </c>
      <c r="F34" s="188">
        <f t="shared" ca="1" si="1"/>
        <v>5</v>
      </c>
      <c r="G34" s="57">
        <v>44451</v>
      </c>
      <c r="H34" s="3" t="s">
        <v>1298</v>
      </c>
      <c r="I34" s="3" t="s">
        <v>1298</v>
      </c>
      <c r="J34" s="3" t="s">
        <v>1298</v>
      </c>
      <c r="K34" s="3" t="s">
        <v>1353</v>
      </c>
      <c r="L34" s="3" t="s">
        <v>1290</v>
      </c>
      <c r="M34" s="175">
        <f t="shared" si="2"/>
        <v>1</v>
      </c>
      <c r="N34" s="4" t="s">
        <v>314</v>
      </c>
      <c r="O34" s="4" t="s">
        <v>378</v>
      </c>
      <c r="P34" s="4" t="str">
        <f>IFERROR(VLOOKUP(TRIM(CLEAN(O34)),'JOB GROUPS'!A:B,2,FALSE),"Not Found")</f>
        <v>NM11</v>
      </c>
      <c r="Q34" s="198">
        <f t="shared" ca="1" si="3"/>
        <v>4</v>
      </c>
      <c r="R34" s="180" t="s">
        <v>1237</v>
      </c>
      <c r="S34" s="6" t="s">
        <v>676</v>
      </c>
      <c r="T34" s="5" t="s">
        <v>369</v>
      </c>
      <c r="U34" s="13"/>
      <c r="V34" s="13"/>
      <c r="W34" s="13"/>
      <c r="X34" s="13"/>
      <c r="Y34" s="14"/>
      <c r="Z34" s="14"/>
      <c r="AA34" s="14"/>
      <c r="AB34" s="13"/>
      <c r="AC34" s="13"/>
      <c r="AD34" s="13"/>
      <c r="AE34" s="13"/>
    </row>
    <row r="35" spans="1:61" ht="14.4" customHeight="1" x14ac:dyDescent="0.3">
      <c r="A35" s="152">
        <v>20000078914</v>
      </c>
      <c r="B35" s="3" t="s">
        <v>50</v>
      </c>
      <c r="C35" s="57" t="s">
        <v>218</v>
      </c>
      <c r="D35" s="218">
        <f t="shared" ca="1" si="0"/>
        <v>57</v>
      </c>
      <c r="E35" s="100">
        <v>36532</v>
      </c>
      <c r="F35" s="188">
        <f t="shared" ca="1" si="1"/>
        <v>26</v>
      </c>
      <c r="G35" s="57">
        <v>33629</v>
      </c>
      <c r="H35" s="3" t="s">
        <v>1313</v>
      </c>
      <c r="I35" s="3" t="s">
        <v>1298</v>
      </c>
      <c r="J35" s="3" t="s">
        <v>1304</v>
      </c>
      <c r="K35" s="3" t="s">
        <v>1325</v>
      </c>
      <c r="L35" s="3" t="s">
        <v>1292</v>
      </c>
      <c r="M35" s="175">
        <f t="shared" si="2"/>
        <v>1</v>
      </c>
      <c r="N35" s="4" t="s">
        <v>317</v>
      </c>
      <c r="O35" s="4" t="s">
        <v>379</v>
      </c>
      <c r="P35" s="4" t="str">
        <f>IFERROR(VLOOKUP(TRIM(CLEAN(O35)),'JOB GROUPS'!A:B,2,FALSE),"Not Found")</f>
        <v>NM12</v>
      </c>
      <c r="Q35" s="198">
        <f t="shared" ca="1" si="3"/>
        <v>13</v>
      </c>
      <c r="R35" s="180" t="s">
        <v>1195</v>
      </c>
      <c r="S35" s="6" t="s">
        <v>677</v>
      </c>
      <c r="T35" s="5" t="s">
        <v>368</v>
      </c>
      <c r="U35" s="13"/>
      <c r="V35" s="13"/>
      <c r="W35" s="13"/>
      <c r="X35" s="13"/>
      <c r="Y35" s="14"/>
      <c r="Z35" s="14"/>
      <c r="AA35" s="14"/>
      <c r="AB35" s="13"/>
      <c r="AC35" s="13"/>
      <c r="AD35" s="13"/>
      <c r="AE35" s="13"/>
    </row>
    <row r="36" spans="1:61" ht="14.4" customHeight="1" x14ac:dyDescent="0.3">
      <c r="A36" s="151">
        <v>20178600786</v>
      </c>
      <c r="B36" s="42" t="s">
        <v>51</v>
      </c>
      <c r="C36" s="57">
        <v>33856</v>
      </c>
      <c r="D36" s="218">
        <f t="shared" ca="1" si="0"/>
        <v>33</v>
      </c>
      <c r="E36" s="100">
        <v>42898</v>
      </c>
      <c r="F36" s="188">
        <f t="shared" ca="1" si="1"/>
        <v>9</v>
      </c>
      <c r="G36" s="57">
        <v>42795</v>
      </c>
      <c r="H36" s="3" t="s">
        <v>1313</v>
      </c>
      <c r="I36" s="3" t="s">
        <v>1298</v>
      </c>
      <c r="J36" s="3" t="s">
        <v>1304</v>
      </c>
      <c r="K36" s="3" t="s">
        <v>1298</v>
      </c>
      <c r="L36" s="3" t="s">
        <v>1298</v>
      </c>
      <c r="M36" s="175">
        <f t="shared" si="2"/>
        <v>1</v>
      </c>
      <c r="N36" s="4" t="s">
        <v>318</v>
      </c>
      <c r="O36" s="4" t="s">
        <v>379</v>
      </c>
      <c r="P36" s="4" t="str">
        <f>IFERROR(VLOOKUP(TRIM(CLEAN(O36)),'JOB GROUPS'!A:B,2,FALSE),"Not Found")</f>
        <v>NM12</v>
      </c>
      <c r="Q36" s="198">
        <f t="shared" ca="1" si="3"/>
        <v>8</v>
      </c>
      <c r="R36" s="180" t="s">
        <v>1246</v>
      </c>
      <c r="S36" s="6" t="s">
        <v>657</v>
      </c>
      <c r="T36" s="5" t="s">
        <v>369</v>
      </c>
      <c r="U36" s="13"/>
      <c r="V36" s="13"/>
      <c r="W36" s="13"/>
      <c r="X36" s="13"/>
      <c r="Y36" s="14"/>
      <c r="Z36" s="14"/>
      <c r="AA36" s="14"/>
      <c r="AB36" s="13"/>
      <c r="AC36" s="13"/>
      <c r="AD36" s="13"/>
      <c r="AE36" s="13"/>
    </row>
    <row r="37" spans="1:61" s="167" customFormat="1" ht="14.4" customHeight="1" x14ac:dyDescent="0.3">
      <c r="A37" s="162">
        <v>20250007973</v>
      </c>
      <c r="B37" s="163" t="s">
        <v>52</v>
      </c>
      <c r="C37" s="164" t="s">
        <v>219</v>
      </c>
      <c r="D37" s="218">
        <f t="shared" ca="1" si="0"/>
        <v>30</v>
      </c>
      <c r="E37" s="164">
        <v>45659</v>
      </c>
      <c r="F37" s="188">
        <f t="shared" ca="1" si="1"/>
        <v>1</v>
      </c>
      <c r="G37" s="164">
        <v>45693</v>
      </c>
      <c r="H37" s="165" t="s">
        <v>1301</v>
      </c>
      <c r="I37" s="165" t="s">
        <v>1298</v>
      </c>
      <c r="J37" s="165" t="s">
        <v>1304</v>
      </c>
      <c r="K37" s="165" t="s">
        <v>1298</v>
      </c>
      <c r="L37" s="165" t="s">
        <v>1298</v>
      </c>
      <c r="M37" s="175">
        <f t="shared" si="2"/>
        <v>1</v>
      </c>
      <c r="N37" s="4" t="s">
        <v>319</v>
      </c>
      <c r="O37" s="4" t="s">
        <v>379</v>
      </c>
      <c r="P37" s="4" t="str">
        <f>IFERROR(VLOOKUP(TRIM(CLEAN(O37)),'JOB GROUPS'!A:B,2,FALSE),"Not Found")</f>
        <v>NM12</v>
      </c>
      <c r="Q37" s="198">
        <f t="shared" ca="1" si="3"/>
        <v>1</v>
      </c>
      <c r="R37" s="181" t="s">
        <v>1270</v>
      </c>
      <c r="S37" s="4" t="s">
        <v>678</v>
      </c>
      <c r="T37" s="166" t="s">
        <v>368</v>
      </c>
      <c r="U37" s="4"/>
      <c r="V37" s="4"/>
      <c r="W37" s="4"/>
      <c r="X37" s="4"/>
      <c r="Y37" s="166"/>
      <c r="Z37" s="166"/>
      <c r="AA37" s="166"/>
      <c r="AB37" s="4"/>
      <c r="AC37" s="4"/>
      <c r="AD37" s="4"/>
      <c r="AE37" s="4"/>
    </row>
    <row r="38" spans="1:61" ht="14.4" customHeight="1" x14ac:dyDescent="0.3">
      <c r="A38" s="151">
        <v>20250011100</v>
      </c>
      <c r="B38" s="42" t="s">
        <v>53</v>
      </c>
      <c r="C38" s="57" t="s">
        <v>220</v>
      </c>
      <c r="D38" s="218">
        <f t="shared" ca="1" si="0"/>
        <v>32</v>
      </c>
      <c r="E38" s="100">
        <v>45660</v>
      </c>
      <c r="F38" s="188">
        <f t="shared" ca="1" si="1"/>
        <v>1</v>
      </c>
      <c r="G38" s="57">
        <v>45414</v>
      </c>
      <c r="H38" s="3" t="s">
        <v>1356</v>
      </c>
      <c r="I38" s="3" t="s">
        <v>1298</v>
      </c>
      <c r="J38" s="3" t="s">
        <v>1305</v>
      </c>
      <c r="K38" s="3" t="s">
        <v>1298</v>
      </c>
      <c r="L38" s="3" t="s">
        <v>1298</v>
      </c>
      <c r="M38" s="175">
        <f t="shared" si="2"/>
        <v>1</v>
      </c>
      <c r="N38" s="4" t="s">
        <v>319</v>
      </c>
      <c r="O38" s="4" t="s">
        <v>379</v>
      </c>
      <c r="P38" s="4" t="str">
        <f>IFERROR(VLOOKUP(TRIM(CLEAN(O38)),'JOB GROUPS'!A:B,2,FALSE),"Not Found")</f>
        <v>NM12</v>
      </c>
      <c r="Q38" s="198">
        <f t="shared" ca="1" si="3"/>
        <v>1</v>
      </c>
      <c r="R38" s="180" t="s">
        <v>1269</v>
      </c>
      <c r="S38" s="6" t="s">
        <v>679</v>
      </c>
      <c r="T38" s="5" t="s">
        <v>370</v>
      </c>
      <c r="U38" s="13"/>
      <c r="V38" s="13"/>
      <c r="W38" s="13"/>
      <c r="X38" s="13"/>
      <c r="Y38" s="14"/>
      <c r="Z38" s="14"/>
      <c r="AA38" s="14"/>
      <c r="AB38" s="13"/>
      <c r="AC38" s="13"/>
      <c r="AD38" s="13"/>
      <c r="AE38" s="13"/>
    </row>
    <row r="39" spans="1:61" ht="14.4" customHeight="1" x14ac:dyDescent="0.3">
      <c r="A39" s="152">
        <v>20250067282</v>
      </c>
      <c r="B39" s="3" t="s">
        <v>54</v>
      </c>
      <c r="C39" s="57">
        <v>27586</v>
      </c>
      <c r="D39" s="218">
        <f t="shared" ca="1" si="0"/>
        <v>50</v>
      </c>
      <c r="E39" s="100">
        <v>45693</v>
      </c>
      <c r="F39" s="188">
        <f t="shared" ca="1" si="1"/>
        <v>1</v>
      </c>
      <c r="G39" s="57">
        <v>42795</v>
      </c>
      <c r="H39" s="3" t="s">
        <v>1313</v>
      </c>
      <c r="I39" s="3" t="s">
        <v>1298</v>
      </c>
      <c r="J39" s="3" t="s">
        <v>1304</v>
      </c>
      <c r="K39" s="3" t="s">
        <v>1342</v>
      </c>
      <c r="L39" s="3" t="s">
        <v>1291</v>
      </c>
      <c r="M39" s="175">
        <f t="shared" si="2"/>
        <v>1</v>
      </c>
      <c r="N39" s="4" t="s">
        <v>320</v>
      </c>
      <c r="O39" s="4" t="s">
        <v>379</v>
      </c>
      <c r="P39" s="4" t="str">
        <f>IFERROR(VLOOKUP(TRIM(CLEAN(O39)),'JOB GROUPS'!A:B,2,FALSE),"Not Found")</f>
        <v>NM12</v>
      </c>
      <c r="Q39" s="198">
        <f t="shared" ca="1" si="3"/>
        <v>1</v>
      </c>
      <c r="R39" s="180" t="s">
        <v>1264</v>
      </c>
      <c r="S39" s="6" t="s">
        <v>657</v>
      </c>
      <c r="T39" s="5" t="s">
        <v>370</v>
      </c>
      <c r="U39" s="13"/>
      <c r="V39" s="13"/>
      <c r="W39" s="13"/>
      <c r="X39" s="13"/>
      <c r="Y39" s="14"/>
      <c r="Z39" s="14"/>
      <c r="AA39" s="14"/>
      <c r="AB39" s="13"/>
      <c r="AC39" s="13"/>
      <c r="AD39" s="13"/>
      <c r="AE39" s="13"/>
    </row>
    <row r="40" spans="1:61" ht="14.4" customHeight="1" x14ac:dyDescent="0.3">
      <c r="A40" s="151">
        <v>20250089145</v>
      </c>
      <c r="B40" s="42" t="s">
        <v>55</v>
      </c>
      <c r="C40" s="57" t="s">
        <v>221</v>
      </c>
      <c r="D40" s="218">
        <f t="shared" ca="1" si="0"/>
        <v>26</v>
      </c>
      <c r="E40" s="100">
        <v>45693</v>
      </c>
      <c r="F40" s="188">
        <f t="shared" ca="1" si="1"/>
        <v>1</v>
      </c>
      <c r="G40" s="57">
        <v>44931</v>
      </c>
      <c r="H40" s="3" t="s">
        <v>1313</v>
      </c>
      <c r="I40" s="3" t="s">
        <v>1298</v>
      </c>
      <c r="J40" s="3" t="s">
        <v>1304</v>
      </c>
      <c r="K40" s="3" t="s">
        <v>1342</v>
      </c>
      <c r="L40" s="3" t="s">
        <v>1291</v>
      </c>
      <c r="M40" s="175">
        <f t="shared" si="2"/>
        <v>1</v>
      </c>
      <c r="N40" s="4" t="s">
        <v>320</v>
      </c>
      <c r="O40" s="4" t="s">
        <v>379</v>
      </c>
      <c r="P40" s="4" t="str">
        <f>IFERROR(VLOOKUP(TRIM(CLEAN(O40)),'JOB GROUPS'!A:B,2,FALSE),"Not Found")</f>
        <v>NM12</v>
      </c>
      <c r="Q40" s="198">
        <f t="shared" ca="1" si="3"/>
        <v>1</v>
      </c>
      <c r="R40" s="180" t="s">
        <v>1264</v>
      </c>
      <c r="S40" s="6" t="s">
        <v>657</v>
      </c>
      <c r="T40" s="5" t="s">
        <v>368</v>
      </c>
      <c r="U40" s="13"/>
      <c r="V40" s="13"/>
      <c r="W40" s="13"/>
      <c r="X40" s="13"/>
      <c r="Y40" s="14"/>
      <c r="Z40" s="14"/>
      <c r="AA40" s="14"/>
      <c r="AB40" s="13"/>
      <c r="AC40" s="13"/>
      <c r="AD40" s="13"/>
      <c r="AE40" s="13"/>
    </row>
    <row r="41" spans="1:61" ht="14.4" customHeight="1" x14ac:dyDescent="0.3">
      <c r="A41" s="151">
        <v>20250067266</v>
      </c>
      <c r="B41" s="42" t="s">
        <v>56</v>
      </c>
      <c r="C41" s="57">
        <v>37964</v>
      </c>
      <c r="D41" s="218">
        <f t="shared" ca="1" si="0"/>
        <v>22</v>
      </c>
      <c r="E41" s="100">
        <v>45693</v>
      </c>
      <c r="F41" s="188">
        <f t="shared" ca="1" si="1"/>
        <v>1</v>
      </c>
      <c r="G41" s="57">
        <v>44608</v>
      </c>
      <c r="H41" s="3" t="s">
        <v>1313</v>
      </c>
      <c r="I41" s="3" t="s">
        <v>1298</v>
      </c>
      <c r="J41" s="3" t="s">
        <v>1304</v>
      </c>
      <c r="K41" s="3" t="s">
        <v>1342</v>
      </c>
      <c r="L41" s="3" t="s">
        <v>1291</v>
      </c>
      <c r="M41" s="175">
        <f t="shared" si="2"/>
        <v>1</v>
      </c>
      <c r="N41" s="5" t="s">
        <v>320</v>
      </c>
      <c r="O41" s="2" t="s">
        <v>379</v>
      </c>
      <c r="P41" s="4" t="str">
        <f>IFERROR(VLOOKUP(TRIM(CLEAN(O41)),'JOB GROUPS'!A:B,2,FALSE),"Not Found")</f>
        <v>NM12</v>
      </c>
      <c r="Q41" s="198">
        <f t="shared" ca="1" si="3"/>
        <v>1</v>
      </c>
      <c r="R41" s="180" t="s">
        <v>1264</v>
      </c>
      <c r="S41" s="6" t="s">
        <v>657</v>
      </c>
      <c r="T41" s="5" t="s">
        <v>368</v>
      </c>
      <c r="U41" s="13"/>
      <c r="V41" s="13"/>
      <c r="W41" s="13"/>
      <c r="X41" s="13"/>
      <c r="Y41" s="14"/>
      <c r="Z41" s="14"/>
      <c r="AA41" s="14"/>
      <c r="AB41" s="13"/>
      <c r="AC41" s="13"/>
      <c r="AD41" s="13"/>
      <c r="AE41" s="13"/>
    </row>
    <row r="42" spans="1:61" ht="14.4" customHeight="1" x14ac:dyDescent="0.3">
      <c r="A42" s="151">
        <v>20060933849</v>
      </c>
      <c r="B42" s="42" t="s">
        <v>57</v>
      </c>
      <c r="C42" s="57">
        <v>28678</v>
      </c>
      <c r="D42" s="218">
        <f t="shared" ca="1" si="0"/>
        <v>47</v>
      </c>
      <c r="E42" s="100">
        <v>38725</v>
      </c>
      <c r="F42" s="188">
        <f t="shared" ca="1" si="1"/>
        <v>20</v>
      </c>
      <c r="G42" s="57" t="s">
        <v>1298</v>
      </c>
      <c r="H42" s="3" t="s">
        <v>1338</v>
      </c>
      <c r="I42" s="3" t="s">
        <v>1298</v>
      </c>
      <c r="J42" s="3" t="s">
        <v>1276</v>
      </c>
      <c r="K42" s="3" t="s">
        <v>1421</v>
      </c>
      <c r="L42" s="3" t="s">
        <v>1274</v>
      </c>
      <c r="M42" s="175">
        <f t="shared" si="2"/>
        <v>1</v>
      </c>
      <c r="N42" s="5" t="s">
        <v>321</v>
      </c>
      <c r="O42" s="2" t="s">
        <v>381</v>
      </c>
      <c r="P42" s="4" t="str">
        <f>IFERROR(VLOOKUP(TRIM(CLEAN(O42)),'JOB GROUPS'!A:B,2,FALSE),"Not Found")</f>
        <v>NM13</v>
      </c>
      <c r="Q42" s="198">
        <f t="shared" ca="1" si="3"/>
        <v>13</v>
      </c>
      <c r="R42" s="180" t="s">
        <v>1195</v>
      </c>
      <c r="S42" s="6" t="s">
        <v>659</v>
      </c>
      <c r="T42" s="5" t="s">
        <v>368</v>
      </c>
      <c r="U42" s="13"/>
      <c r="V42" s="13"/>
      <c r="W42" s="13"/>
      <c r="X42" s="13"/>
      <c r="Y42" s="14"/>
      <c r="Z42" s="14"/>
      <c r="AA42" s="14"/>
      <c r="AB42" s="13"/>
      <c r="AC42" s="13"/>
      <c r="AD42" s="13"/>
      <c r="AE42" s="13"/>
    </row>
    <row r="43" spans="1:61" ht="14.4" customHeight="1" x14ac:dyDescent="0.3">
      <c r="A43" s="151">
        <v>20121211057</v>
      </c>
      <c r="B43" s="42" t="s">
        <v>58</v>
      </c>
      <c r="C43" s="57" t="s">
        <v>222</v>
      </c>
      <c r="D43" s="218">
        <f t="shared" ca="1" si="0"/>
        <v>57</v>
      </c>
      <c r="E43" s="100">
        <v>40915</v>
      </c>
      <c r="F43" s="188">
        <f t="shared" ca="1" si="1"/>
        <v>14</v>
      </c>
      <c r="G43" s="57">
        <v>40664</v>
      </c>
      <c r="H43" s="3" t="s">
        <v>1273</v>
      </c>
      <c r="I43" s="3" t="s">
        <v>1298</v>
      </c>
      <c r="J43" s="3" t="s">
        <v>1298</v>
      </c>
      <c r="K43" s="3" t="s">
        <v>1337</v>
      </c>
      <c r="L43" s="3" t="s">
        <v>1274</v>
      </c>
      <c r="M43" s="175">
        <f t="shared" si="2"/>
        <v>1</v>
      </c>
      <c r="N43" s="5" t="s">
        <v>322</v>
      </c>
      <c r="O43" s="2" t="s">
        <v>381</v>
      </c>
      <c r="P43" s="4" t="str">
        <f>IFERROR(VLOOKUP(TRIM(CLEAN(O43)),'JOB GROUPS'!A:B,2,FALSE),"Not Found")</f>
        <v>NM13</v>
      </c>
      <c r="Q43" s="198">
        <f t="shared" ca="1" si="3"/>
        <v>4</v>
      </c>
      <c r="R43" s="180" t="s">
        <v>1235</v>
      </c>
      <c r="S43" s="6" t="s">
        <v>659</v>
      </c>
      <c r="T43" s="5" t="s">
        <v>369</v>
      </c>
      <c r="U43" s="13"/>
      <c r="V43" s="13"/>
      <c r="W43" s="13"/>
      <c r="X43" s="13"/>
      <c r="Y43" s="14"/>
      <c r="Z43" s="14"/>
      <c r="AA43" s="14"/>
      <c r="AB43" s="13"/>
      <c r="AC43" s="13"/>
      <c r="AD43" s="13"/>
      <c r="AE43" s="13"/>
    </row>
    <row r="44" spans="1:61" ht="14.4" customHeight="1" x14ac:dyDescent="0.3">
      <c r="A44" s="151">
        <v>20142576234</v>
      </c>
      <c r="B44" s="42" t="s">
        <v>59</v>
      </c>
      <c r="C44" s="57" t="s">
        <v>223</v>
      </c>
      <c r="D44" s="218">
        <f t="shared" ca="1" si="0"/>
        <v>37</v>
      </c>
      <c r="E44" s="100">
        <v>41640</v>
      </c>
      <c r="F44" s="188">
        <f t="shared" ca="1" si="1"/>
        <v>12</v>
      </c>
      <c r="G44" s="57" t="s">
        <v>1298</v>
      </c>
      <c r="H44" s="3" t="s">
        <v>1298</v>
      </c>
      <c r="I44" s="3" t="s">
        <v>1298</v>
      </c>
      <c r="J44" s="3" t="s">
        <v>1298</v>
      </c>
      <c r="K44" s="3" t="s">
        <v>1343</v>
      </c>
      <c r="L44" s="3" t="s">
        <v>1277</v>
      </c>
      <c r="M44" s="175">
        <f t="shared" si="2"/>
        <v>1</v>
      </c>
      <c r="N44" s="5" t="s">
        <v>322</v>
      </c>
      <c r="O44" s="2" t="s">
        <v>381</v>
      </c>
      <c r="P44" s="4" t="str">
        <f>IFERROR(VLOOKUP(TRIM(CLEAN(O44)),'JOB GROUPS'!A:B,2,FALSE),"Not Found")</f>
        <v>NM13</v>
      </c>
      <c r="Q44" s="198">
        <f t="shared" ca="1" si="3"/>
        <v>12</v>
      </c>
      <c r="R44" s="204">
        <v>41730</v>
      </c>
      <c r="S44" s="6" t="s">
        <v>680</v>
      </c>
      <c r="T44" s="5" t="s">
        <v>369</v>
      </c>
      <c r="U44" s="13"/>
      <c r="V44" s="13"/>
      <c r="W44" s="13"/>
      <c r="X44" s="13"/>
      <c r="Y44" s="14"/>
      <c r="Z44" s="14"/>
      <c r="AA44" s="14"/>
      <c r="AB44" s="13"/>
      <c r="AC44" s="13"/>
      <c r="AD44" s="13"/>
      <c r="AE44" s="13"/>
    </row>
    <row r="45" spans="1:61" s="11" customFormat="1" ht="14.4" customHeight="1" x14ac:dyDescent="0.3">
      <c r="A45" s="151">
        <v>20250067274</v>
      </c>
      <c r="B45" s="42" t="s">
        <v>60</v>
      </c>
      <c r="C45" s="57">
        <v>37510</v>
      </c>
      <c r="D45" s="218">
        <f t="shared" ca="1" si="0"/>
        <v>23</v>
      </c>
      <c r="E45" s="100">
        <v>45693</v>
      </c>
      <c r="F45" s="188">
        <f t="shared" ca="1" si="1"/>
        <v>1</v>
      </c>
      <c r="G45" s="57" t="s">
        <v>1298</v>
      </c>
      <c r="H45" s="3" t="s">
        <v>1298</v>
      </c>
      <c r="I45" s="3" t="s">
        <v>1298</v>
      </c>
      <c r="J45" s="3" t="s">
        <v>1298</v>
      </c>
      <c r="K45" s="3" t="s">
        <v>1342</v>
      </c>
      <c r="L45" s="3" t="s">
        <v>1291</v>
      </c>
      <c r="M45" s="175">
        <f t="shared" si="2"/>
        <v>1</v>
      </c>
      <c r="N45" s="5" t="s">
        <v>320</v>
      </c>
      <c r="O45" s="2" t="s">
        <v>379</v>
      </c>
      <c r="P45" s="4" t="str">
        <f>IFERROR(VLOOKUP(TRIM(CLEAN(O45)),'JOB GROUPS'!A:B,2,FALSE),"Not Found")</f>
        <v>NM12</v>
      </c>
      <c r="Q45" s="198">
        <f t="shared" ca="1" si="3"/>
        <v>1</v>
      </c>
      <c r="R45" s="180" t="s">
        <v>1264</v>
      </c>
      <c r="S45" s="6" t="s">
        <v>657</v>
      </c>
      <c r="T45" s="5" t="s">
        <v>368</v>
      </c>
      <c r="U45" s="13"/>
      <c r="V45" s="13"/>
      <c r="W45" s="13"/>
      <c r="X45" s="13"/>
      <c r="Y45" s="14"/>
      <c r="Z45" s="14"/>
      <c r="AA45" s="14"/>
      <c r="AB45" s="13"/>
      <c r="AC45" s="13"/>
      <c r="AD45" s="13"/>
      <c r="AE45" s="13"/>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row>
    <row r="46" spans="1:61" ht="14.4" customHeight="1" x14ac:dyDescent="0.3">
      <c r="A46" s="151">
        <v>20250089137</v>
      </c>
      <c r="B46" s="42" t="s">
        <v>61</v>
      </c>
      <c r="C46" s="57" t="s">
        <v>224</v>
      </c>
      <c r="D46" s="218">
        <f t="shared" ca="1" si="0"/>
        <v>33</v>
      </c>
      <c r="E46" s="100">
        <v>45693</v>
      </c>
      <c r="F46" s="188">
        <f t="shared" ca="1" si="1"/>
        <v>1</v>
      </c>
      <c r="G46" s="57">
        <v>44260</v>
      </c>
      <c r="H46" s="3" t="s">
        <v>1313</v>
      </c>
      <c r="I46" s="3" t="s">
        <v>1298</v>
      </c>
      <c r="J46" s="3" t="s">
        <v>1304</v>
      </c>
      <c r="K46" s="3" t="s">
        <v>1342</v>
      </c>
      <c r="L46" s="3" t="s">
        <v>1291</v>
      </c>
      <c r="M46" s="175">
        <f t="shared" si="2"/>
        <v>1</v>
      </c>
      <c r="N46" s="5" t="s">
        <v>320</v>
      </c>
      <c r="O46" s="2" t="s">
        <v>379</v>
      </c>
      <c r="P46" s="4" t="str">
        <f>IFERROR(VLOOKUP(TRIM(CLEAN(O46)),'JOB GROUPS'!A:B,2,FALSE),"Not Found")</f>
        <v>NM12</v>
      </c>
      <c r="Q46" s="198">
        <f t="shared" ca="1" si="3"/>
        <v>1</v>
      </c>
      <c r="R46" s="180" t="s">
        <v>1264</v>
      </c>
      <c r="S46" s="6" t="s">
        <v>657</v>
      </c>
      <c r="T46" s="5" t="s">
        <v>368</v>
      </c>
      <c r="U46" s="13"/>
      <c r="V46" s="13"/>
      <c r="W46" s="13"/>
      <c r="X46" s="13"/>
      <c r="Y46" s="14"/>
      <c r="Z46" s="14"/>
      <c r="AA46" s="14"/>
      <c r="AB46" s="13"/>
      <c r="AC46" s="13"/>
      <c r="AD46" s="13"/>
      <c r="AE46" s="13"/>
    </row>
    <row r="47" spans="1:61" s="216" customFormat="1" ht="14.4" customHeight="1" x14ac:dyDescent="0.3">
      <c r="A47" s="206"/>
      <c r="B47" s="207"/>
      <c r="C47" s="208"/>
      <c r="D47" s="218"/>
      <c r="E47" s="208"/>
      <c r="F47" s="209"/>
      <c r="G47" s="208"/>
      <c r="H47" s="210"/>
      <c r="I47" s="210"/>
      <c r="J47" s="210"/>
      <c r="K47" s="210"/>
      <c r="L47" s="210"/>
      <c r="M47" s="209"/>
      <c r="N47" s="211"/>
      <c r="O47" s="212"/>
      <c r="P47" s="213"/>
      <c r="Q47" s="214"/>
      <c r="R47" s="215"/>
      <c r="S47" s="213"/>
      <c r="T47" s="211"/>
      <c r="U47" s="213"/>
      <c r="V47" s="213"/>
      <c r="W47" s="213"/>
      <c r="X47" s="213"/>
      <c r="Y47" s="211"/>
      <c r="Z47" s="211"/>
      <c r="AA47" s="211"/>
      <c r="AB47" s="213"/>
      <c r="AC47" s="213"/>
      <c r="AD47" s="213"/>
      <c r="AE47" s="213"/>
    </row>
    <row r="48" spans="1:61" ht="14.4" customHeight="1" x14ac:dyDescent="0.3">
      <c r="A48" s="151">
        <v>20077018228</v>
      </c>
      <c r="B48" s="42" t="s">
        <v>62</v>
      </c>
      <c r="C48" s="57">
        <v>27952</v>
      </c>
      <c r="D48" s="218">
        <f t="shared" ca="1" si="0"/>
        <v>49</v>
      </c>
      <c r="E48" s="100">
        <v>38991</v>
      </c>
      <c r="F48" s="188">
        <f t="shared" ca="1" si="1"/>
        <v>19</v>
      </c>
      <c r="G48" s="57">
        <v>38078</v>
      </c>
      <c r="H48" s="3" t="s">
        <v>1301</v>
      </c>
      <c r="I48" s="3" t="s">
        <v>1360</v>
      </c>
      <c r="J48" s="3" t="s">
        <v>1305</v>
      </c>
      <c r="K48" s="3" t="s">
        <v>1309</v>
      </c>
      <c r="L48" s="3" t="s">
        <v>1286</v>
      </c>
      <c r="M48" s="175">
        <f t="shared" si="2"/>
        <v>1</v>
      </c>
      <c r="N48" s="5" t="s">
        <v>323</v>
      </c>
      <c r="O48" s="2" t="s">
        <v>373</v>
      </c>
      <c r="P48" s="4" t="str">
        <f>IFERROR(VLOOKUP(TRIM(CLEAN(O48)),'JOB GROUPS'!A:B,2,FALSE),"Not Found")</f>
        <v>NM4</v>
      </c>
      <c r="Q48" s="198">
        <f t="shared" ca="1" si="3"/>
        <v>4</v>
      </c>
      <c r="R48" s="180" t="s">
        <v>1202</v>
      </c>
      <c r="S48" s="6" t="s">
        <v>681</v>
      </c>
      <c r="T48" s="5" t="s">
        <v>369</v>
      </c>
      <c r="U48" s="13"/>
      <c r="V48" s="13"/>
      <c r="W48" s="13"/>
      <c r="X48" s="13"/>
      <c r="Y48" s="14"/>
      <c r="Z48" s="14"/>
      <c r="AA48" s="14"/>
      <c r="AB48" s="13"/>
      <c r="AC48" s="13"/>
      <c r="AD48" s="13"/>
      <c r="AE48" s="13"/>
    </row>
    <row r="49" spans="1:31" ht="14.4" customHeight="1" x14ac:dyDescent="0.3">
      <c r="A49" s="151">
        <v>20190119450</v>
      </c>
      <c r="B49" s="42" t="s">
        <v>63</v>
      </c>
      <c r="C49" s="57">
        <v>33429</v>
      </c>
      <c r="D49" s="218">
        <f t="shared" ca="1" si="0"/>
        <v>34</v>
      </c>
      <c r="E49" s="100">
        <v>44621</v>
      </c>
      <c r="F49" s="188">
        <f t="shared" ca="1" si="1"/>
        <v>4</v>
      </c>
      <c r="G49" s="57">
        <v>44256</v>
      </c>
      <c r="H49" s="3" t="s">
        <v>1313</v>
      </c>
      <c r="I49" s="3" t="s">
        <v>1298</v>
      </c>
      <c r="J49" s="3" t="s">
        <v>1304</v>
      </c>
      <c r="K49" s="3" t="s">
        <v>1310</v>
      </c>
      <c r="L49" s="3" t="s">
        <v>1287</v>
      </c>
      <c r="M49" s="175">
        <f t="shared" si="2"/>
        <v>1</v>
      </c>
      <c r="N49" s="5" t="s">
        <v>311</v>
      </c>
      <c r="O49" s="2" t="s">
        <v>375</v>
      </c>
      <c r="P49" s="4" t="str">
        <f>IFERROR(VLOOKUP(TRIM(CLEAN(O49)),'JOB GROUPS'!A:B,2,FALSE),"Not Found")</f>
        <v>NM8</v>
      </c>
      <c r="Q49" s="198">
        <f t="shared" ca="1" si="3"/>
        <v>4</v>
      </c>
      <c r="R49" s="180" t="s">
        <v>1191</v>
      </c>
      <c r="S49" s="6" t="s">
        <v>682</v>
      </c>
      <c r="T49" s="5" t="s">
        <v>368</v>
      </c>
      <c r="U49" s="13"/>
      <c r="V49" s="13"/>
      <c r="W49" s="13"/>
      <c r="X49" s="13"/>
      <c r="Y49" s="14"/>
      <c r="Z49" s="14"/>
      <c r="AA49" s="14"/>
      <c r="AB49" s="13"/>
      <c r="AC49" s="13"/>
      <c r="AD49" s="13"/>
      <c r="AE49" s="13"/>
    </row>
    <row r="50" spans="1:31" ht="14.4" customHeight="1" x14ac:dyDescent="0.3">
      <c r="A50" s="151">
        <v>20152655365</v>
      </c>
      <c r="B50" s="42" t="s">
        <v>64</v>
      </c>
      <c r="C50" s="57" t="s">
        <v>225</v>
      </c>
      <c r="D50" s="218">
        <f t="shared" ca="1" si="0"/>
        <v>40</v>
      </c>
      <c r="E50" s="100">
        <v>42011</v>
      </c>
      <c r="F50" s="188">
        <f t="shared" ca="1" si="1"/>
        <v>11</v>
      </c>
      <c r="G50" s="57" t="s">
        <v>1298</v>
      </c>
      <c r="H50" s="3" t="s">
        <v>1298</v>
      </c>
      <c r="I50" s="3" t="s">
        <v>1298</v>
      </c>
      <c r="J50" s="3" t="s">
        <v>1298</v>
      </c>
      <c r="K50" s="165" t="s">
        <v>1406</v>
      </c>
      <c r="L50" s="3" t="s">
        <v>1277</v>
      </c>
      <c r="M50" s="175">
        <f t="shared" si="2"/>
        <v>1</v>
      </c>
      <c r="N50" s="5" t="s">
        <v>324</v>
      </c>
      <c r="O50" s="2" t="s">
        <v>377</v>
      </c>
      <c r="P50" s="4" t="str">
        <f>IFERROR(VLOOKUP(TRIM(CLEAN(O50)),'JOB GROUPS'!A:B,2,FALSE),"Not Found")</f>
        <v>NM10</v>
      </c>
      <c r="Q50" s="198">
        <f t="shared" ca="1" si="3"/>
        <v>3</v>
      </c>
      <c r="R50" s="180" t="s">
        <v>1238</v>
      </c>
      <c r="S50" s="6" t="s">
        <v>683</v>
      </c>
      <c r="T50" s="5" t="s">
        <v>369</v>
      </c>
      <c r="U50" s="13"/>
      <c r="V50" s="13"/>
      <c r="W50" s="13"/>
      <c r="X50" s="13"/>
      <c r="Y50" s="14"/>
      <c r="Z50" s="14"/>
      <c r="AA50" s="14"/>
      <c r="AB50" s="13"/>
      <c r="AC50" s="13"/>
      <c r="AD50" s="13"/>
      <c r="AE50" s="13"/>
    </row>
    <row r="51" spans="1:31" s="167" customFormat="1" ht="14.4" customHeight="1" x14ac:dyDescent="0.3">
      <c r="A51" s="162">
        <v>19920654357</v>
      </c>
      <c r="B51" s="163" t="s">
        <v>65</v>
      </c>
      <c r="C51" s="164">
        <v>24838</v>
      </c>
      <c r="D51" s="218">
        <f t="shared" ca="1" si="0"/>
        <v>58</v>
      </c>
      <c r="E51" s="164" t="s">
        <v>905</v>
      </c>
      <c r="F51" s="188">
        <f t="shared" ca="1" si="1"/>
        <v>34</v>
      </c>
      <c r="G51" s="164" t="s">
        <v>1298</v>
      </c>
      <c r="H51" s="165" t="s">
        <v>1298</v>
      </c>
      <c r="I51" s="165" t="s">
        <v>1298</v>
      </c>
      <c r="J51" s="165" t="s">
        <v>1298</v>
      </c>
      <c r="K51" s="165" t="s">
        <v>1326</v>
      </c>
      <c r="L51" s="165" t="s">
        <v>1274</v>
      </c>
      <c r="M51" s="175">
        <f t="shared" si="2"/>
        <v>1</v>
      </c>
      <c r="N51" s="166" t="s">
        <v>314</v>
      </c>
      <c r="O51" s="168" t="s">
        <v>378</v>
      </c>
      <c r="P51" s="4" t="str">
        <f>IFERROR(VLOOKUP(TRIM(CLEAN(O51)),'JOB GROUPS'!A:B,2,FALSE),"Not Found")</f>
        <v>NM11</v>
      </c>
      <c r="Q51" s="198">
        <f t="shared" ca="1" si="3"/>
        <v>19</v>
      </c>
      <c r="R51" s="181" t="s">
        <v>1198</v>
      </c>
      <c r="S51" s="4" t="s">
        <v>684</v>
      </c>
      <c r="T51" s="166" t="s">
        <v>368</v>
      </c>
      <c r="U51" s="4"/>
      <c r="V51" s="4"/>
      <c r="W51" s="4"/>
      <c r="X51" s="4"/>
      <c r="Y51" s="166"/>
      <c r="Z51" s="166"/>
      <c r="AA51" s="166"/>
      <c r="AB51" s="4"/>
      <c r="AC51" s="4"/>
      <c r="AD51" s="4"/>
      <c r="AE51" s="4"/>
    </row>
    <row r="52" spans="1:31" ht="14.4" customHeight="1" x14ac:dyDescent="0.3">
      <c r="A52" s="151">
        <v>20250007868</v>
      </c>
      <c r="B52" s="42" t="s">
        <v>66</v>
      </c>
      <c r="C52" s="57">
        <v>32417</v>
      </c>
      <c r="D52" s="218">
        <f t="shared" ca="1" si="0"/>
        <v>37</v>
      </c>
      <c r="E52" s="100">
        <v>45658</v>
      </c>
      <c r="F52" s="188">
        <f t="shared" ca="1" si="1"/>
        <v>1</v>
      </c>
      <c r="G52" s="57">
        <v>45677</v>
      </c>
      <c r="H52" s="3" t="s">
        <v>1301</v>
      </c>
      <c r="I52" s="3" t="s">
        <v>1298</v>
      </c>
      <c r="J52" s="3" t="s">
        <v>1305</v>
      </c>
      <c r="K52" s="3" t="s">
        <v>1298</v>
      </c>
      <c r="L52" s="3" t="s">
        <v>1298</v>
      </c>
      <c r="M52" s="175">
        <f t="shared" si="2"/>
        <v>1</v>
      </c>
      <c r="N52" s="5" t="s">
        <v>319</v>
      </c>
      <c r="O52" s="2" t="s">
        <v>379</v>
      </c>
      <c r="P52" s="4" t="str">
        <f>IFERROR(VLOOKUP(TRIM(CLEAN(O52)),'JOB GROUPS'!A:B,2,FALSE),"Not Found")</f>
        <v>NM12</v>
      </c>
      <c r="Q52" s="198">
        <f t="shared" ca="1" si="3"/>
        <v>1</v>
      </c>
      <c r="R52" s="180" t="s">
        <v>1254</v>
      </c>
      <c r="S52" s="6" t="s">
        <v>685</v>
      </c>
      <c r="T52" s="5" t="s">
        <v>368</v>
      </c>
      <c r="U52" s="13"/>
      <c r="V52" s="13"/>
      <c r="W52" s="13"/>
      <c r="X52" s="13"/>
      <c r="Y52" s="14"/>
      <c r="Z52" s="14"/>
      <c r="AA52" s="14"/>
      <c r="AB52" s="13"/>
      <c r="AC52" s="13"/>
      <c r="AD52" s="13"/>
      <c r="AE52" s="13"/>
    </row>
    <row r="53" spans="1:31" ht="14.4" customHeight="1" x14ac:dyDescent="0.3">
      <c r="A53" s="151">
        <v>20250007931</v>
      </c>
      <c r="B53" s="42" t="s">
        <v>67</v>
      </c>
      <c r="C53" s="57">
        <v>34861</v>
      </c>
      <c r="D53" s="218">
        <f t="shared" ca="1" si="0"/>
        <v>31</v>
      </c>
      <c r="E53" s="100">
        <v>45660</v>
      </c>
      <c r="F53" s="188">
        <f t="shared" ca="1" si="1"/>
        <v>1</v>
      </c>
      <c r="G53" s="57">
        <v>45660</v>
      </c>
      <c r="H53" s="3" t="s">
        <v>1301</v>
      </c>
      <c r="I53" s="3" t="s">
        <v>1298</v>
      </c>
      <c r="J53" s="3" t="s">
        <v>1305</v>
      </c>
      <c r="K53" s="3" t="s">
        <v>1298</v>
      </c>
      <c r="L53" s="3" t="s">
        <v>1298</v>
      </c>
      <c r="M53" s="175">
        <f t="shared" si="2"/>
        <v>1</v>
      </c>
      <c r="N53" s="5" t="s">
        <v>319</v>
      </c>
      <c r="O53" s="2" t="s">
        <v>379</v>
      </c>
      <c r="P53" s="4" t="str">
        <f>IFERROR(VLOOKUP(TRIM(CLEAN(O53)),'JOB GROUPS'!A:B,2,FALSE),"Not Found")</f>
        <v>NM12</v>
      </c>
      <c r="Q53" s="198">
        <f t="shared" ca="1" si="3"/>
        <v>1</v>
      </c>
      <c r="R53" s="180" t="s">
        <v>1269</v>
      </c>
      <c r="S53" s="6" t="s">
        <v>686</v>
      </c>
      <c r="T53" s="5" t="s">
        <v>369</v>
      </c>
      <c r="U53" s="13"/>
      <c r="V53" s="13"/>
      <c r="W53" s="13"/>
      <c r="X53" s="13"/>
      <c r="Y53" s="14"/>
      <c r="Z53" s="14"/>
      <c r="AA53" s="14"/>
      <c r="AB53" s="13"/>
      <c r="AC53" s="13"/>
      <c r="AD53" s="13"/>
      <c r="AE53" s="13"/>
    </row>
    <row r="54" spans="1:31" ht="14.4" customHeight="1" x14ac:dyDescent="0.3">
      <c r="A54" s="151">
        <v>20250011215</v>
      </c>
      <c r="B54" s="42" t="s">
        <v>68</v>
      </c>
      <c r="C54" s="57">
        <v>34374</v>
      </c>
      <c r="D54" s="218">
        <f t="shared" ca="1" si="0"/>
        <v>32</v>
      </c>
      <c r="E54" s="100">
        <v>45658</v>
      </c>
      <c r="F54" s="188">
        <f t="shared" ca="1" si="1"/>
        <v>1</v>
      </c>
      <c r="G54" s="57">
        <v>45658</v>
      </c>
      <c r="H54" s="3" t="s">
        <v>1301</v>
      </c>
      <c r="I54" s="3" t="s">
        <v>1298</v>
      </c>
      <c r="J54" s="3" t="s">
        <v>1304</v>
      </c>
      <c r="K54" s="3" t="s">
        <v>1298</v>
      </c>
      <c r="L54" s="3" t="s">
        <v>1298</v>
      </c>
      <c r="M54" s="175">
        <f t="shared" si="2"/>
        <v>1</v>
      </c>
      <c r="N54" s="5" t="s">
        <v>319</v>
      </c>
      <c r="O54" s="2" t="s">
        <v>379</v>
      </c>
      <c r="P54" s="4" t="str">
        <f>IFERROR(VLOOKUP(TRIM(CLEAN(O54)),'JOB GROUPS'!A:B,2,FALSE),"Not Found")</f>
        <v>NM12</v>
      </c>
      <c r="Q54" s="198">
        <f t="shared" ca="1" si="3"/>
        <v>1</v>
      </c>
      <c r="R54" s="180" t="s">
        <v>1254</v>
      </c>
      <c r="S54" s="6" t="s">
        <v>687</v>
      </c>
      <c r="T54" s="5" t="s">
        <v>370</v>
      </c>
      <c r="U54" s="13"/>
      <c r="V54" s="13"/>
      <c r="W54" s="13"/>
      <c r="X54" s="13"/>
      <c r="Y54" s="14"/>
      <c r="Z54" s="14"/>
      <c r="AA54" s="14"/>
      <c r="AB54" s="13"/>
      <c r="AC54" s="13"/>
      <c r="AD54" s="13"/>
      <c r="AE54" s="13"/>
    </row>
    <row r="55" spans="1:31" ht="14.4" customHeight="1" x14ac:dyDescent="0.3">
      <c r="A55" s="151">
        <v>20250118499</v>
      </c>
      <c r="B55" s="42" t="s">
        <v>69</v>
      </c>
      <c r="C55" s="57" t="s">
        <v>226</v>
      </c>
      <c r="D55" s="218">
        <f t="shared" ca="1" si="0"/>
        <v>24</v>
      </c>
      <c r="E55" s="100">
        <v>45693</v>
      </c>
      <c r="F55" s="188">
        <f t="shared" ca="1" si="1"/>
        <v>1</v>
      </c>
      <c r="G55" s="57">
        <v>45779</v>
      </c>
      <c r="H55" s="3" t="s">
        <v>1301</v>
      </c>
      <c r="I55" s="3" t="s">
        <v>1298</v>
      </c>
      <c r="J55" s="3" t="s">
        <v>1304</v>
      </c>
      <c r="K55" s="3" t="s">
        <v>1298</v>
      </c>
      <c r="L55" s="3" t="s">
        <v>1298</v>
      </c>
      <c r="M55" s="175">
        <f t="shared" si="2"/>
        <v>1</v>
      </c>
      <c r="N55" s="5" t="s">
        <v>319</v>
      </c>
      <c r="O55" s="2" t="s">
        <v>379</v>
      </c>
      <c r="P55" s="4" t="str">
        <f>IFERROR(VLOOKUP(TRIM(CLEAN(O55)),'JOB GROUPS'!A:B,2,FALSE),"Not Found")</f>
        <v>NM12</v>
      </c>
      <c r="Q55" s="198">
        <f t="shared" ca="1" si="3"/>
        <v>1</v>
      </c>
      <c r="R55" s="180" t="s">
        <v>1264</v>
      </c>
      <c r="S55" s="6" t="s">
        <v>688</v>
      </c>
      <c r="T55" s="5" t="s">
        <v>370</v>
      </c>
      <c r="U55" s="13"/>
      <c r="V55" s="13"/>
      <c r="W55" s="13"/>
      <c r="X55" s="13"/>
      <c r="Y55" s="14"/>
      <c r="Z55" s="14"/>
      <c r="AA55" s="14"/>
      <c r="AB55" s="13"/>
      <c r="AC55" s="13"/>
      <c r="AD55" s="13"/>
      <c r="AE55" s="13"/>
    </row>
    <row r="56" spans="1:31" ht="14.4" customHeight="1" x14ac:dyDescent="0.3">
      <c r="A56" s="151">
        <v>20240036700</v>
      </c>
      <c r="B56" s="42" t="s">
        <v>70</v>
      </c>
      <c r="C56" s="57" t="s">
        <v>227</v>
      </c>
      <c r="D56" s="218">
        <f t="shared" ca="1" si="0"/>
        <v>27</v>
      </c>
      <c r="E56" s="100">
        <v>45693</v>
      </c>
      <c r="F56" s="188">
        <f t="shared" ca="1" si="1"/>
        <v>1</v>
      </c>
      <c r="G56" s="57">
        <v>45390</v>
      </c>
      <c r="H56" s="3" t="s">
        <v>1313</v>
      </c>
      <c r="I56" s="3" t="s">
        <v>1298</v>
      </c>
      <c r="J56" s="3" t="s">
        <v>1304</v>
      </c>
      <c r="K56" s="3" t="s">
        <v>1298</v>
      </c>
      <c r="L56" s="3" t="s">
        <v>1298</v>
      </c>
      <c r="M56" s="175">
        <f t="shared" si="2"/>
        <v>1</v>
      </c>
      <c r="N56" s="5" t="s">
        <v>319</v>
      </c>
      <c r="O56" s="2" t="s">
        <v>379</v>
      </c>
      <c r="P56" s="4" t="str">
        <f>IFERROR(VLOOKUP(TRIM(CLEAN(O56)),'JOB GROUPS'!A:B,2,FALSE),"Not Found")</f>
        <v>NM12</v>
      </c>
      <c r="Q56" s="198">
        <f t="shared" ca="1" si="3"/>
        <v>1</v>
      </c>
      <c r="R56" s="180" t="s">
        <v>1264</v>
      </c>
      <c r="S56" s="6" t="s">
        <v>689</v>
      </c>
      <c r="T56" s="5" t="s">
        <v>370</v>
      </c>
      <c r="U56" s="13"/>
      <c r="V56" s="13"/>
      <c r="W56" s="13"/>
      <c r="X56" s="13"/>
      <c r="Y56" s="14"/>
      <c r="Z56" s="14"/>
      <c r="AA56" s="14"/>
      <c r="AB56" s="13"/>
      <c r="AC56" s="13"/>
      <c r="AD56" s="13"/>
      <c r="AE56" s="13"/>
    </row>
    <row r="57" spans="1:31" ht="14.4" customHeight="1" x14ac:dyDescent="0.3">
      <c r="A57" s="151">
        <v>20190118631</v>
      </c>
      <c r="B57" s="42" t="s">
        <v>71</v>
      </c>
      <c r="C57" s="57">
        <v>34038</v>
      </c>
      <c r="D57" s="218">
        <f t="shared" ca="1" si="0"/>
        <v>33</v>
      </c>
      <c r="E57" s="100">
        <v>45658</v>
      </c>
      <c r="F57" s="188">
        <f t="shared" ca="1" si="1"/>
        <v>1</v>
      </c>
      <c r="G57" s="100">
        <v>45658</v>
      </c>
      <c r="H57" s="3" t="s">
        <v>1301</v>
      </c>
      <c r="I57" s="3" t="s">
        <v>1298</v>
      </c>
      <c r="J57" s="3" t="s">
        <v>1304</v>
      </c>
      <c r="K57" s="3" t="s">
        <v>1298</v>
      </c>
      <c r="L57" s="3" t="s">
        <v>1298</v>
      </c>
      <c r="M57" s="175">
        <f t="shared" si="2"/>
        <v>1</v>
      </c>
      <c r="N57" s="5" t="s">
        <v>319</v>
      </c>
      <c r="O57" s="2" t="s">
        <v>379</v>
      </c>
      <c r="P57" s="4" t="str">
        <f>IFERROR(VLOOKUP(TRIM(CLEAN(O57)),'JOB GROUPS'!A:B,2,FALSE),"Not Found")</f>
        <v>NM12</v>
      </c>
      <c r="Q57" s="198">
        <f t="shared" ca="1" si="3"/>
        <v>1</v>
      </c>
      <c r="R57" s="180" t="s">
        <v>1254</v>
      </c>
      <c r="S57" s="6" t="s">
        <v>690</v>
      </c>
      <c r="T57" s="5" t="s">
        <v>370</v>
      </c>
      <c r="U57" s="13"/>
      <c r="V57" s="13"/>
      <c r="W57" s="13"/>
      <c r="X57" s="13"/>
      <c r="Y57" s="14"/>
      <c r="Z57" s="14"/>
      <c r="AA57" s="14"/>
      <c r="AB57" s="13"/>
      <c r="AC57" s="13"/>
      <c r="AD57" s="13"/>
      <c r="AE57" s="13"/>
    </row>
    <row r="58" spans="1:31" ht="14.4" customHeight="1" x14ac:dyDescent="0.3">
      <c r="A58" s="151">
        <v>20250011207</v>
      </c>
      <c r="B58" s="42" t="s">
        <v>72</v>
      </c>
      <c r="C58" s="57">
        <v>31413</v>
      </c>
      <c r="D58" s="218">
        <f t="shared" ca="1" si="0"/>
        <v>40</v>
      </c>
      <c r="E58" s="100">
        <v>45658</v>
      </c>
      <c r="F58" s="188">
        <f t="shared" ca="1" si="1"/>
        <v>1</v>
      </c>
      <c r="G58" s="57">
        <v>45658</v>
      </c>
      <c r="H58" s="3" t="s">
        <v>1301</v>
      </c>
      <c r="I58" s="3" t="s">
        <v>1298</v>
      </c>
      <c r="J58" s="3" t="s">
        <v>1304</v>
      </c>
      <c r="K58" s="3" t="s">
        <v>1298</v>
      </c>
      <c r="L58" s="3" t="s">
        <v>1298</v>
      </c>
      <c r="M58" s="175">
        <f t="shared" si="2"/>
        <v>1</v>
      </c>
      <c r="N58" s="4" t="s">
        <v>319</v>
      </c>
      <c r="O58" s="4" t="s">
        <v>379</v>
      </c>
      <c r="P58" s="4" t="str">
        <f>IFERROR(VLOOKUP(TRIM(CLEAN(O58)),'JOB GROUPS'!A:B,2,FALSE),"Not Found")</f>
        <v>NM12</v>
      </c>
      <c r="Q58" s="198">
        <f t="shared" ca="1" si="3"/>
        <v>1</v>
      </c>
      <c r="R58" s="180" t="s">
        <v>1254</v>
      </c>
      <c r="S58" s="6" t="s">
        <v>657</v>
      </c>
      <c r="T58" s="5" t="s">
        <v>370</v>
      </c>
      <c r="U58" s="13"/>
      <c r="V58" s="13"/>
      <c r="W58" s="13"/>
      <c r="X58" s="13"/>
      <c r="Y58" s="14"/>
      <c r="Z58" s="14"/>
      <c r="AA58" s="14"/>
      <c r="AB58" s="13"/>
      <c r="AC58" s="13"/>
      <c r="AD58" s="13"/>
      <c r="AE58" s="13"/>
    </row>
    <row r="59" spans="1:31" s="216" customFormat="1" ht="14.4" customHeight="1" x14ac:dyDescent="0.3">
      <c r="A59" s="206"/>
      <c r="B59" s="207"/>
      <c r="C59" s="208"/>
      <c r="D59" s="218"/>
      <c r="E59" s="208"/>
      <c r="F59" s="209"/>
      <c r="G59" s="208"/>
      <c r="H59" s="210"/>
      <c r="I59" s="210"/>
      <c r="K59" s="210"/>
      <c r="L59" s="210"/>
      <c r="M59" s="209"/>
      <c r="N59" s="213"/>
      <c r="O59" s="213"/>
      <c r="P59" s="213"/>
      <c r="Q59" s="214"/>
      <c r="R59" s="215"/>
      <c r="S59" s="213"/>
      <c r="T59" s="211"/>
      <c r="U59" s="213"/>
      <c r="V59" s="213"/>
      <c r="W59" s="213"/>
      <c r="X59" s="213"/>
      <c r="Y59" s="211"/>
      <c r="Z59" s="211"/>
      <c r="AA59" s="211"/>
      <c r="AB59" s="213"/>
      <c r="AC59" s="213"/>
      <c r="AD59" s="213"/>
      <c r="AE59" s="213"/>
    </row>
    <row r="60" spans="1:31" ht="14.4" customHeight="1" x14ac:dyDescent="0.3">
      <c r="A60" s="152">
        <v>19920654373</v>
      </c>
      <c r="B60" s="3" t="s">
        <v>73</v>
      </c>
      <c r="C60" s="57">
        <v>24357</v>
      </c>
      <c r="D60" s="218">
        <f t="shared" ca="1" si="0"/>
        <v>59</v>
      </c>
      <c r="E60" s="100" t="s">
        <v>919</v>
      </c>
      <c r="F60" s="188">
        <f t="shared" ca="1" si="1"/>
        <v>34</v>
      </c>
      <c r="G60" s="57" t="s">
        <v>1298</v>
      </c>
      <c r="H60" s="3" t="s">
        <v>1298</v>
      </c>
      <c r="I60" s="3" t="s">
        <v>1298</v>
      </c>
      <c r="J60" s="3" t="s">
        <v>1298</v>
      </c>
      <c r="K60" s="3" t="s">
        <v>1378</v>
      </c>
      <c r="L60" s="3" t="s">
        <v>1291</v>
      </c>
      <c r="M60" s="175">
        <f t="shared" si="2"/>
        <v>1</v>
      </c>
      <c r="N60" s="9" t="s">
        <v>325</v>
      </c>
      <c r="O60" s="4" t="s">
        <v>380</v>
      </c>
      <c r="P60" s="4" t="str">
        <f>IFERROR(VLOOKUP(TRIM(CLEAN(O60)),'JOB GROUPS'!A:B,2,FALSE),"Not Found")</f>
        <v>NM5</v>
      </c>
      <c r="Q60" s="198">
        <f t="shared" ca="1" si="3"/>
        <v>1</v>
      </c>
      <c r="R60" s="180" t="s">
        <v>1199</v>
      </c>
      <c r="S60" s="6" t="s">
        <v>691</v>
      </c>
      <c r="T60" s="5" t="s">
        <v>369</v>
      </c>
      <c r="U60" s="13"/>
      <c r="V60" s="13"/>
      <c r="W60" s="13"/>
      <c r="X60" s="13"/>
      <c r="Y60" s="14"/>
      <c r="Z60" s="14"/>
      <c r="AA60" s="14"/>
      <c r="AB60" s="13"/>
      <c r="AC60" s="13"/>
      <c r="AD60" s="13"/>
      <c r="AE60" s="13"/>
    </row>
    <row r="61" spans="1:31" ht="14.4" customHeight="1" x14ac:dyDescent="0.3">
      <c r="A61" s="151">
        <v>20095593234</v>
      </c>
      <c r="B61" s="42" t="s">
        <v>74</v>
      </c>
      <c r="C61" s="57" t="s">
        <v>228</v>
      </c>
      <c r="D61" s="218">
        <f t="shared" ca="1" si="0"/>
        <v>38</v>
      </c>
      <c r="E61" s="100" t="s">
        <v>923</v>
      </c>
      <c r="F61" s="188">
        <f t="shared" ca="1" si="1"/>
        <v>17</v>
      </c>
      <c r="G61" s="57" t="s">
        <v>1298</v>
      </c>
      <c r="H61" s="3" t="s">
        <v>1298</v>
      </c>
      <c r="I61" s="3" t="s">
        <v>1298</v>
      </c>
      <c r="J61" s="3" t="s">
        <v>1298</v>
      </c>
      <c r="K61" s="3" t="s">
        <v>1422</v>
      </c>
      <c r="L61" s="3" t="s">
        <v>1290</v>
      </c>
      <c r="M61" s="175">
        <f t="shared" si="2"/>
        <v>1</v>
      </c>
      <c r="N61" s="9" t="s">
        <v>325</v>
      </c>
      <c r="O61" s="4" t="s">
        <v>380</v>
      </c>
      <c r="P61" s="4" t="str">
        <f>IFERROR(VLOOKUP(TRIM(CLEAN(O61)),'JOB GROUPS'!A:B,2,FALSE),"Not Found")</f>
        <v>NM5</v>
      </c>
      <c r="Q61" s="198">
        <f t="shared" ca="1" si="3"/>
        <v>4</v>
      </c>
      <c r="R61" s="180" t="s">
        <v>1222</v>
      </c>
      <c r="S61" s="6" t="s">
        <v>692</v>
      </c>
      <c r="T61" s="5" t="s">
        <v>369</v>
      </c>
      <c r="U61" s="13"/>
      <c r="V61" s="13"/>
      <c r="W61" s="13"/>
      <c r="X61" s="13"/>
      <c r="Y61" s="14"/>
      <c r="Z61" s="14"/>
      <c r="AA61" s="14"/>
      <c r="AB61" s="13"/>
      <c r="AC61" s="13"/>
      <c r="AD61" s="13"/>
      <c r="AE61" s="13"/>
    </row>
    <row r="62" spans="1:31" ht="14.4" customHeight="1" x14ac:dyDescent="0.3">
      <c r="A62" s="151">
        <v>19930980988</v>
      </c>
      <c r="B62" s="42" t="s">
        <v>75</v>
      </c>
      <c r="C62" s="57">
        <v>24443</v>
      </c>
      <c r="D62" s="218">
        <f t="shared" ca="1" si="0"/>
        <v>59</v>
      </c>
      <c r="E62" s="100">
        <v>33976</v>
      </c>
      <c r="F62" s="188">
        <f t="shared" ca="1" si="1"/>
        <v>33</v>
      </c>
      <c r="G62" s="57">
        <v>33573</v>
      </c>
      <c r="H62" s="3" t="s">
        <v>1313</v>
      </c>
      <c r="I62" s="3" t="s">
        <v>1298</v>
      </c>
      <c r="J62" s="3" t="s">
        <v>1304</v>
      </c>
      <c r="K62" s="3" t="s">
        <v>1423</v>
      </c>
      <c r="L62" s="3" t="s">
        <v>1277</v>
      </c>
      <c r="M62" s="175">
        <f t="shared" si="2"/>
        <v>1</v>
      </c>
      <c r="N62" s="4" t="s">
        <v>326</v>
      </c>
      <c r="O62" s="4" t="s">
        <v>374</v>
      </c>
      <c r="P62" s="4" t="str">
        <f>IFERROR(VLOOKUP(TRIM(CLEAN(O62)),'JOB GROUPS'!A:B,2,FALSE),"Not Found")</f>
        <v>NM7</v>
      </c>
      <c r="Q62" s="198">
        <f t="shared" ca="1" si="3"/>
        <v>1</v>
      </c>
      <c r="R62" s="180" t="s">
        <v>1199</v>
      </c>
      <c r="S62" s="6" t="s">
        <v>693</v>
      </c>
      <c r="T62" s="5" t="s">
        <v>369</v>
      </c>
      <c r="U62" s="13"/>
      <c r="V62" s="13"/>
      <c r="W62" s="13"/>
      <c r="X62" s="13"/>
      <c r="Y62" s="14"/>
      <c r="Z62" s="14"/>
      <c r="AA62" s="14"/>
      <c r="AB62" s="13"/>
      <c r="AC62" s="13"/>
      <c r="AD62" s="13"/>
      <c r="AE62" s="13"/>
    </row>
    <row r="63" spans="1:31" ht="14.4" customHeight="1" x14ac:dyDescent="0.3">
      <c r="A63" s="151">
        <v>20181472524</v>
      </c>
      <c r="B63" s="42" t="s">
        <v>76</v>
      </c>
      <c r="C63" s="57" t="s">
        <v>229</v>
      </c>
      <c r="D63" s="218">
        <f t="shared" ca="1" si="0"/>
        <v>41</v>
      </c>
      <c r="E63" s="100">
        <v>43101</v>
      </c>
      <c r="F63" s="188">
        <f t="shared" ca="1" si="1"/>
        <v>8</v>
      </c>
      <c r="G63" s="57" t="s">
        <v>1298</v>
      </c>
      <c r="H63" s="3" t="s">
        <v>1298</v>
      </c>
      <c r="I63" s="3" t="s">
        <v>1298</v>
      </c>
      <c r="J63" s="3" t="s">
        <v>1298</v>
      </c>
      <c r="K63" s="3" t="s">
        <v>1344</v>
      </c>
      <c r="L63" s="3" t="s">
        <v>1287</v>
      </c>
      <c r="M63" s="175">
        <f t="shared" si="2"/>
        <v>1</v>
      </c>
      <c r="N63" s="4" t="s">
        <v>327</v>
      </c>
      <c r="O63" s="4" t="s">
        <v>375</v>
      </c>
      <c r="P63" s="4" t="str">
        <f>IFERROR(VLOOKUP(TRIM(CLEAN(O63)),'JOB GROUPS'!A:B,2,FALSE),"Not Found")</f>
        <v>NM8</v>
      </c>
      <c r="Q63" s="198">
        <f t="shared" ca="1" si="3"/>
        <v>8</v>
      </c>
      <c r="R63" s="180" t="s">
        <v>1253</v>
      </c>
      <c r="S63" s="6" t="s">
        <v>694</v>
      </c>
      <c r="T63" s="5" t="s">
        <v>368</v>
      </c>
      <c r="U63" s="13"/>
      <c r="V63" s="13"/>
      <c r="W63" s="13"/>
      <c r="X63" s="13"/>
      <c r="Y63" s="14"/>
      <c r="Z63" s="14"/>
      <c r="AA63" s="14"/>
      <c r="AB63" s="13"/>
      <c r="AC63" s="13"/>
      <c r="AD63" s="13"/>
      <c r="AE63" s="13"/>
    </row>
    <row r="64" spans="1:31" ht="14.4" customHeight="1" x14ac:dyDescent="0.3">
      <c r="A64" s="151">
        <v>20240300890</v>
      </c>
      <c r="B64" s="42" t="s">
        <v>77</v>
      </c>
      <c r="C64" s="57">
        <v>36321</v>
      </c>
      <c r="D64" s="218">
        <f t="shared" ca="1" si="0"/>
        <v>27</v>
      </c>
      <c r="E64" s="100">
        <v>45301</v>
      </c>
      <c r="F64" s="188">
        <f t="shared" ca="1" si="1"/>
        <v>2</v>
      </c>
      <c r="G64" s="57">
        <v>45200</v>
      </c>
      <c r="H64" s="3" t="s">
        <v>1313</v>
      </c>
      <c r="I64" s="3" t="s">
        <v>1298</v>
      </c>
      <c r="J64" s="3" t="s">
        <v>1304</v>
      </c>
      <c r="K64" s="3" t="s">
        <v>1359</v>
      </c>
      <c r="L64" s="3" t="s">
        <v>1287</v>
      </c>
      <c r="M64" s="175">
        <f t="shared" si="2"/>
        <v>1</v>
      </c>
      <c r="N64" s="5" t="s">
        <v>328</v>
      </c>
      <c r="O64" s="2" t="s">
        <v>375</v>
      </c>
      <c r="P64" s="4" t="str">
        <f>IFERROR(VLOOKUP(TRIM(CLEAN(O64)),'JOB GROUPS'!A:B,2,FALSE),"Not Found")</f>
        <v>NM8</v>
      </c>
      <c r="Q64" s="198">
        <f t="shared" ca="1" si="3"/>
        <v>1</v>
      </c>
      <c r="R64" s="180" t="s">
        <v>1199</v>
      </c>
      <c r="S64" s="6" t="s">
        <v>695</v>
      </c>
      <c r="T64" s="5" t="s">
        <v>368</v>
      </c>
      <c r="U64" s="13"/>
      <c r="V64" s="13"/>
      <c r="W64" s="13"/>
      <c r="X64" s="13"/>
      <c r="Y64" s="14"/>
      <c r="Z64" s="14"/>
      <c r="AA64" s="14"/>
      <c r="AB64" s="13"/>
      <c r="AC64" s="13"/>
      <c r="AD64" s="13"/>
      <c r="AE64" s="13"/>
    </row>
    <row r="65" spans="1:31" s="17" customFormat="1" ht="14.4" customHeight="1" x14ac:dyDescent="0.3">
      <c r="A65" s="153">
        <v>20250067240</v>
      </c>
      <c r="B65" s="15" t="s">
        <v>78</v>
      </c>
      <c r="C65" s="58" t="s">
        <v>230</v>
      </c>
      <c r="D65" s="218">
        <f t="shared" ca="1" si="0"/>
        <v>26</v>
      </c>
      <c r="E65" s="100">
        <v>45693</v>
      </c>
      <c r="F65" s="188">
        <f t="shared" ca="1" si="1"/>
        <v>1</v>
      </c>
      <c r="G65" s="58" t="s">
        <v>1298</v>
      </c>
      <c r="H65" s="15" t="s">
        <v>1298</v>
      </c>
      <c r="I65" s="15" t="s">
        <v>1298</v>
      </c>
      <c r="J65" s="15" t="s">
        <v>1298</v>
      </c>
      <c r="K65" s="15" t="s">
        <v>1344</v>
      </c>
      <c r="L65" s="15" t="s">
        <v>1287</v>
      </c>
      <c r="M65" s="175">
        <f t="shared" si="2"/>
        <v>1</v>
      </c>
      <c r="N65" s="9" t="s">
        <v>329</v>
      </c>
      <c r="O65" s="9" t="s">
        <v>375</v>
      </c>
      <c r="P65" s="4" t="str">
        <f>IFERROR(VLOOKUP(TRIM(CLEAN(O65)),'JOB GROUPS'!A:B,2,FALSE),"Not Found")</f>
        <v>NM8</v>
      </c>
      <c r="Q65" s="198">
        <f t="shared" ca="1" si="3"/>
        <v>1</v>
      </c>
      <c r="R65" s="180" t="s">
        <v>1264</v>
      </c>
      <c r="S65" s="6" t="s">
        <v>696</v>
      </c>
      <c r="T65" s="16" t="s">
        <v>368</v>
      </c>
      <c r="U65" s="13"/>
      <c r="V65" s="13"/>
      <c r="W65" s="13"/>
      <c r="X65" s="13"/>
      <c r="Y65" s="14"/>
      <c r="Z65" s="14"/>
      <c r="AA65" s="14"/>
      <c r="AB65" s="13"/>
      <c r="AC65" s="13"/>
      <c r="AD65" s="13"/>
      <c r="AE65" s="13"/>
    </row>
    <row r="66" spans="1:31" ht="14.4" customHeight="1" x14ac:dyDescent="0.3">
      <c r="A66" s="152">
        <v>20250067232</v>
      </c>
      <c r="B66" s="3" t="s">
        <v>79</v>
      </c>
      <c r="C66" s="57">
        <v>35133</v>
      </c>
      <c r="D66" s="218">
        <f t="shared" ca="1" si="0"/>
        <v>30</v>
      </c>
      <c r="E66" s="100">
        <v>45693</v>
      </c>
      <c r="F66" s="188">
        <f t="shared" ca="1" si="1"/>
        <v>1</v>
      </c>
      <c r="G66" s="57" t="s">
        <v>1298</v>
      </c>
      <c r="H66" s="3" t="s">
        <v>1298</v>
      </c>
      <c r="I66" s="3" t="s">
        <v>1298</v>
      </c>
      <c r="J66" s="3" t="s">
        <v>1298</v>
      </c>
      <c r="K66" s="3" t="s">
        <v>1344</v>
      </c>
      <c r="L66" s="3" t="s">
        <v>1287</v>
      </c>
      <c r="M66" s="175">
        <f t="shared" si="2"/>
        <v>1</v>
      </c>
      <c r="N66" s="4" t="s">
        <v>329</v>
      </c>
      <c r="O66" s="4" t="s">
        <v>375</v>
      </c>
      <c r="P66" s="4" t="str">
        <f>IFERROR(VLOOKUP(TRIM(CLEAN(O66)),'JOB GROUPS'!A:B,2,FALSE),"Not Found")</f>
        <v>NM8</v>
      </c>
      <c r="Q66" s="198">
        <f t="shared" ca="1" si="3"/>
        <v>1</v>
      </c>
      <c r="R66" s="180" t="s">
        <v>1264</v>
      </c>
      <c r="S66" s="6" t="s">
        <v>695</v>
      </c>
      <c r="T66" s="5" t="s">
        <v>368</v>
      </c>
      <c r="U66" s="13"/>
      <c r="V66" s="13"/>
      <c r="W66" s="13"/>
      <c r="X66" s="13"/>
      <c r="Y66" s="14"/>
      <c r="Z66" s="14"/>
      <c r="AA66" s="14"/>
      <c r="AB66" s="13"/>
      <c r="AC66" s="13"/>
      <c r="AD66" s="13"/>
      <c r="AE66" s="13"/>
    </row>
    <row r="67" spans="1:31" ht="14.4" customHeight="1" x14ac:dyDescent="0.3">
      <c r="A67" s="151">
        <v>20250067258</v>
      </c>
      <c r="B67" s="42" t="s">
        <v>80</v>
      </c>
      <c r="C67" s="57">
        <v>37500</v>
      </c>
      <c r="D67" s="218">
        <f t="shared" ca="1" si="0"/>
        <v>23</v>
      </c>
      <c r="E67" s="100">
        <v>45693</v>
      </c>
      <c r="F67" s="188">
        <f t="shared" ca="1" si="1"/>
        <v>1</v>
      </c>
      <c r="G67" s="57" t="s">
        <v>1298</v>
      </c>
      <c r="H67" s="3" t="s">
        <v>1298</v>
      </c>
      <c r="I67" s="3" t="s">
        <v>1298</v>
      </c>
      <c r="J67" s="3" t="s">
        <v>1298</v>
      </c>
      <c r="K67" s="3" t="s">
        <v>1344</v>
      </c>
      <c r="L67" s="3" t="s">
        <v>1287</v>
      </c>
      <c r="M67" s="175">
        <f t="shared" si="2"/>
        <v>1</v>
      </c>
      <c r="N67" s="2" t="s">
        <v>329</v>
      </c>
      <c r="O67" s="2" t="s">
        <v>375</v>
      </c>
      <c r="P67" s="4" t="str">
        <f>IFERROR(VLOOKUP(TRIM(CLEAN(O67)),'JOB GROUPS'!A:B,2,FALSE),"Not Found")</f>
        <v>NM8</v>
      </c>
      <c r="Q67" s="198">
        <f t="shared" ca="1" si="3"/>
        <v>1</v>
      </c>
      <c r="R67" s="180" t="s">
        <v>1264</v>
      </c>
      <c r="S67" s="6" t="s">
        <v>696</v>
      </c>
      <c r="T67" s="2" t="s">
        <v>368</v>
      </c>
      <c r="U67" s="13"/>
      <c r="V67" s="13"/>
      <c r="W67" s="13"/>
      <c r="X67" s="13"/>
      <c r="Y67" s="12"/>
      <c r="Z67" s="12"/>
      <c r="AA67" s="12"/>
      <c r="AB67" s="13"/>
      <c r="AC67" s="13"/>
      <c r="AD67" s="13"/>
      <c r="AE67" s="13"/>
    </row>
    <row r="68" spans="1:31" ht="14.4" customHeight="1" x14ac:dyDescent="0.3">
      <c r="A68" s="151">
        <v>20220598342</v>
      </c>
      <c r="B68" s="42" t="s">
        <v>81</v>
      </c>
      <c r="C68" s="57">
        <v>34400</v>
      </c>
      <c r="D68" s="218">
        <f t="shared" ref="D68:D131" ca="1" si="4">DATEDIF(C68,TODAY(),"Y")</f>
        <v>32</v>
      </c>
      <c r="E68" s="100" t="s">
        <v>932</v>
      </c>
      <c r="F68" s="188">
        <f t="shared" ref="F68:F131" ca="1" si="5">DATEDIF(E68,TODAY(),"Y")</f>
        <v>4</v>
      </c>
      <c r="G68" s="57" t="s">
        <v>1298</v>
      </c>
      <c r="H68" s="3" t="s">
        <v>1298</v>
      </c>
      <c r="I68" s="3" t="s">
        <v>1298</v>
      </c>
      <c r="J68" s="3" t="s">
        <v>1298</v>
      </c>
      <c r="K68" s="165" t="s">
        <v>1439</v>
      </c>
      <c r="L68" s="3" t="s">
        <v>1291</v>
      </c>
      <c r="M68" s="175">
        <f t="shared" ref="M68:M131" si="6">IF(COUNTA(G68:L68)=0,0,1)</f>
        <v>1</v>
      </c>
      <c r="N68" s="4" t="s">
        <v>306</v>
      </c>
      <c r="O68" s="4" t="s">
        <v>379</v>
      </c>
      <c r="P68" s="4" t="str">
        <f>IFERROR(VLOOKUP(TRIM(CLEAN(O68)),'JOB GROUPS'!A:B,2,FALSE),"Not Found")</f>
        <v>NM12</v>
      </c>
      <c r="Q68" s="198">
        <f t="shared" ref="Q68:Q131" ca="1" si="7">DATEDIF(R68,TODAY(),"Y")</f>
        <v>4</v>
      </c>
      <c r="R68" s="180" t="s">
        <v>932</v>
      </c>
      <c r="S68" s="6" t="s">
        <v>697</v>
      </c>
      <c r="T68" s="5" t="s">
        <v>368</v>
      </c>
      <c r="U68" s="13"/>
      <c r="V68" s="13"/>
      <c r="W68" s="13"/>
      <c r="X68" s="13"/>
      <c r="Y68" s="14"/>
      <c r="Z68" s="14"/>
      <c r="AA68" s="14"/>
      <c r="AB68" s="13"/>
      <c r="AC68" s="13"/>
      <c r="AD68" s="13"/>
      <c r="AE68" s="13"/>
    </row>
    <row r="69" spans="1:31" s="216" customFormat="1" ht="14.4" customHeight="1" x14ac:dyDescent="0.3">
      <c r="A69" s="206"/>
      <c r="B69" s="207"/>
      <c r="C69" s="208"/>
      <c r="D69" s="209"/>
      <c r="E69" s="208"/>
      <c r="F69" s="209"/>
      <c r="G69" s="208"/>
      <c r="H69" s="210"/>
      <c r="I69" s="210"/>
      <c r="J69" s="210"/>
      <c r="K69" s="210"/>
      <c r="L69" s="210"/>
      <c r="M69" s="209"/>
      <c r="N69" s="213"/>
      <c r="O69" s="213"/>
      <c r="P69" s="213"/>
      <c r="Q69" s="214"/>
      <c r="R69" s="215"/>
      <c r="S69" s="213"/>
      <c r="T69" s="211"/>
      <c r="U69" s="213"/>
      <c r="V69" s="213"/>
      <c r="W69" s="213"/>
      <c r="X69" s="213"/>
      <c r="Y69" s="211"/>
      <c r="Z69" s="211"/>
      <c r="AA69" s="211"/>
      <c r="AB69" s="213"/>
      <c r="AC69" s="213"/>
      <c r="AD69" s="213"/>
      <c r="AE69" s="213"/>
    </row>
    <row r="70" spans="1:31" ht="14.4" customHeight="1" x14ac:dyDescent="0.3">
      <c r="A70" s="152">
        <v>20200484010</v>
      </c>
      <c r="B70" s="3" t="s">
        <v>82</v>
      </c>
      <c r="C70" s="57">
        <v>34122</v>
      </c>
      <c r="D70" s="218">
        <f t="shared" ca="1" si="4"/>
        <v>33</v>
      </c>
      <c r="E70" s="100">
        <v>43837</v>
      </c>
      <c r="F70" s="188">
        <f t="shared" ca="1" si="5"/>
        <v>6</v>
      </c>
      <c r="G70" s="57" t="s">
        <v>1298</v>
      </c>
      <c r="H70" s="3" t="s">
        <v>1298</v>
      </c>
      <c r="I70" s="3" t="s">
        <v>1298</v>
      </c>
      <c r="J70" s="3" t="s">
        <v>1298</v>
      </c>
      <c r="K70" s="3" t="s">
        <v>1424</v>
      </c>
      <c r="L70" s="3" t="s">
        <v>1287</v>
      </c>
      <c r="M70" s="175">
        <f t="shared" si="6"/>
        <v>1</v>
      </c>
      <c r="N70" s="4" t="s">
        <v>330</v>
      </c>
      <c r="O70" s="4" t="s">
        <v>375</v>
      </c>
      <c r="P70" s="4" t="str">
        <f>IFERROR(VLOOKUP(TRIM(CLEAN(O70)),'JOB GROUPS'!A:B,2,FALSE),"Not Found")</f>
        <v>NM8</v>
      </c>
      <c r="Q70" s="198">
        <f t="shared" ca="1" si="7"/>
        <v>5</v>
      </c>
      <c r="R70" s="180" t="s">
        <v>1258</v>
      </c>
      <c r="S70" s="6" t="s">
        <v>698</v>
      </c>
      <c r="T70" s="5" t="s">
        <v>368</v>
      </c>
      <c r="U70" s="13"/>
      <c r="V70" s="13"/>
      <c r="W70" s="13"/>
      <c r="X70" s="13"/>
      <c r="Y70" s="14"/>
      <c r="Z70" s="14"/>
      <c r="AA70" s="14"/>
      <c r="AB70" s="13"/>
      <c r="AC70" s="13"/>
      <c r="AD70" s="13"/>
      <c r="AE70" s="13"/>
    </row>
    <row r="71" spans="1:31" ht="14.4" customHeight="1" x14ac:dyDescent="0.3">
      <c r="A71" s="151">
        <v>20220597964</v>
      </c>
      <c r="B71" s="42" t="s">
        <v>83</v>
      </c>
      <c r="C71" s="57" t="s">
        <v>231</v>
      </c>
      <c r="D71" s="218">
        <f t="shared" ca="1" si="4"/>
        <v>28</v>
      </c>
      <c r="E71" s="100">
        <v>44806</v>
      </c>
      <c r="F71" s="188">
        <f t="shared" ca="1" si="5"/>
        <v>3</v>
      </c>
      <c r="G71" s="57" t="s">
        <v>1298</v>
      </c>
      <c r="H71" s="3" t="s">
        <v>1298</v>
      </c>
      <c r="I71" s="3" t="s">
        <v>1298</v>
      </c>
      <c r="J71" s="3" t="s">
        <v>1298</v>
      </c>
      <c r="K71" s="3" t="s">
        <v>1424</v>
      </c>
      <c r="L71" s="3" t="s">
        <v>1287</v>
      </c>
      <c r="M71" s="175">
        <f t="shared" si="6"/>
        <v>1</v>
      </c>
      <c r="N71" s="5" t="s">
        <v>330</v>
      </c>
      <c r="O71" s="2" t="s">
        <v>375</v>
      </c>
      <c r="P71" s="4" t="str">
        <f>IFERROR(VLOOKUP(TRIM(CLEAN(O71)),'JOB GROUPS'!A:B,2,FALSE),"Not Found")</f>
        <v>NM8</v>
      </c>
      <c r="Q71" s="198">
        <f t="shared" ca="1" si="7"/>
        <v>4</v>
      </c>
      <c r="R71" s="180" t="s">
        <v>1262</v>
      </c>
      <c r="S71" s="6" t="s">
        <v>699</v>
      </c>
      <c r="T71" s="5" t="s">
        <v>368</v>
      </c>
      <c r="U71" s="13"/>
      <c r="V71" s="13"/>
      <c r="W71" s="13"/>
      <c r="X71" s="13"/>
      <c r="Y71" s="14"/>
      <c r="Z71" s="14"/>
      <c r="AA71" s="14"/>
      <c r="AB71" s="13"/>
      <c r="AC71" s="13"/>
      <c r="AD71" s="13"/>
      <c r="AE71" s="13"/>
    </row>
    <row r="72" spans="1:31" ht="14.4" customHeight="1" x14ac:dyDescent="0.3">
      <c r="A72" s="151">
        <v>20220597906</v>
      </c>
      <c r="B72" s="42" t="s">
        <v>84</v>
      </c>
      <c r="C72" s="57" t="s">
        <v>232</v>
      </c>
      <c r="D72" s="218">
        <f t="shared" ca="1" si="4"/>
        <v>33</v>
      </c>
      <c r="E72" s="100" t="s">
        <v>937</v>
      </c>
      <c r="F72" s="188">
        <f t="shared" ca="1" si="5"/>
        <v>4</v>
      </c>
      <c r="G72" s="57" t="s">
        <v>1298</v>
      </c>
      <c r="H72" s="3" t="s">
        <v>1298</v>
      </c>
      <c r="I72" s="3" t="s">
        <v>1298</v>
      </c>
      <c r="J72" s="3" t="s">
        <v>1298</v>
      </c>
      <c r="K72" s="3" t="s">
        <v>1425</v>
      </c>
      <c r="L72" s="3" t="s">
        <v>1289</v>
      </c>
      <c r="M72" s="175">
        <f t="shared" si="6"/>
        <v>1</v>
      </c>
      <c r="N72" s="2" t="s">
        <v>331</v>
      </c>
      <c r="O72" s="2" t="s">
        <v>377</v>
      </c>
      <c r="P72" s="4" t="str">
        <f>IFERROR(VLOOKUP(TRIM(CLEAN(O72)),'JOB GROUPS'!A:B,2,FALSE),"Not Found")</f>
        <v>NM10</v>
      </c>
      <c r="Q72" s="198">
        <f t="shared" ca="1" si="7"/>
        <v>4</v>
      </c>
      <c r="R72" s="180" t="s">
        <v>937</v>
      </c>
      <c r="S72" s="6" t="s">
        <v>700</v>
      </c>
      <c r="T72" s="2" t="s">
        <v>368</v>
      </c>
      <c r="U72" s="13"/>
      <c r="V72" s="13"/>
      <c r="W72" s="13"/>
      <c r="X72" s="13"/>
      <c r="Y72" s="12"/>
      <c r="Z72" s="12"/>
      <c r="AA72" s="12"/>
      <c r="AB72" s="13"/>
      <c r="AC72" s="13"/>
      <c r="AD72" s="13"/>
      <c r="AE72" s="13"/>
    </row>
    <row r="73" spans="1:31" s="216" customFormat="1" ht="14.4" customHeight="1" x14ac:dyDescent="0.3">
      <c r="A73" s="206"/>
      <c r="B73" s="207"/>
      <c r="C73" s="208"/>
      <c r="D73" s="209"/>
      <c r="E73" s="208"/>
      <c r="F73" s="209"/>
      <c r="G73" s="208"/>
      <c r="H73" s="210"/>
      <c r="I73" s="210"/>
      <c r="J73" s="210"/>
      <c r="K73" s="210"/>
      <c r="L73" s="210"/>
      <c r="M73" s="209"/>
      <c r="N73" s="212"/>
      <c r="O73" s="212"/>
      <c r="P73" s="213"/>
      <c r="Q73" s="214"/>
      <c r="R73" s="215"/>
      <c r="S73" s="213"/>
      <c r="T73" s="211"/>
      <c r="U73" s="213"/>
      <c r="V73" s="213"/>
      <c r="W73" s="213"/>
      <c r="X73" s="213"/>
      <c r="Y73" s="211"/>
      <c r="Z73" s="211"/>
      <c r="AA73" s="211"/>
      <c r="AB73" s="213"/>
      <c r="AC73" s="213"/>
      <c r="AD73" s="213"/>
      <c r="AE73" s="213"/>
    </row>
    <row r="74" spans="1:31" ht="14.4" customHeight="1" x14ac:dyDescent="0.3">
      <c r="A74" s="152">
        <v>20121210938</v>
      </c>
      <c r="B74" s="3" t="s">
        <v>85</v>
      </c>
      <c r="C74" s="57" t="s">
        <v>233</v>
      </c>
      <c r="D74" s="218">
        <f t="shared" ca="1" si="4"/>
        <v>40</v>
      </c>
      <c r="E74" s="100">
        <v>40916</v>
      </c>
      <c r="F74" s="188">
        <f t="shared" ca="1" si="5"/>
        <v>14</v>
      </c>
      <c r="G74" s="57" t="s">
        <v>1298</v>
      </c>
      <c r="H74" s="3" t="s">
        <v>1298</v>
      </c>
      <c r="I74" s="3" t="s">
        <v>1298</v>
      </c>
      <c r="J74" s="3" t="s">
        <v>1298</v>
      </c>
      <c r="K74" s="3" t="s">
        <v>1388</v>
      </c>
      <c r="L74" s="3" t="s">
        <v>1286</v>
      </c>
      <c r="M74" s="175">
        <f t="shared" si="6"/>
        <v>1</v>
      </c>
      <c r="N74" s="4" t="s">
        <v>332</v>
      </c>
      <c r="O74" s="4" t="s">
        <v>380</v>
      </c>
      <c r="P74" s="4" t="str">
        <f>IFERROR(VLOOKUP(TRIM(CLEAN(O74)),'JOB GROUPS'!A:B,2,FALSE),"Not Found")</f>
        <v>NM5</v>
      </c>
      <c r="Q74" s="198">
        <f t="shared" ca="1" si="7"/>
        <v>4</v>
      </c>
      <c r="R74" s="180" t="s">
        <v>1237</v>
      </c>
      <c r="S74" s="6" t="s">
        <v>701</v>
      </c>
      <c r="T74" s="5" t="s">
        <v>368</v>
      </c>
      <c r="U74" s="13"/>
      <c r="V74" s="13"/>
      <c r="W74" s="13"/>
      <c r="X74" s="13"/>
      <c r="Y74" s="14"/>
      <c r="Z74" s="14"/>
      <c r="AA74" s="14"/>
      <c r="AB74" s="13"/>
      <c r="AC74" s="13"/>
      <c r="AD74" s="13"/>
      <c r="AE74" s="13"/>
    </row>
    <row r="75" spans="1:31" ht="14.4" customHeight="1" x14ac:dyDescent="0.3">
      <c r="A75" s="151">
        <v>2013091337</v>
      </c>
      <c r="B75" s="42" t="s">
        <v>86</v>
      </c>
      <c r="C75" s="57" t="s">
        <v>234</v>
      </c>
      <c r="D75" s="218">
        <f t="shared" ca="1" si="4"/>
        <v>36</v>
      </c>
      <c r="E75" s="100">
        <v>44621</v>
      </c>
      <c r="F75" s="188">
        <f t="shared" ca="1" si="5"/>
        <v>4</v>
      </c>
      <c r="G75" s="57">
        <v>43221</v>
      </c>
      <c r="H75" s="3" t="s">
        <v>1301</v>
      </c>
      <c r="I75" s="3" t="s">
        <v>1298</v>
      </c>
      <c r="J75" s="3" t="s">
        <v>1305</v>
      </c>
      <c r="K75" s="3" t="s">
        <v>1346</v>
      </c>
      <c r="L75" s="3" t="s">
        <v>1287</v>
      </c>
      <c r="M75" s="175">
        <f t="shared" si="6"/>
        <v>1</v>
      </c>
      <c r="N75" s="4" t="s">
        <v>311</v>
      </c>
      <c r="O75" s="4" t="s">
        <v>375</v>
      </c>
      <c r="P75" s="4" t="str">
        <f>IFERROR(VLOOKUP(TRIM(CLEAN(O75)),'JOB GROUPS'!A:B,2,FALSE),"Not Found")</f>
        <v>NM8</v>
      </c>
      <c r="Q75" s="198">
        <f t="shared" ca="1" si="7"/>
        <v>4</v>
      </c>
      <c r="R75" s="180" t="s">
        <v>1191</v>
      </c>
      <c r="S75" s="6" t="s">
        <v>702</v>
      </c>
      <c r="T75" s="5" t="s">
        <v>368</v>
      </c>
      <c r="U75" s="13"/>
      <c r="V75" s="13"/>
      <c r="W75" s="13"/>
      <c r="X75" s="13"/>
      <c r="Y75" s="14"/>
      <c r="Z75" s="14"/>
      <c r="AA75" s="14"/>
      <c r="AB75" s="13"/>
      <c r="AC75" s="13"/>
      <c r="AD75" s="13"/>
      <c r="AE75" s="13"/>
    </row>
    <row r="76" spans="1:31" ht="14.4" customHeight="1" x14ac:dyDescent="0.3">
      <c r="A76" s="152">
        <v>20220598960</v>
      </c>
      <c r="B76" s="3" t="s">
        <v>87</v>
      </c>
      <c r="C76" s="57">
        <v>32544</v>
      </c>
      <c r="D76" s="218">
        <f t="shared" ca="1" si="4"/>
        <v>37</v>
      </c>
      <c r="E76" s="100">
        <v>44621</v>
      </c>
      <c r="F76" s="188">
        <f t="shared" ca="1" si="5"/>
        <v>4</v>
      </c>
      <c r="G76" s="57">
        <v>44440</v>
      </c>
      <c r="H76" s="3" t="s">
        <v>1301</v>
      </c>
      <c r="I76" s="3" t="s">
        <v>1298</v>
      </c>
      <c r="J76" s="3" t="s">
        <v>1305</v>
      </c>
      <c r="K76" s="3" t="s">
        <v>1346</v>
      </c>
      <c r="L76" s="3" t="s">
        <v>1287</v>
      </c>
      <c r="M76" s="175">
        <f t="shared" si="6"/>
        <v>1</v>
      </c>
      <c r="N76" s="4" t="s">
        <v>311</v>
      </c>
      <c r="O76" s="4" t="s">
        <v>375</v>
      </c>
      <c r="P76" s="4" t="str">
        <f>IFERROR(VLOOKUP(TRIM(CLEAN(O76)),'JOB GROUPS'!A:B,2,FALSE),"Not Found")</f>
        <v>NM8</v>
      </c>
      <c r="Q76" s="198">
        <f t="shared" ca="1" si="7"/>
        <v>4</v>
      </c>
      <c r="R76" s="180" t="s">
        <v>1191</v>
      </c>
      <c r="S76" s="6" t="s">
        <v>703</v>
      </c>
      <c r="T76" s="5"/>
      <c r="U76" s="13"/>
      <c r="V76" s="13"/>
      <c r="W76" s="13"/>
      <c r="X76" s="13"/>
      <c r="Y76" s="14"/>
      <c r="Z76" s="14"/>
      <c r="AA76" s="14"/>
      <c r="AB76" s="13"/>
      <c r="AC76" s="13"/>
      <c r="AD76" s="13"/>
      <c r="AE76" s="13"/>
    </row>
    <row r="77" spans="1:31" ht="14.4" customHeight="1" x14ac:dyDescent="0.3">
      <c r="A77" s="152">
        <v>2012024370</v>
      </c>
      <c r="B77" s="3" t="s">
        <v>88</v>
      </c>
      <c r="C77" s="57" t="s">
        <v>235</v>
      </c>
      <c r="D77" s="218">
        <f t="shared" ca="1" si="4"/>
        <v>41</v>
      </c>
      <c r="E77" s="100">
        <v>44621</v>
      </c>
      <c r="F77" s="188">
        <f t="shared" ca="1" si="5"/>
        <v>4</v>
      </c>
      <c r="G77" s="57" t="s">
        <v>1298</v>
      </c>
      <c r="H77" s="3" t="s">
        <v>1301</v>
      </c>
      <c r="I77" s="3" t="s">
        <v>1298</v>
      </c>
      <c r="J77" s="3" t="s">
        <v>1305</v>
      </c>
      <c r="K77" s="3" t="s">
        <v>1298</v>
      </c>
      <c r="L77" s="3" t="s">
        <v>1298</v>
      </c>
      <c r="M77" s="175">
        <f t="shared" si="6"/>
        <v>1</v>
      </c>
      <c r="N77" s="4" t="s">
        <v>319</v>
      </c>
      <c r="O77" s="4" t="s">
        <v>379</v>
      </c>
      <c r="P77" s="4" t="str">
        <f>IFERROR(VLOOKUP(TRIM(CLEAN(O77)),'JOB GROUPS'!A:B,2,FALSE),"Not Found")</f>
        <v>NM12</v>
      </c>
      <c r="Q77" s="198">
        <f t="shared" ca="1" si="7"/>
        <v>4</v>
      </c>
      <c r="R77" s="180" t="s">
        <v>1190</v>
      </c>
      <c r="S77" s="6" t="s">
        <v>704</v>
      </c>
      <c r="T77" s="5" t="s">
        <v>369</v>
      </c>
      <c r="U77" s="13"/>
      <c r="V77" s="13"/>
      <c r="W77" s="13"/>
      <c r="X77" s="13"/>
      <c r="Y77" s="14"/>
      <c r="Z77" s="14"/>
      <c r="AA77" s="14"/>
      <c r="AB77" s="13"/>
      <c r="AC77" s="13"/>
      <c r="AD77" s="13"/>
      <c r="AE77" s="13"/>
    </row>
    <row r="78" spans="1:31" ht="14.4" customHeight="1" x14ac:dyDescent="0.3">
      <c r="A78" s="151">
        <v>20190119343</v>
      </c>
      <c r="B78" s="42" t="s">
        <v>89</v>
      </c>
      <c r="C78" s="57">
        <v>34523</v>
      </c>
      <c r="D78" s="218">
        <f t="shared" ca="1" si="4"/>
        <v>31</v>
      </c>
      <c r="E78" s="100">
        <v>44205</v>
      </c>
      <c r="F78" s="188">
        <f t="shared" ca="1" si="5"/>
        <v>5</v>
      </c>
      <c r="G78" s="57" t="s">
        <v>1298</v>
      </c>
      <c r="H78" s="3" t="s">
        <v>1301</v>
      </c>
      <c r="I78" s="3" t="s">
        <v>1298</v>
      </c>
      <c r="J78" s="3" t="s">
        <v>1305</v>
      </c>
      <c r="K78" s="3" t="s">
        <v>1298</v>
      </c>
      <c r="L78" s="3" t="s">
        <v>1298</v>
      </c>
      <c r="M78" s="175">
        <f t="shared" si="6"/>
        <v>1</v>
      </c>
      <c r="N78" s="4" t="s">
        <v>319</v>
      </c>
      <c r="O78" s="4" t="s">
        <v>379</v>
      </c>
      <c r="P78" s="4" t="str">
        <f>IFERROR(VLOOKUP(TRIM(CLEAN(O78)),'JOB GROUPS'!A:B,2,FALSE),"Not Found")</f>
        <v>NM12</v>
      </c>
      <c r="Q78" s="198">
        <f t="shared" ca="1" si="7"/>
        <v>4</v>
      </c>
      <c r="R78" s="180" t="s">
        <v>1237</v>
      </c>
      <c r="S78" s="6" t="s">
        <v>705</v>
      </c>
      <c r="T78" s="5" t="s">
        <v>368</v>
      </c>
      <c r="U78" s="13"/>
      <c r="V78" s="13"/>
      <c r="W78" s="13"/>
      <c r="X78" s="13"/>
      <c r="Y78" s="14"/>
      <c r="Z78" s="14"/>
      <c r="AA78" s="14"/>
      <c r="AB78" s="13"/>
      <c r="AC78" s="13"/>
      <c r="AD78" s="13"/>
      <c r="AE78" s="13"/>
    </row>
    <row r="79" spans="1:31" ht="14.4" customHeight="1" x14ac:dyDescent="0.3">
      <c r="A79" s="151">
        <v>20190641465</v>
      </c>
      <c r="B79" s="42" t="s">
        <v>90</v>
      </c>
      <c r="C79" s="57">
        <v>29346</v>
      </c>
      <c r="D79" s="218">
        <f t="shared" ca="1" si="4"/>
        <v>46</v>
      </c>
      <c r="E79" s="100">
        <v>43471</v>
      </c>
      <c r="F79" s="188">
        <f t="shared" ca="1" si="5"/>
        <v>7</v>
      </c>
      <c r="G79" s="57">
        <v>43252</v>
      </c>
      <c r="H79" s="3" t="s">
        <v>1345</v>
      </c>
      <c r="I79" s="3" t="s">
        <v>1298</v>
      </c>
      <c r="J79" s="3" t="s">
        <v>1304</v>
      </c>
      <c r="K79" s="3" t="s">
        <v>1298</v>
      </c>
      <c r="L79" s="3" t="s">
        <v>1298</v>
      </c>
      <c r="M79" s="175">
        <f t="shared" si="6"/>
        <v>1</v>
      </c>
      <c r="N79" s="4" t="s">
        <v>319</v>
      </c>
      <c r="O79" s="2" t="s">
        <v>379</v>
      </c>
      <c r="P79" s="4" t="str">
        <f>IFERROR(VLOOKUP(TRIM(CLEAN(O79)),'JOB GROUPS'!A:B,2,FALSE),"Not Found")</f>
        <v>NM12</v>
      </c>
      <c r="Q79" s="198">
        <f t="shared" ca="1" si="7"/>
        <v>7</v>
      </c>
      <c r="R79" s="180" t="s">
        <v>1257</v>
      </c>
      <c r="S79" s="6" t="s">
        <v>706</v>
      </c>
      <c r="T79" s="5" t="s">
        <v>368</v>
      </c>
      <c r="U79" s="13"/>
      <c r="V79" s="13"/>
      <c r="W79" s="13"/>
      <c r="X79" s="13"/>
      <c r="Y79" s="14"/>
      <c r="Z79" s="14"/>
      <c r="AA79" s="14"/>
      <c r="AB79" s="13"/>
      <c r="AC79" s="13"/>
      <c r="AD79" s="13"/>
      <c r="AE79" s="13"/>
    </row>
    <row r="80" spans="1:31" ht="14.4" customHeight="1" x14ac:dyDescent="0.3">
      <c r="A80" s="151">
        <v>20210645977</v>
      </c>
      <c r="B80" s="42" t="s">
        <v>91</v>
      </c>
      <c r="C80" s="57">
        <v>35314</v>
      </c>
      <c r="D80" s="218">
        <f t="shared" ca="1" si="4"/>
        <v>29</v>
      </c>
      <c r="E80" s="100">
        <v>44205</v>
      </c>
      <c r="F80" s="188">
        <f t="shared" ca="1" si="5"/>
        <v>5</v>
      </c>
      <c r="G80" s="57">
        <v>44205</v>
      </c>
      <c r="H80" s="3" t="s">
        <v>1301</v>
      </c>
      <c r="I80" s="3" t="s">
        <v>1298</v>
      </c>
      <c r="J80" s="3" t="s">
        <v>1305</v>
      </c>
      <c r="K80" s="3" t="s">
        <v>1298</v>
      </c>
      <c r="L80" s="3" t="s">
        <v>1298</v>
      </c>
      <c r="M80" s="175">
        <f t="shared" si="6"/>
        <v>1</v>
      </c>
      <c r="N80" s="4" t="s">
        <v>319</v>
      </c>
      <c r="O80" s="4" t="s">
        <v>379</v>
      </c>
      <c r="P80" s="4" t="str">
        <f>IFERROR(VLOOKUP(TRIM(CLEAN(O80)),'JOB GROUPS'!A:B,2,FALSE),"Not Found")</f>
        <v>NM12</v>
      </c>
      <c r="Q80" s="198">
        <f t="shared" ca="1" si="7"/>
        <v>4</v>
      </c>
      <c r="R80" s="180" t="s">
        <v>1237</v>
      </c>
      <c r="S80" s="6" t="s">
        <v>707</v>
      </c>
      <c r="T80" s="5" t="s">
        <v>370</v>
      </c>
      <c r="U80" s="13"/>
      <c r="V80" s="13"/>
      <c r="W80" s="13"/>
      <c r="X80" s="13"/>
      <c r="Y80" s="14"/>
      <c r="Z80" s="14"/>
      <c r="AA80" s="14"/>
      <c r="AB80" s="13"/>
      <c r="AC80" s="13"/>
      <c r="AD80" s="13"/>
      <c r="AE80" s="13"/>
    </row>
    <row r="81" spans="1:31" ht="14.4" customHeight="1" x14ac:dyDescent="0.3">
      <c r="A81" s="151">
        <v>20210646046</v>
      </c>
      <c r="B81" s="42" t="s">
        <v>92</v>
      </c>
      <c r="C81" s="57">
        <v>35431</v>
      </c>
      <c r="D81" s="218">
        <f t="shared" ca="1" si="4"/>
        <v>29</v>
      </c>
      <c r="E81" s="100">
        <v>44355</v>
      </c>
      <c r="F81" s="188">
        <f t="shared" ca="1" si="5"/>
        <v>5</v>
      </c>
      <c r="G81" s="57">
        <v>44414</v>
      </c>
      <c r="H81" s="3" t="s">
        <v>1301</v>
      </c>
      <c r="I81" s="3" t="s">
        <v>1298</v>
      </c>
      <c r="J81" s="3" t="s">
        <v>1305</v>
      </c>
      <c r="K81" s="3" t="s">
        <v>1298</v>
      </c>
      <c r="L81" s="3" t="s">
        <v>1298</v>
      </c>
      <c r="M81" s="175">
        <f t="shared" si="6"/>
        <v>1</v>
      </c>
      <c r="N81" s="4" t="s">
        <v>319</v>
      </c>
      <c r="O81" s="4" t="s">
        <v>379</v>
      </c>
      <c r="P81" s="4" t="str">
        <f>IFERROR(VLOOKUP(TRIM(CLEAN(O81)),'JOB GROUPS'!A:B,2,FALSE),"Not Found")</f>
        <v>NM12</v>
      </c>
      <c r="Q81" s="198">
        <f t="shared" ca="1" si="7"/>
        <v>4</v>
      </c>
      <c r="R81" s="180" t="s">
        <v>1260</v>
      </c>
      <c r="S81" s="6" t="s">
        <v>708</v>
      </c>
      <c r="T81" s="5" t="s">
        <v>370</v>
      </c>
      <c r="U81" s="13"/>
      <c r="V81" s="13"/>
      <c r="W81" s="13"/>
      <c r="X81" s="13"/>
      <c r="Y81" s="14"/>
      <c r="Z81" s="14"/>
      <c r="AA81" s="14"/>
      <c r="AB81" s="13"/>
      <c r="AC81" s="13"/>
      <c r="AD81" s="13"/>
      <c r="AE81" s="13"/>
    </row>
    <row r="82" spans="1:31" ht="14.4" customHeight="1" x14ac:dyDescent="0.3">
      <c r="A82" s="152">
        <v>20210646062</v>
      </c>
      <c r="B82" s="3" t="s">
        <v>93</v>
      </c>
      <c r="C82" s="57">
        <v>26671</v>
      </c>
      <c r="D82" s="218">
        <f t="shared" ca="1" si="4"/>
        <v>53</v>
      </c>
      <c r="E82" s="100">
        <v>44355</v>
      </c>
      <c r="F82" s="188">
        <f t="shared" ca="1" si="5"/>
        <v>5</v>
      </c>
      <c r="G82" s="57">
        <v>44416</v>
      </c>
      <c r="H82" s="3" t="s">
        <v>1301</v>
      </c>
      <c r="I82" s="3" t="s">
        <v>1298</v>
      </c>
      <c r="J82" s="3" t="s">
        <v>1305</v>
      </c>
      <c r="K82" s="3" t="s">
        <v>1298</v>
      </c>
      <c r="L82" s="3" t="s">
        <v>1298</v>
      </c>
      <c r="M82" s="175">
        <f t="shared" si="6"/>
        <v>1</v>
      </c>
      <c r="N82" s="4" t="s">
        <v>319</v>
      </c>
      <c r="O82" s="4" t="s">
        <v>379</v>
      </c>
      <c r="P82" s="4" t="str">
        <f>IFERROR(VLOOKUP(TRIM(CLEAN(O82)),'JOB GROUPS'!A:B,2,FALSE),"Not Found")</f>
        <v>NM12</v>
      </c>
      <c r="Q82" s="198">
        <f t="shared" ca="1" si="7"/>
        <v>4</v>
      </c>
      <c r="R82" s="180" t="s">
        <v>1260</v>
      </c>
      <c r="S82" s="6" t="s">
        <v>708</v>
      </c>
      <c r="T82" s="2" t="s">
        <v>370</v>
      </c>
      <c r="U82" s="13"/>
      <c r="V82" s="13"/>
      <c r="W82" s="13"/>
      <c r="X82" s="13"/>
      <c r="Y82" s="12"/>
      <c r="Z82" s="12"/>
      <c r="AA82" s="12"/>
      <c r="AB82" s="13"/>
      <c r="AC82" s="13"/>
      <c r="AD82" s="13"/>
      <c r="AE82" s="13"/>
    </row>
    <row r="83" spans="1:31" ht="14.4" customHeight="1" x14ac:dyDescent="0.3">
      <c r="A83" s="151">
        <v>20220598512</v>
      </c>
      <c r="B83" s="42" t="s">
        <v>94</v>
      </c>
      <c r="C83" s="57" t="s">
        <v>236</v>
      </c>
      <c r="D83" s="218">
        <f t="shared" ca="1" si="4"/>
        <v>33</v>
      </c>
      <c r="E83" s="100">
        <v>44621</v>
      </c>
      <c r="F83" s="188">
        <f t="shared" ca="1" si="5"/>
        <v>4</v>
      </c>
      <c r="G83" s="57">
        <v>44564</v>
      </c>
      <c r="H83" s="3" t="s">
        <v>1301</v>
      </c>
      <c r="I83" s="3" t="s">
        <v>1298</v>
      </c>
      <c r="J83" s="3" t="s">
        <v>1305</v>
      </c>
      <c r="K83" s="3" t="s">
        <v>1298</v>
      </c>
      <c r="L83" s="3" t="s">
        <v>1298</v>
      </c>
      <c r="M83" s="175">
        <f t="shared" si="6"/>
        <v>1</v>
      </c>
      <c r="N83" s="5" t="s">
        <v>319</v>
      </c>
      <c r="O83" s="2" t="s">
        <v>379</v>
      </c>
      <c r="P83" s="4" t="str">
        <f>IFERROR(VLOOKUP(TRIM(CLEAN(O83)),'JOB GROUPS'!A:B,2,FALSE),"Not Found")</f>
        <v>NM12</v>
      </c>
      <c r="Q83" s="198">
        <f t="shared" ca="1" si="7"/>
        <v>4</v>
      </c>
      <c r="R83" s="180" t="s">
        <v>1190</v>
      </c>
      <c r="S83" s="6" t="s">
        <v>679</v>
      </c>
      <c r="T83" s="5" t="s">
        <v>370</v>
      </c>
      <c r="U83" s="13"/>
      <c r="V83" s="13"/>
      <c r="W83" s="13"/>
      <c r="X83" s="13"/>
      <c r="Y83" s="14"/>
      <c r="Z83" s="14"/>
      <c r="AA83" s="14"/>
      <c r="AB83" s="13"/>
      <c r="AC83" s="13"/>
      <c r="AD83" s="13"/>
      <c r="AE83" s="13"/>
    </row>
    <row r="84" spans="1:31" ht="14.4" customHeight="1" x14ac:dyDescent="0.3">
      <c r="A84" s="151">
        <v>20220598546</v>
      </c>
      <c r="B84" s="42" t="s">
        <v>95</v>
      </c>
      <c r="C84" s="57" t="s">
        <v>237</v>
      </c>
      <c r="D84" s="218">
        <f t="shared" ca="1" si="4"/>
        <v>34</v>
      </c>
      <c r="E84" s="100">
        <v>44621</v>
      </c>
      <c r="F84" s="188">
        <f t="shared" ca="1" si="5"/>
        <v>4</v>
      </c>
      <c r="G84" s="57">
        <v>43221</v>
      </c>
      <c r="H84" s="3" t="s">
        <v>1301</v>
      </c>
      <c r="I84" s="3" t="s">
        <v>1298</v>
      </c>
      <c r="J84" s="3" t="s">
        <v>1305</v>
      </c>
      <c r="K84" s="3" t="s">
        <v>1298</v>
      </c>
      <c r="L84" s="3" t="s">
        <v>1298</v>
      </c>
      <c r="M84" s="175">
        <f t="shared" si="6"/>
        <v>1</v>
      </c>
      <c r="N84" s="4" t="s">
        <v>319</v>
      </c>
      <c r="O84" s="4" t="s">
        <v>379</v>
      </c>
      <c r="P84" s="4" t="str">
        <f>IFERROR(VLOOKUP(TRIM(CLEAN(O84)),'JOB GROUPS'!A:B,2,FALSE),"Not Found")</f>
        <v>NM12</v>
      </c>
      <c r="Q84" s="198">
        <f t="shared" ca="1" si="7"/>
        <v>4</v>
      </c>
      <c r="R84" s="180" t="s">
        <v>1190</v>
      </c>
      <c r="S84" s="6" t="s">
        <v>709</v>
      </c>
      <c r="T84" s="5" t="s">
        <v>370</v>
      </c>
      <c r="U84" s="13"/>
      <c r="V84" s="13"/>
      <c r="W84" s="13"/>
      <c r="X84" s="13"/>
      <c r="Y84" s="14"/>
      <c r="Z84" s="14"/>
      <c r="AA84" s="14"/>
      <c r="AB84" s="13"/>
      <c r="AC84" s="13"/>
      <c r="AD84" s="13"/>
      <c r="AE84" s="13"/>
    </row>
    <row r="85" spans="1:31" ht="14.4" customHeight="1" x14ac:dyDescent="0.3">
      <c r="A85" s="151">
        <v>20220598740</v>
      </c>
      <c r="B85" s="42" t="s">
        <v>96</v>
      </c>
      <c r="C85" s="57">
        <v>34184</v>
      </c>
      <c r="D85" s="218">
        <f t="shared" ca="1" si="4"/>
        <v>32</v>
      </c>
      <c r="E85" s="100">
        <v>44621</v>
      </c>
      <c r="F85" s="188">
        <f t="shared" ca="1" si="5"/>
        <v>4</v>
      </c>
      <c r="G85" s="57">
        <v>44440</v>
      </c>
      <c r="H85" s="3" t="s">
        <v>1301</v>
      </c>
      <c r="I85" s="3" t="s">
        <v>1298</v>
      </c>
      <c r="J85" s="3" t="s">
        <v>1305</v>
      </c>
      <c r="K85" s="3" t="s">
        <v>1298</v>
      </c>
      <c r="L85" s="3" t="s">
        <v>1298</v>
      </c>
      <c r="M85" s="175">
        <f t="shared" si="6"/>
        <v>1</v>
      </c>
      <c r="N85" s="4" t="s">
        <v>319</v>
      </c>
      <c r="O85" s="4" t="s">
        <v>379</v>
      </c>
      <c r="P85" s="4" t="str">
        <f>IFERROR(VLOOKUP(TRIM(CLEAN(O85)),'JOB GROUPS'!A:B,2,FALSE),"Not Found")</f>
        <v>NM12</v>
      </c>
      <c r="Q85" s="198">
        <f t="shared" ca="1" si="7"/>
        <v>4</v>
      </c>
      <c r="R85" s="180" t="s">
        <v>1190</v>
      </c>
      <c r="S85" s="6" t="s">
        <v>710</v>
      </c>
      <c r="T85" s="5" t="s">
        <v>370</v>
      </c>
      <c r="U85" s="13"/>
      <c r="V85" s="13"/>
      <c r="W85" s="13"/>
      <c r="X85" s="13"/>
      <c r="Y85" s="14"/>
      <c r="Z85" s="14"/>
      <c r="AA85" s="14"/>
      <c r="AB85" s="13"/>
      <c r="AC85" s="13"/>
      <c r="AD85" s="13"/>
      <c r="AE85" s="13"/>
    </row>
    <row r="86" spans="1:31" ht="14.4" customHeight="1" x14ac:dyDescent="0.3">
      <c r="A86" s="151">
        <v>20220598839</v>
      </c>
      <c r="B86" s="42" t="s">
        <v>97</v>
      </c>
      <c r="C86" s="57">
        <v>29993</v>
      </c>
      <c r="D86" s="218">
        <f t="shared" ca="1" si="4"/>
        <v>44</v>
      </c>
      <c r="E86" s="100">
        <v>42379</v>
      </c>
      <c r="F86" s="188">
        <f t="shared" ca="1" si="5"/>
        <v>10</v>
      </c>
      <c r="G86" s="57">
        <v>43132</v>
      </c>
      <c r="H86" s="3" t="s">
        <v>1301</v>
      </c>
      <c r="I86" s="3" t="s">
        <v>1298</v>
      </c>
      <c r="J86" s="3" t="s">
        <v>1305</v>
      </c>
      <c r="K86" s="3" t="s">
        <v>1298</v>
      </c>
      <c r="L86" s="3" t="s">
        <v>1298</v>
      </c>
      <c r="M86" s="175">
        <f t="shared" si="6"/>
        <v>1</v>
      </c>
      <c r="N86" s="4" t="s">
        <v>333</v>
      </c>
      <c r="O86" s="4" t="s">
        <v>379</v>
      </c>
      <c r="P86" s="4" t="str">
        <f>IFERROR(VLOOKUP(TRIM(CLEAN(O86)),'JOB GROUPS'!A:B,2,FALSE),"Not Found")</f>
        <v>NM12</v>
      </c>
      <c r="Q86" s="198">
        <f t="shared" ca="1" si="7"/>
        <v>4</v>
      </c>
      <c r="R86" s="180" t="s">
        <v>1191</v>
      </c>
      <c r="S86" s="6" t="s">
        <v>711</v>
      </c>
      <c r="T86" s="5" t="s">
        <v>370</v>
      </c>
      <c r="U86" s="13"/>
      <c r="V86" s="13"/>
      <c r="W86" s="13"/>
      <c r="X86" s="13"/>
      <c r="Y86" s="14"/>
      <c r="Z86" s="14"/>
      <c r="AA86" s="14"/>
      <c r="AB86" s="13"/>
      <c r="AC86" s="13"/>
      <c r="AD86" s="13"/>
      <c r="AE86" s="13"/>
    </row>
    <row r="87" spans="1:31" ht="14.4" customHeight="1" x14ac:dyDescent="0.3">
      <c r="A87" s="151">
        <v>20220598889</v>
      </c>
      <c r="B87" s="42" t="s">
        <v>98</v>
      </c>
      <c r="C87" s="57">
        <v>31968</v>
      </c>
      <c r="D87" s="218">
        <f t="shared" ca="1" si="4"/>
        <v>38</v>
      </c>
      <c r="E87" s="100">
        <v>44621</v>
      </c>
      <c r="F87" s="188">
        <f t="shared" ca="1" si="5"/>
        <v>4</v>
      </c>
      <c r="G87" s="57">
        <v>43983</v>
      </c>
      <c r="H87" s="3" t="s">
        <v>1301</v>
      </c>
      <c r="I87" s="3" t="s">
        <v>1298</v>
      </c>
      <c r="J87" s="3" t="s">
        <v>1305</v>
      </c>
      <c r="K87" s="3" t="s">
        <v>1298</v>
      </c>
      <c r="L87" s="3" t="s">
        <v>1298</v>
      </c>
      <c r="M87" s="175">
        <f t="shared" si="6"/>
        <v>1</v>
      </c>
      <c r="N87" s="4" t="s">
        <v>319</v>
      </c>
      <c r="O87" s="4" t="s">
        <v>379</v>
      </c>
      <c r="P87" s="4" t="str">
        <f>IFERROR(VLOOKUP(TRIM(CLEAN(O87)),'JOB GROUPS'!A:B,2,FALSE),"Not Found")</f>
        <v>NM12</v>
      </c>
      <c r="Q87" s="198">
        <f t="shared" ca="1" si="7"/>
        <v>4</v>
      </c>
      <c r="R87" s="180" t="s">
        <v>1190</v>
      </c>
      <c r="S87" s="6" t="s">
        <v>712</v>
      </c>
      <c r="T87" s="5" t="s">
        <v>370</v>
      </c>
      <c r="U87" s="13"/>
      <c r="V87" s="13"/>
      <c r="W87" s="13"/>
      <c r="X87" s="13"/>
      <c r="Y87" s="14"/>
      <c r="Z87" s="14"/>
      <c r="AA87" s="14"/>
      <c r="AB87" s="13"/>
      <c r="AC87" s="13"/>
      <c r="AD87" s="13"/>
      <c r="AE87" s="13"/>
    </row>
    <row r="88" spans="1:31" ht="14.4" customHeight="1" x14ac:dyDescent="0.3">
      <c r="A88" s="151">
        <v>20240090217</v>
      </c>
      <c r="B88" s="42" t="s">
        <v>99</v>
      </c>
      <c r="C88" s="57">
        <v>34340</v>
      </c>
      <c r="D88" s="218">
        <f t="shared" ca="1" si="4"/>
        <v>32</v>
      </c>
      <c r="E88" s="100">
        <v>45294</v>
      </c>
      <c r="F88" s="188">
        <f t="shared" ca="1" si="5"/>
        <v>2</v>
      </c>
      <c r="G88" s="57">
        <v>43794</v>
      </c>
      <c r="H88" s="3" t="s">
        <v>1301</v>
      </c>
      <c r="I88" s="3" t="s">
        <v>1298</v>
      </c>
      <c r="J88" s="3" t="s">
        <v>1305</v>
      </c>
      <c r="K88" s="3" t="s">
        <v>1298</v>
      </c>
      <c r="L88" s="3" t="s">
        <v>1298</v>
      </c>
      <c r="M88" s="175">
        <f t="shared" si="6"/>
        <v>1</v>
      </c>
      <c r="N88" s="4" t="s">
        <v>319</v>
      </c>
      <c r="O88" s="4" t="s">
        <v>379</v>
      </c>
      <c r="P88" s="4" t="str">
        <f>IFERROR(VLOOKUP(TRIM(CLEAN(O88)),'JOB GROUPS'!A:B,2,FALSE),"Not Found")</f>
        <v>NM12</v>
      </c>
      <c r="Q88" s="198">
        <f t="shared" ca="1" si="7"/>
        <v>2</v>
      </c>
      <c r="R88" s="180" t="s">
        <v>1095</v>
      </c>
      <c r="S88" s="6" t="s">
        <v>713</v>
      </c>
      <c r="T88" s="5" t="s">
        <v>370</v>
      </c>
      <c r="U88" s="13"/>
      <c r="V88" s="13"/>
      <c r="W88" s="13"/>
      <c r="X88" s="13"/>
      <c r="Y88" s="14"/>
      <c r="Z88" s="14"/>
      <c r="AA88" s="14"/>
      <c r="AB88" s="13"/>
      <c r="AC88" s="13"/>
      <c r="AD88" s="13"/>
      <c r="AE88" s="13"/>
    </row>
    <row r="89" spans="1:31" ht="14.4" customHeight="1" x14ac:dyDescent="0.3">
      <c r="A89" s="151">
        <v>20240300939</v>
      </c>
      <c r="B89" s="42" t="s">
        <v>100</v>
      </c>
      <c r="C89" s="57">
        <v>34586</v>
      </c>
      <c r="D89" s="218">
        <f t="shared" ca="1" si="4"/>
        <v>31</v>
      </c>
      <c r="E89" s="100" t="s">
        <v>969</v>
      </c>
      <c r="F89" s="188">
        <f t="shared" ca="1" si="5"/>
        <v>1</v>
      </c>
      <c r="G89" s="57" t="s">
        <v>1298</v>
      </c>
      <c r="H89" s="3" t="s">
        <v>1301</v>
      </c>
      <c r="I89" s="3" t="s">
        <v>1298</v>
      </c>
      <c r="J89" s="3" t="s">
        <v>1305</v>
      </c>
      <c r="K89" s="3" t="s">
        <v>1298</v>
      </c>
      <c r="L89" s="3" t="s">
        <v>1298</v>
      </c>
      <c r="M89" s="175">
        <f t="shared" si="6"/>
        <v>1</v>
      </c>
      <c r="N89" s="4" t="s">
        <v>319</v>
      </c>
      <c r="O89" s="4" t="s">
        <v>379</v>
      </c>
      <c r="P89" s="4" t="str">
        <f>IFERROR(VLOOKUP(TRIM(CLEAN(O89)),'JOB GROUPS'!A:B,2,FALSE),"Not Found")</f>
        <v>NM12</v>
      </c>
      <c r="Q89" s="198">
        <f t="shared" ca="1" si="7"/>
        <v>1</v>
      </c>
      <c r="R89" s="180" t="s">
        <v>969</v>
      </c>
      <c r="S89" s="6" t="s">
        <v>714</v>
      </c>
      <c r="T89" s="5" t="s">
        <v>370</v>
      </c>
      <c r="U89" s="13"/>
      <c r="V89" s="13"/>
      <c r="W89" s="13"/>
      <c r="X89" s="13"/>
      <c r="Y89" s="14"/>
      <c r="Z89" s="14"/>
      <c r="AA89" s="14"/>
      <c r="AB89" s="13"/>
      <c r="AC89" s="13"/>
      <c r="AD89" s="13"/>
      <c r="AE89" s="13"/>
    </row>
    <row r="90" spans="1:31" ht="14.4" customHeight="1" x14ac:dyDescent="0.3">
      <c r="A90" s="151">
        <v>20240300955</v>
      </c>
      <c r="B90" s="42" t="s">
        <v>101</v>
      </c>
      <c r="C90" s="57" t="s">
        <v>238</v>
      </c>
      <c r="D90" s="218">
        <f t="shared" ca="1" si="4"/>
        <v>26</v>
      </c>
      <c r="E90" s="100" t="s">
        <v>969</v>
      </c>
      <c r="F90" s="188">
        <f t="shared" ca="1" si="5"/>
        <v>1</v>
      </c>
      <c r="G90" s="57">
        <v>45489</v>
      </c>
      <c r="H90" s="3" t="s">
        <v>1301</v>
      </c>
      <c r="I90" s="3" t="s">
        <v>1298</v>
      </c>
      <c r="J90" s="3" t="s">
        <v>1305</v>
      </c>
      <c r="K90" s="3" t="s">
        <v>1298</v>
      </c>
      <c r="L90" s="3" t="s">
        <v>1298</v>
      </c>
      <c r="M90" s="175">
        <f t="shared" si="6"/>
        <v>1</v>
      </c>
      <c r="N90" s="5" t="s">
        <v>319</v>
      </c>
      <c r="O90" s="2" t="s">
        <v>379</v>
      </c>
      <c r="P90" s="4" t="str">
        <f>IFERROR(VLOOKUP(TRIM(CLEAN(O90)),'JOB GROUPS'!A:B,2,FALSE),"Not Found")</f>
        <v>NM12</v>
      </c>
      <c r="Q90" s="198">
        <f t="shared" ca="1" si="7"/>
        <v>1</v>
      </c>
      <c r="R90" s="180" t="s">
        <v>969</v>
      </c>
      <c r="S90" s="6" t="s">
        <v>715</v>
      </c>
      <c r="T90" s="5" t="s">
        <v>368</v>
      </c>
      <c r="U90" s="13"/>
      <c r="V90" s="13"/>
      <c r="W90" s="13"/>
      <c r="X90" s="13"/>
      <c r="Y90" s="14"/>
      <c r="Z90" s="14"/>
      <c r="AA90" s="14"/>
      <c r="AB90" s="13"/>
      <c r="AC90" s="13"/>
      <c r="AD90" s="13"/>
      <c r="AE90" s="13"/>
    </row>
    <row r="91" spans="1:31" ht="14.4" customHeight="1" x14ac:dyDescent="0.3">
      <c r="A91" s="151">
        <v>20240300971</v>
      </c>
      <c r="B91" s="42" t="s">
        <v>102</v>
      </c>
      <c r="C91" s="57">
        <v>36901</v>
      </c>
      <c r="D91" s="218">
        <f t="shared" ca="1" si="4"/>
        <v>25</v>
      </c>
      <c r="E91" s="100">
        <v>45302</v>
      </c>
      <c r="F91" s="188">
        <f t="shared" ca="1" si="5"/>
        <v>2</v>
      </c>
      <c r="G91" s="57">
        <v>45597</v>
      </c>
      <c r="H91" s="3" t="s">
        <v>1356</v>
      </c>
      <c r="I91" s="3" t="s">
        <v>1298</v>
      </c>
      <c r="J91" s="3" t="s">
        <v>1304</v>
      </c>
      <c r="K91" s="3" t="s">
        <v>1298</v>
      </c>
      <c r="L91" s="3" t="s">
        <v>1298</v>
      </c>
      <c r="M91" s="175">
        <f t="shared" si="6"/>
        <v>1</v>
      </c>
      <c r="N91" s="5" t="s">
        <v>319</v>
      </c>
      <c r="O91" s="2" t="s">
        <v>379</v>
      </c>
      <c r="P91" s="4" t="str">
        <f>IFERROR(VLOOKUP(TRIM(CLEAN(O91)),'JOB GROUPS'!A:B,2,FALSE),"Not Found")</f>
        <v>NM12</v>
      </c>
      <c r="Q91" s="198">
        <f t="shared" ca="1" si="7"/>
        <v>1</v>
      </c>
      <c r="R91" s="180" t="s">
        <v>1267</v>
      </c>
      <c r="S91" s="6" t="s">
        <v>716</v>
      </c>
      <c r="T91" s="5" t="s">
        <v>370</v>
      </c>
      <c r="U91" s="13"/>
      <c r="V91" s="13"/>
      <c r="W91" s="13"/>
      <c r="X91" s="13"/>
      <c r="Y91" s="14"/>
      <c r="Z91" s="14"/>
      <c r="AA91" s="14"/>
      <c r="AB91" s="13"/>
      <c r="AC91" s="13"/>
      <c r="AD91" s="13"/>
      <c r="AE91" s="13"/>
    </row>
    <row r="92" spans="1:31" ht="14.4" customHeight="1" x14ac:dyDescent="0.3">
      <c r="A92" s="151">
        <v>20250008018</v>
      </c>
      <c r="B92" s="42" t="s">
        <v>103</v>
      </c>
      <c r="C92" s="57">
        <v>37200</v>
      </c>
      <c r="D92" s="218">
        <f t="shared" ca="1" si="4"/>
        <v>24</v>
      </c>
      <c r="E92" s="100">
        <v>45659</v>
      </c>
      <c r="F92" s="188">
        <f t="shared" ca="1" si="5"/>
        <v>1</v>
      </c>
      <c r="G92" s="57">
        <v>45689</v>
      </c>
      <c r="H92" s="3" t="s">
        <v>1301</v>
      </c>
      <c r="I92" s="3" t="s">
        <v>1298</v>
      </c>
      <c r="J92" s="3" t="s">
        <v>1304</v>
      </c>
      <c r="K92" s="3" t="s">
        <v>1298</v>
      </c>
      <c r="L92" s="3" t="s">
        <v>1298</v>
      </c>
      <c r="M92" s="175">
        <f t="shared" si="6"/>
        <v>1</v>
      </c>
      <c r="N92" s="5" t="s">
        <v>319</v>
      </c>
      <c r="O92" s="2" t="s">
        <v>379</v>
      </c>
      <c r="P92" s="4" t="str">
        <f>IFERROR(VLOOKUP(TRIM(CLEAN(O92)),'JOB GROUPS'!A:B,2,FALSE),"Not Found")</f>
        <v>NM12</v>
      </c>
      <c r="Q92" s="198">
        <f t="shared" ca="1" si="7"/>
        <v>1</v>
      </c>
      <c r="R92" s="180" t="s">
        <v>1270</v>
      </c>
      <c r="S92" s="6" t="s">
        <v>717</v>
      </c>
      <c r="T92" s="5" t="s">
        <v>370</v>
      </c>
      <c r="U92" s="13"/>
      <c r="V92" s="13"/>
      <c r="W92" s="13"/>
      <c r="X92" s="13"/>
      <c r="Y92" s="14"/>
      <c r="Z92" s="14"/>
      <c r="AA92" s="14"/>
      <c r="AB92" s="13"/>
      <c r="AC92" s="13"/>
      <c r="AD92" s="13"/>
      <c r="AE92" s="13"/>
    </row>
    <row r="93" spans="1:31" ht="14.4" customHeight="1" x14ac:dyDescent="0.3">
      <c r="A93" s="152">
        <v>20250067339</v>
      </c>
      <c r="B93" s="3" t="s">
        <v>104</v>
      </c>
      <c r="C93" s="57" t="s">
        <v>239</v>
      </c>
      <c r="D93" s="218">
        <f t="shared" ca="1" si="4"/>
        <v>23</v>
      </c>
      <c r="E93" s="100">
        <v>45693</v>
      </c>
      <c r="F93" s="188">
        <f t="shared" ca="1" si="5"/>
        <v>1</v>
      </c>
      <c r="G93" s="57">
        <v>45779</v>
      </c>
      <c r="H93" s="3" t="s">
        <v>1301</v>
      </c>
      <c r="I93" s="3" t="s">
        <v>1298</v>
      </c>
      <c r="J93" s="3" t="s">
        <v>1305</v>
      </c>
      <c r="K93" s="3" t="s">
        <v>1298</v>
      </c>
      <c r="L93" s="3" t="s">
        <v>1298</v>
      </c>
      <c r="M93" s="175">
        <f t="shared" si="6"/>
        <v>1</v>
      </c>
      <c r="N93" s="9" t="s">
        <v>319</v>
      </c>
      <c r="O93" s="4" t="s">
        <v>379</v>
      </c>
      <c r="P93" s="4" t="str">
        <f>IFERROR(VLOOKUP(TRIM(CLEAN(O93)),'JOB GROUPS'!A:B,2,FALSE),"Not Found")</f>
        <v>NM12</v>
      </c>
      <c r="Q93" s="198">
        <f t="shared" ca="1" si="7"/>
        <v>1</v>
      </c>
      <c r="R93" s="180" t="s">
        <v>1264</v>
      </c>
      <c r="S93" s="6" t="s">
        <v>718</v>
      </c>
      <c r="T93" s="5" t="s">
        <v>370</v>
      </c>
      <c r="U93" s="13"/>
      <c r="V93" s="13"/>
      <c r="W93" s="13"/>
      <c r="X93" s="13"/>
      <c r="Y93" s="14"/>
      <c r="Z93" s="14"/>
      <c r="AA93" s="14"/>
      <c r="AB93" s="13"/>
      <c r="AC93" s="13"/>
      <c r="AD93" s="13"/>
      <c r="AE93" s="13"/>
    </row>
    <row r="94" spans="1:31" s="216" customFormat="1" ht="14.4" customHeight="1" x14ac:dyDescent="0.3">
      <c r="A94" s="206"/>
      <c r="B94" s="207"/>
      <c r="C94" s="208"/>
      <c r="D94" s="209"/>
      <c r="E94" s="208"/>
      <c r="F94" s="209"/>
      <c r="G94" s="208"/>
      <c r="H94" s="210"/>
      <c r="I94" s="210"/>
      <c r="J94" s="210"/>
      <c r="K94" s="210"/>
      <c r="L94" s="210"/>
      <c r="M94" s="209"/>
      <c r="N94" s="211"/>
      <c r="O94" s="212"/>
      <c r="P94" s="213"/>
      <c r="Q94" s="214"/>
      <c r="R94" s="215"/>
      <c r="S94" s="213"/>
      <c r="T94" s="212"/>
      <c r="U94" s="213"/>
      <c r="V94" s="213"/>
      <c r="W94" s="213"/>
      <c r="X94" s="213"/>
      <c r="Y94" s="212"/>
      <c r="Z94" s="212"/>
      <c r="AA94" s="212"/>
      <c r="AB94" s="213"/>
      <c r="AC94" s="213"/>
      <c r="AD94" s="213"/>
      <c r="AE94" s="213"/>
    </row>
    <row r="95" spans="1:31" ht="14.4" customHeight="1" x14ac:dyDescent="0.3">
      <c r="A95" s="151">
        <v>20152655585</v>
      </c>
      <c r="B95" s="42" t="s">
        <v>105</v>
      </c>
      <c r="C95" s="57">
        <v>32302</v>
      </c>
      <c r="D95" s="218">
        <f t="shared" ca="1" si="4"/>
        <v>38</v>
      </c>
      <c r="E95" s="100">
        <v>42221</v>
      </c>
      <c r="F95" s="188">
        <f t="shared" ca="1" si="5"/>
        <v>10</v>
      </c>
      <c r="G95" s="57" t="s">
        <v>1298</v>
      </c>
      <c r="H95" s="3" t="s">
        <v>1298</v>
      </c>
      <c r="I95" s="3" t="s">
        <v>1298</v>
      </c>
      <c r="J95" s="3" t="s">
        <v>1298</v>
      </c>
      <c r="K95" s="3" t="s">
        <v>1341</v>
      </c>
      <c r="L95" s="3" t="s">
        <v>1289</v>
      </c>
      <c r="M95" s="175">
        <f t="shared" si="6"/>
        <v>1</v>
      </c>
      <c r="N95" s="4" t="s">
        <v>302</v>
      </c>
      <c r="O95" s="4" t="s">
        <v>376</v>
      </c>
      <c r="P95" s="4" t="str">
        <f>IFERROR(VLOOKUP(TRIM(CLEAN(O95)),'JOB GROUPS'!A:B,2,FALSE),"Not Found")</f>
        <v>NM9</v>
      </c>
      <c r="Q95" s="198">
        <f t="shared" ca="1" si="7"/>
        <v>8</v>
      </c>
      <c r="R95" s="180" t="s">
        <v>1242</v>
      </c>
      <c r="S95" s="6" t="s">
        <v>719</v>
      </c>
      <c r="T95" s="5" t="s">
        <v>370</v>
      </c>
      <c r="U95" s="13"/>
      <c r="V95" s="13"/>
      <c r="W95" s="13"/>
      <c r="X95" s="13"/>
      <c r="Y95" s="14"/>
      <c r="Z95" s="14"/>
      <c r="AA95" s="14"/>
      <c r="AB95" s="13"/>
      <c r="AC95" s="13"/>
      <c r="AD95" s="13"/>
      <c r="AE95" s="13"/>
    </row>
    <row r="96" spans="1:31" ht="14.4" customHeight="1" x14ac:dyDescent="0.3">
      <c r="A96" s="151">
        <v>20160708685</v>
      </c>
      <c r="B96" s="42" t="s">
        <v>106</v>
      </c>
      <c r="C96" s="57" t="s">
        <v>240</v>
      </c>
      <c r="D96" s="218">
        <f t="shared" ca="1" si="4"/>
        <v>35</v>
      </c>
      <c r="E96" s="100">
        <v>42500</v>
      </c>
      <c r="F96" s="188">
        <f t="shared" ca="1" si="5"/>
        <v>10</v>
      </c>
      <c r="G96" s="57" t="s">
        <v>1298</v>
      </c>
      <c r="H96" s="3" t="s">
        <v>1298</v>
      </c>
      <c r="I96" s="3" t="s">
        <v>1298</v>
      </c>
      <c r="J96" s="3" t="s">
        <v>1298</v>
      </c>
      <c r="K96" s="3" t="s">
        <v>1349</v>
      </c>
      <c r="L96" s="3" t="s">
        <v>1291</v>
      </c>
      <c r="M96" s="175">
        <f t="shared" si="6"/>
        <v>1</v>
      </c>
      <c r="N96" s="4" t="s">
        <v>306</v>
      </c>
      <c r="O96" s="4" t="s">
        <v>379</v>
      </c>
      <c r="P96" s="4" t="str">
        <f>IFERROR(VLOOKUP(TRIM(CLEAN(O96)),'JOB GROUPS'!A:B,2,FALSE),"Not Found")</f>
        <v>NM12</v>
      </c>
      <c r="Q96" s="198">
        <f t="shared" ca="1" si="7"/>
        <v>9</v>
      </c>
      <c r="R96" s="180" t="s">
        <v>1243</v>
      </c>
      <c r="S96" s="6" t="s">
        <v>657</v>
      </c>
      <c r="T96" s="5" t="s">
        <v>370</v>
      </c>
      <c r="U96" s="13"/>
      <c r="V96" s="13"/>
      <c r="W96" s="13"/>
      <c r="X96" s="13"/>
      <c r="Y96" s="14"/>
      <c r="Z96" s="14"/>
      <c r="AA96" s="14"/>
      <c r="AB96" s="13"/>
      <c r="AC96" s="13"/>
      <c r="AD96" s="13"/>
      <c r="AE96" s="13"/>
    </row>
    <row r="97" spans="1:31" ht="14.4" customHeight="1" x14ac:dyDescent="0.3">
      <c r="A97" s="151">
        <v>20220598253</v>
      </c>
      <c r="B97" s="42" t="s">
        <v>107</v>
      </c>
      <c r="C97" s="57">
        <v>34617</v>
      </c>
      <c r="D97" s="218">
        <f t="shared" ca="1" si="4"/>
        <v>31</v>
      </c>
      <c r="E97" s="100" t="s">
        <v>978</v>
      </c>
      <c r="F97" s="188">
        <f t="shared" ca="1" si="5"/>
        <v>4</v>
      </c>
      <c r="G97" s="57" t="s">
        <v>1298</v>
      </c>
      <c r="H97" s="3" t="s">
        <v>1298</v>
      </c>
      <c r="I97" s="3" t="s">
        <v>1298</v>
      </c>
      <c r="J97" s="3" t="s">
        <v>1298</v>
      </c>
      <c r="K97" s="3" t="s">
        <v>1354</v>
      </c>
      <c r="L97" s="3" t="s">
        <v>1291</v>
      </c>
      <c r="M97" s="175">
        <f t="shared" si="6"/>
        <v>1</v>
      </c>
      <c r="N97" s="4" t="s">
        <v>306</v>
      </c>
      <c r="O97" s="4" t="s">
        <v>379</v>
      </c>
      <c r="P97" s="4" t="str">
        <f>IFERROR(VLOOKUP(TRIM(CLEAN(O97)),'JOB GROUPS'!A:B,2,FALSE),"Not Found")</f>
        <v>NM12</v>
      </c>
      <c r="Q97" s="198">
        <f t="shared" ca="1" si="7"/>
        <v>4</v>
      </c>
      <c r="R97" s="180" t="s">
        <v>978</v>
      </c>
      <c r="S97" s="6" t="s">
        <v>657</v>
      </c>
      <c r="T97" s="5" t="s">
        <v>370</v>
      </c>
      <c r="U97" s="13"/>
      <c r="V97" s="13"/>
      <c r="W97" s="13"/>
      <c r="X97" s="13"/>
      <c r="Y97" s="14"/>
      <c r="Z97" s="14"/>
      <c r="AA97" s="14"/>
      <c r="AB97" s="13"/>
      <c r="AC97" s="13"/>
      <c r="AD97" s="13"/>
      <c r="AE97" s="13"/>
    </row>
    <row r="98" spans="1:31" ht="14.4" customHeight="1" x14ac:dyDescent="0.3">
      <c r="A98" s="151">
        <v>19930980996</v>
      </c>
      <c r="B98" s="42" t="s">
        <v>108</v>
      </c>
      <c r="C98" s="57" t="s">
        <v>241</v>
      </c>
      <c r="D98" s="218">
        <f t="shared" ca="1" si="4"/>
        <v>58</v>
      </c>
      <c r="E98" s="100">
        <v>33976</v>
      </c>
      <c r="F98" s="188">
        <f t="shared" ca="1" si="5"/>
        <v>33</v>
      </c>
      <c r="G98" s="57" t="s">
        <v>1298</v>
      </c>
      <c r="H98" s="3" t="s">
        <v>1298</v>
      </c>
      <c r="I98" s="3" t="s">
        <v>1298</v>
      </c>
      <c r="J98" s="3" t="s">
        <v>1298</v>
      </c>
      <c r="K98" s="165" t="s">
        <v>1333</v>
      </c>
      <c r="L98" s="3" t="s">
        <v>1274</v>
      </c>
      <c r="M98" s="175">
        <f t="shared" si="6"/>
        <v>1</v>
      </c>
      <c r="N98" s="4" t="s">
        <v>324</v>
      </c>
      <c r="O98" s="4" t="s">
        <v>377</v>
      </c>
      <c r="P98" s="4" t="str">
        <f>IFERROR(VLOOKUP(TRIM(CLEAN(O98)),'JOB GROUPS'!A:B,2,FALSE),"Not Found")</f>
        <v>NM10</v>
      </c>
      <c r="Q98" s="198">
        <f t="shared" ca="1" si="7"/>
        <v>13</v>
      </c>
      <c r="R98" s="180" t="s">
        <v>1195</v>
      </c>
      <c r="S98" s="6" t="s">
        <v>657</v>
      </c>
      <c r="T98" s="5"/>
      <c r="U98" s="13"/>
      <c r="V98" s="13"/>
      <c r="W98" s="13"/>
      <c r="X98" s="13"/>
      <c r="Y98" s="14"/>
      <c r="Z98" s="14"/>
      <c r="AA98" s="14"/>
      <c r="AB98" s="13"/>
      <c r="AC98" s="13"/>
      <c r="AD98" s="13"/>
      <c r="AE98" s="13"/>
    </row>
    <row r="99" spans="1:31" ht="14.4" customHeight="1" x14ac:dyDescent="0.3">
      <c r="A99" s="151">
        <v>20181472223</v>
      </c>
      <c r="B99" s="42" t="s">
        <v>109</v>
      </c>
      <c r="C99" s="57">
        <v>35466</v>
      </c>
      <c r="D99" s="218">
        <f t="shared" ca="1" si="4"/>
        <v>29</v>
      </c>
      <c r="E99" s="100">
        <v>43284</v>
      </c>
      <c r="F99" s="188">
        <f t="shared" ca="1" si="5"/>
        <v>7</v>
      </c>
      <c r="G99" s="57" t="s">
        <v>1298</v>
      </c>
      <c r="H99" s="3" t="s">
        <v>1301</v>
      </c>
      <c r="I99" s="3" t="s">
        <v>1298</v>
      </c>
      <c r="J99" s="3" t="s">
        <v>1305</v>
      </c>
      <c r="K99" s="3" t="s">
        <v>1298</v>
      </c>
      <c r="L99" s="3" t="s">
        <v>1298</v>
      </c>
      <c r="M99" s="175">
        <f t="shared" si="6"/>
        <v>1</v>
      </c>
      <c r="N99" s="4" t="s">
        <v>319</v>
      </c>
      <c r="O99" s="4" t="s">
        <v>379</v>
      </c>
      <c r="P99" s="4" t="str">
        <f>IFERROR(VLOOKUP(TRIM(CLEAN(O99)),'JOB GROUPS'!A:B,2,FALSE),"Not Found")</f>
        <v>NM12</v>
      </c>
      <c r="Q99" s="198">
        <f t="shared" ca="1" si="7"/>
        <v>0</v>
      </c>
      <c r="R99" s="180" t="s">
        <v>1251</v>
      </c>
      <c r="S99" s="6" t="s">
        <v>657</v>
      </c>
      <c r="T99" s="5" t="s">
        <v>369</v>
      </c>
      <c r="U99" s="13"/>
      <c r="V99" s="13"/>
      <c r="W99" s="13"/>
      <c r="X99" s="13"/>
      <c r="Y99" s="14"/>
      <c r="Z99" s="14"/>
      <c r="AA99" s="14"/>
      <c r="AB99" s="13"/>
      <c r="AC99" s="13"/>
      <c r="AD99" s="13"/>
      <c r="AE99" s="13"/>
    </row>
    <row r="100" spans="1:31" s="216" customFormat="1" ht="14.4" customHeight="1" x14ac:dyDescent="0.3">
      <c r="A100" s="206"/>
      <c r="B100" s="207"/>
      <c r="C100" s="208"/>
      <c r="D100" s="209"/>
      <c r="E100" s="208"/>
      <c r="F100" s="209"/>
      <c r="G100" s="208"/>
      <c r="H100" s="210"/>
      <c r="I100" s="210"/>
      <c r="J100" s="210"/>
      <c r="K100" s="210"/>
      <c r="L100" s="210"/>
      <c r="M100" s="209"/>
      <c r="N100" s="213"/>
      <c r="O100" s="213"/>
      <c r="P100" s="213"/>
      <c r="Q100" s="214"/>
      <c r="R100" s="215"/>
      <c r="S100" s="213"/>
      <c r="T100" s="211"/>
      <c r="U100" s="213"/>
      <c r="V100" s="213"/>
      <c r="W100" s="213"/>
      <c r="X100" s="213"/>
      <c r="Y100" s="211"/>
      <c r="Z100" s="211"/>
      <c r="AA100" s="211"/>
      <c r="AB100" s="213"/>
      <c r="AC100" s="213"/>
      <c r="AD100" s="213"/>
      <c r="AE100" s="213"/>
    </row>
    <row r="101" spans="1:31" ht="14.4" customHeight="1" x14ac:dyDescent="0.3">
      <c r="A101" s="151">
        <v>19950950775</v>
      </c>
      <c r="B101" s="42" t="s">
        <v>110</v>
      </c>
      <c r="C101" s="57" t="s">
        <v>242</v>
      </c>
      <c r="D101" s="218">
        <f t="shared" ca="1" si="4"/>
        <v>60</v>
      </c>
      <c r="E101" s="100">
        <v>34824</v>
      </c>
      <c r="F101" s="188">
        <f t="shared" ca="1" si="5"/>
        <v>31</v>
      </c>
      <c r="G101" s="57" t="s">
        <v>1298</v>
      </c>
      <c r="H101" s="3" t="s">
        <v>1298</v>
      </c>
      <c r="I101" s="3" t="s">
        <v>1298</v>
      </c>
      <c r="J101" s="3" t="s">
        <v>1298</v>
      </c>
      <c r="K101" s="165" t="s">
        <v>1407</v>
      </c>
      <c r="L101" s="3" t="s">
        <v>1287</v>
      </c>
      <c r="M101" s="175">
        <f t="shared" si="6"/>
        <v>1</v>
      </c>
      <c r="N101" s="4" t="s">
        <v>323</v>
      </c>
      <c r="O101" s="4" t="s">
        <v>373</v>
      </c>
      <c r="P101" s="4" t="str">
        <f>IFERROR(VLOOKUP(TRIM(CLEAN(O101)),'JOB GROUPS'!A:B,2,FALSE),"Not Found")</f>
        <v>NM4</v>
      </c>
      <c r="Q101" s="198">
        <f t="shared" ca="1" si="7"/>
        <v>6</v>
      </c>
      <c r="R101" s="180" t="s">
        <v>1205</v>
      </c>
      <c r="S101" s="6" t="s">
        <v>720</v>
      </c>
      <c r="T101" s="5" t="s">
        <v>368</v>
      </c>
      <c r="U101" s="13"/>
      <c r="V101" s="13"/>
      <c r="W101" s="13"/>
      <c r="X101" s="13"/>
      <c r="Y101" s="14"/>
      <c r="Z101" s="14"/>
      <c r="AA101" s="14"/>
      <c r="AB101" s="13"/>
      <c r="AC101" s="13"/>
      <c r="AD101" s="13"/>
      <c r="AE101" s="13"/>
    </row>
    <row r="102" spans="1:31" ht="14.4" customHeight="1" x14ac:dyDescent="0.3">
      <c r="A102" s="151">
        <v>20089223944</v>
      </c>
      <c r="B102" s="42" t="s">
        <v>111</v>
      </c>
      <c r="C102" s="57" t="s">
        <v>243</v>
      </c>
      <c r="D102" s="218">
        <f t="shared" ca="1" si="4"/>
        <v>44</v>
      </c>
      <c r="E102" s="100">
        <v>39450</v>
      </c>
      <c r="F102" s="188">
        <f t="shared" ca="1" si="5"/>
        <v>18</v>
      </c>
      <c r="G102" s="57" t="s">
        <v>1298</v>
      </c>
      <c r="H102" s="3" t="s">
        <v>1298</v>
      </c>
      <c r="I102" s="3" t="s">
        <v>1298</v>
      </c>
      <c r="J102" s="3" t="s">
        <v>1298</v>
      </c>
      <c r="K102" s="3" t="s">
        <v>1310</v>
      </c>
      <c r="L102" s="3" t="s">
        <v>1287</v>
      </c>
      <c r="M102" s="175">
        <f t="shared" si="6"/>
        <v>1</v>
      </c>
      <c r="N102" s="5" t="s">
        <v>307</v>
      </c>
      <c r="O102" s="2" t="s">
        <v>380</v>
      </c>
      <c r="P102" s="4" t="str">
        <f>IFERROR(VLOOKUP(TRIM(CLEAN(O102)),'JOB GROUPS'!A:B,2,FALSE),"Not Found")</f>
        <v>NM5</v>
      </c>
      <c r="Q102" s="198">
        <f t="shared" ca="1" si="7"/>
        <v>2</v>
      </c>
      <c r="R102" s="180" t="s">
        <v>1226</v>
      </c>
      <c r="S102" s="6" t="s">
        <v>721</v>
      </c>
      <c r="T102" s="5" t="s">
        <v>369</v>
      </c>
      <c r="U102" s="13"/>
      <c r="V102" s="13"/>
      <c r="W102" s="13"/>
      <c r="X102" s="13"/>
      <c r="Y102" s="14"/>
      <c r="Z102" s="14"/>
      <c r="AA102" s="14"/>
      <c r="AB102" s="13"/>
      <c r="AC102" s="13"/>
      <c r="AD102" s="13"/>
      <c r="AE102" s="13"/>
    </row>
    <row r="103" spans="1:31" ht="14.4" customHeight="1" x14ac:dyDescent="0.3">
      <c r="A103" s="151">
        <v>19961316667</v>
      </c>
      <c r="B103" s="42" t="s">
        <v>112</v>
      </c>
      <c r="C103" s="57">
        <v>23812</v>
      </c>
      <c r="D103" s="218">
        <f t="shared" ca="1" si="4"/>
        <v>61</v>
      </c>
      <c r="E103" s="100">
        <v>35066</v>
      </c>
      <c r="F103" s="188">
        <f t="shared" ca="1" si="5"/>
        <v>30</v>
      </c>
      <c r="G103" s="57">
        <v>35278</v>
      </c>
      <c r="H103" s="3" t="s">
        <v>1298</v>
      </c>
      <c r="I103" s="3" t="s">
        <v>1298</v>
      </c>
      <c r="J103" s="3" t="s">
        <v>1298</v>
      </c>
      <c r="K103" s="3" t="s">
        <v>1331</v>
      </c>
      <c r="L103" s="3" t="s">
        <v>1286</v>
      </c>
      <c r="M103" s="175">
        <f t="shared" si="6"/>
        <v>1</v>
      </c>
      <c r="N103" s="4" t="s">
        <v>334</v>
      </c>
      <c r="O103" s="4" t="s">
        <v>372</v>
      </c>
      <c r="P103" s="4" t="str">
        <f>IFERROR(VLOOKUP(TRIM(CLEAN(O103)),'JOB GROUPS'!A:B,2,FALSE),"Not Found")</f>
        <v>NM6</v>
      </c>
      <c r="Q103" s="198">
        <f t="shared" ca="1" si="7"/>
        <v>21</v>
      </c>
      <c r="R103" s="180" t="s">
        <v>1206</v>
      </c>
      <c r="S103" s="6" t="s">
        <v>722</v>
      </c>
      <c r="T103" s="5"/>
      <c r="U103" s="13"/>
      <c r="V103" s="13"/>
      <c r="W103" s="13"/>
      <c r="X103" s="13"/>
      <c r="Y103" s="14"/>
      <c r="Z103" s="14"/>
      <c r="AA103" s="14"/>
      <c r="AB103" s="13"/>
      <c r="AC103" s="13"/>
      <c r="AD103" s="13"/>
      <c r="AE103" s="13"/>
    </row>
    <row r="104" spans="1:31" ht="14.4" customHeight="1" x14ac:dyDescent="0.3">
      <c r="A104" s="151">
        <v>20077017719</v>
      </c>
      <c r="B104" s="42" t="s">
        <v>113</v>
      </c>
      <c r="C104" s="57" t="s">
        <v>244</v>
      </c>
      <c r="D104" s="218">
        <f t="shared" ca="1" si="4"/>
        <v>38</v>
      </c>
      <c r="E104" s="100" t="s">
        <v>993</v>
      </c>
      <c r="F104" s="188">
        <f t="shared" ca="1" si="5"/>
        <v>18</v>
      </c>
      <c r="G104" s="57" t="s">
        <v>1298</v>
      </c>
      <c r="H104" s="3" t="s">
        <v>1298</v>
      </c>
      <c r="I104" s="3" t="s">
        <v>1298</v>
      </c>
      <c r="J104" s="3" t="s">
        <v>1298</v>
      </c>
      <c r="K104" s="3" t="s">
        <v>1324</v>
      </c>
      <c r="L104" s="3" t="s">
        <v>1277</v>
      </c>
      <c r="M104" s="175">
        <f t="shared" si="6"/>
        <v>1</v>
      </c>
      <c r="N104" s="5" t="s">
        <v>335</v>
      </c>
      <c r="O104" s="2" t="s">
        <v>377</v>
      </c>
      <c r="P104" s="4" t="str">
        <f>IFERROR(VLOOKUP(TRIM(CLEAN(O104)),'JOB GROUPS'!A:B,2,FALSE),"Not Found")</f>
        <v>NM10</v>
      </c>
      <c r="Q104" s="198">
        <f t="shared" ca="1" si="7"/>
        <v>9</v>
      </c>
      <c r="R104" s="180" t="s">
        <v>1217</v>
      </c>
      <c r="S104" s="6" t="s">
        <v>723</v>
      </c>
      <c r="T104" s="5" t="s">
        <v>369</v>
      </c>
      <c r="U104" s="13"/>
      <c r="V104" s="13"/>
      <c r="W104" s="13"/>
      <c r="X104" s="13"/>
      <c r="Y104" s="14"/>
      <c r="Z104" s="14"/>
      <c r="AA104" s="14"/>
      <c r="AB104" s="13"/>
      <c r="AC104" s="13"/>
      <c r="AD104" s="13"/>
      <c r="AE104" s="13"/>
    </row>
    <row r="105" spans="1:31" s="216" customFormat="1" ht="14.4" customHeight="1" x14ac:dyDescent="0.3">
      <c r="A105" s="206"/>
      <c r="B105" s="207"/>
      <c r="C105" s="208"/>
      <c r="D105" s="209"/>
      <c r="E105" s="208"/>
      <c r="F105" s="209"/>
      <c r="G105" s="208"/>
      <c r="H105" s="210"/>
      <c r="I105" s="210"/>
      <c r="J105" s="210"/>
      <c r="K105" s="210"/>
      <c r="L105" s="210"/>
      <c r="M105" s="209"/>
      <c r="N105" s="211"/>
      <c r="O105" s="212"/>
      <c r="P105" s="213"/>
      <c r="Q105" s="214"/>
      <c r="R105" s="215"/>
      <c r="S105" s="213"/>
      <c r="T105" s="211"/>
      <c r="U105" s="213"/>
      <c r="V105" s="213"/>
      <c r="W105" s="213"/>
      <c r="X105" s="213"/>
      <c r="Y105" s="211"/>
      <c r="Z105" s="211"/>
      <c r="AA105" s="211"/>
      <c r="AB105" s="213"/>
      <c r="AC105" s="213"/>
      <c r="AD105" s="213"/>
      <c r="AE105" s="213"/>
    </row>
    <row r="106" spans="1:31" ht="14.4" customHeight="1" x14ac:dyDescent="0.3">
      <c r="A106" s="151">
        <v>20089223839</v>
      </c>
      <c r="B106" s="42" t="s">
        <v>114</v>
      </c>
      <c r="C106" s="57" t="s">
        <v>245</v>
      </c>
      <c r="D106" s="218">
        <f t="shared" ca="1" si="4"/>
        <v>51</v>
      </c>
      <c r="E106" s="100">
        <v>39454</v>
      </c>
      <c r="F106" s="188">
        <f t="shared" ca="1" si="5"/>
        <v>18</v>
      </c>
      <c r="G106" s="57" t="s">
        <v>1298</v>
      </c>
      <c r="H106" s="3" t="s">
        <v>1298</v>
      </c>
      <c r="I106" s="3" t="s">
        <v>1298</v>
      </c>
      <c r="J106" s="3" t="s">
        <v>1298</v>
      </c>
      <c r="K106" s="165" t="s">
        <v>1309</v>
      </c>
      <c r="L106" s="3" t="s">
        <v>1286</v>
      </c>
      <c r="M106" s="175">
        <f t="shared" si="6"/>
        <v>1</v>
      </c>
      <c r="N106" s="4" t="s">
        <v>307</v>
      </c>
      <c r="O106" s="4" t="s">
        <v>380</v>
      </c>
      <c r="P106" s="4" t="str">
        <f>IFERROR(VLOOKUP(TRIM(CLEAN(O106)),'JOB GROUPS'!A:B,2,FALSE),"Not Found")</f>
        <v>NM5</v>
      </c>
      <c r="Q106" s="198">
        <f t="shared" ca="1" si="7"/>
        <v>14</v>
      </c>
      <c r="R106" s="180" t="s">
        <v>1224</v>
      </c>
      <c r="S106" s="6" t="s">
        <v>724</v>
      </c>
      <c r="T106" s="5" t="s">
        <v>369</v>
      </c>
      <c r="U106" s="13"/>
      <c r="V106" s="13"/>
      <c r="W106" s="13"/>
      <c r="X106" s="13"/>
      <c r="Y106" s="14"/>
      <c r="Z106" s="14"/>
      <c r="AA106" s="14"/>
      <c r="AB106" s="13"/>
      <c r="AC106" s="13"/>
      <c r="AD106" s="13"/>
      <c r="AE106" s="13"/>
    </row>
    <row r="107" spans="1:31" ht="14.4" customHeight="1" x14ac:dyDescent="0.3">
      <c r="A107" s="151">
        <v>20106534472</v>
      </c>
      <c r="B107" s="42" t="s">
        <v>115</v>
      </c>
      <c r="C107" s="57">
        <v>30716</v>
      </c>
      <c r="D107" s="218">
        <f t="shared" ca="1" si="4"/>
        <v>42</v>
      </c>
      <c r="E107" s="100">
        <v>40185</v>
      </c>
      <c r="F107" s="188">
        <f t="shared" ca="1" si="5"/>
        <v>16</v>
      </c>
      <c r="G107" s="57">
        <v>39904</v>
      </c>
      <c r="H107" s="3" t="s">
        <v>1301</v>
      </c>
      <c r="I107" s="3" t="s">
        <v>1298</v>
      </c>
      <c r="J107" s="3" t="s">
        <v>1304</v>
      </c>
      <c r="K107" s="3" t="s">
        <v>1310</v>
      </c>
      <c r="L107" s="3" t="s">
        <v>1287</v>
      </c>
      <c r="M107" s="175">
        <f t="shared" si="6"/>
        <v>1</v>
      </c>
      <c r="N107" s="4" t="s">
        <v>311</v>
      </c>
      <c r="O107" s="4" t="s">
        <v>375</v>
      </c>
      <c r="P107" s="4" t="str">
        <f>IFERROR(VLOOKUP(TRIM(CLEAN(O107)),'JOB GROUPS'!A:B,2,FALSE),"Not Found")</f>
        <v>NM8</v>
      </c>
      <c r="Q107" s="198">
        <f t="shared" ca="1" si="7"/>
        <v>15</v>
      </c>
      <c r="R107" s="180" t="s">
        <v>1231</v>
      </c>
      <c r="S107" s="6" t="s">
        <v>725</v>
      </c>
      <c r="T107" s="5" t="s">
        <v>369</v>
      </c>
      <c r="U107" s="13"/>
      <c r="V107" s="13"/>
      <c r="W107" s="13"/>
      <c r="X107" s="13"/>
      <c r="Y107" s="14"/>
      <c r="Z107" s="14"/>
      <c r="AA107" s="14"/>
      <c r="AB107" s="13"/>
      <c r="AC107" s="13"/>
      <c r="AD107" s="13"/>
      <c r="AE107" s="13"/>
    </row>
    <row r="108" spans="1:31" ht="14.4" customHeight="1" x14ac:dyDescent="0.3">
      <c r="A108" s="151">
        <v>20114215731</v>
      </c>
      <c r="B108" s="42" t="s">
        <v>116</v>
      </c>
      <c r="C108" s="57" t="s">
        <v>246</v>
      </c>
      <c r="D108" s="218">
        <f t="shared" ca="1" si="4"/>
        <v>52</v>
      </c>
      <c r="E108" s="100">
        <v>40817</v>
      </c>
      <c r="F108" s="188">
        <f t="shared" ca="1" si="5"/>
        <v>14</v>
      </c>
      <c r="G108" s="57">
        <v>38944</v>
      </c>
      <c r="H108" s="3" t="s">
        <v>1301</v>
      </c>
      <c r="I108" s="3" t="s">
        <v>1298</v>
      </c>
      <c r="J108" s="3" t="s">
        <v>1304</v>
      </c>
      <c r="K108" s="3" t="s">
        <v>1310</v>
      </c>
      <c r="L108" s="3" t="s">
        <v>1287</v>
      </c>
      <c r="M108" s="175">
        <f t="shared" si="6"/>
        <v>1</v>
      </c>
      <c r="N108" s="4" t="s">
        <v>311</v>
      </c>
      <c r="O108" s="4" t="s">
        <v>375</v>
      </c>
      <c r="P108" s="4" t="str">
        <f>IFERROR(VLOOKUP(TRIM(CLEAN(O108)),'JOB GROUPS'!A:B,2,FALSE),"Not Found")</f>
        <v>NM8</v>
      </c>
      <c r="Q108" s="198">
        <f t="shared" ca="1" si="7"/>
        <v>15</v>
      </c>
      <c r="R108" s="180" t="s">
        <v>1236</v>
      </c>
      <c r="S108" s="6" t="s">
        <v>726</v>
      </c>
      <c r="T108" s="5"/>
      <c r="U108" s="13"/>
      <c r="V108" s="13"/>
      <c r="W108" s="13"/>
      <c r="X108" s="13"/>
      <c r="Y108" s="14"/>
      <c r="Z108" s="14"/>
      <c r="AA108" s="14"/>
      <c r="AB108" s="13"/>
      <c r="AC108" s="13"/>
      <c r="AD108" s="13"/>
      <c r="AE108" s="13"/>
    </row>
    <row r="109" spans="1:31" ht="14.4" customHeight="1" x14ac:dyDescent="0.3">
      <c r="A109" s="151">
        <v>20190118042</v>
      </c>
      <c r="B109" s="42" t="s">
        <v>117</v>
      </c>
      <c r="C109" s="57" t="s">
        <v>247</v>
      </c>
      <c r="D109" s="218">
        <f t="shared" ca="1" si="4"/>
        <v>36</v>
      </c>
      <c r="E109" s="100">
        <v>42107</v>
      </c>
      <c r="F109" s="188">
        <f t="shared" ca="1" si="5"/>
        <v>11</v>
      </c>
      <c r="G109" s="57" t="s">
        <v>1298</v>
      </c>
      <c r="H109" s="3" t="s">
        <v>1298</v>
      </c>
      <c r="I109" s="3" t="s">
        <v>1298</v>
      </c>
      <c r="J109" s="3" t="s">
        <v>1298</v>
      </c>
      <c r="K109" s="3" t="s">
        <v>1310</v>
      </c>
      <c r="L109" s="3" t="s">
        <v>1287</v>
      </c>
      <c r="M109" s="175">
        <f t="shared" si="6"/>
        <v>1</v>
      </c>
      <c r="N109" s="4" t="s">
        <v>311</v>
      </c>
      <c r="O109" s="4" t="s">
        <v>375</v>
      </c>
      <c r="P109" s="4" t="str">
        <f>IFERROR(VLOOKUP(TRIM(CLEAN(O109)),'JOB GROUPS'!A:B,2,FALSE),"Not Found")</f>
        <v>NM8</v>
      </c>
      <c r="Q109" s="198">
        <f t="shared" ca="1" si="7"/>
        <v>5</v>
      </c>
      <c r="R109" s="180" t="s">
        <v>1005</v>
      </c>
      <c r="S109" s="6" t="s">
        <v>1440</v>
      </c>
      <c r="T109" s="5" t="s">
        <v>369</v>
      </c>
      <c r="U109" s="13"/>
      <c r="V109" s="13"/>
      <c r="W109" s="13"/>
      <c r="X109" s="13"/>
      <c r="Y109" s="14"/>
      <c r="Z109" s="14"/>
      <c r="AA109" s="14"/>
      <c r="AB109" s="13"/>
      <c r="AC109" s="13"/>
      <c r="AD109" s="13"/>
      <c r="AE109" s="13"/>
    </row>
    <row r="110" spans="1:31" ht="14.4" customHeight="1" x14ac:dyDescent="0.3">
      <c r="A110" s="151">
        <v>20181472320</v>
      </c>
      <c r="B110" s="42" t="s">
        <v>118</v>
      </c>
      <c r="C110" s="57" t="s">
        <v>248</v>
      </c>
      <c r="D110" s="218">
        <f t="shared" ca="1" si="4"/>
        <v>33</v>
      </c>
      <c r="E110" s="100">
        <v>43132</v>
      </c>
      <c r="F110" s="188">
        <f t="shared" ca="1" si="5"/>
        <v>8</v>
      </c>
      <c r="G110" s="57" t="s">
        <v>1298</v>
      </c>
      <c r="H110" s="3" t="s">
        <v>1301</v>
      </c>
      <c r="I110" s="3" t="s">
        <v>1298</v>
      </c>
      <c r="J110" s="3" t="s">
        <v>1298</v>
      </c>
      <c r="K110" s="3" t="s">
        <v>1298</v>
      </c>
      <c r="L110" s="3" t="s">
        <v>1298</v>
      </c>
      <c r="M110" s="175">
        <f t="shared" si="6"/>
        <v>1</v>
      </c>
      <c r="N110" s="4" t="s">
        <v>319</v>
      </c>
      <c r="O110" s="4" t="s">
        <v>379</v>
      </c>
      <c r="P110" s="4" t="str">
        <f>IFERROR(VLOOKUP(TRIM(CLEAN(O110)),'JOB GROUPS'!A:B,2,FALSE),"Not Found")</f>
        <v>NM12</v>
      </c>
      <c r="Q110" s="198">
        <f t="shared" ca="1" si="7"/>
        <v>8</v>
      </c>
      <c r="R110" s="180" t="s">
        <v>1252</v>
      </c>
      <c r="S110" s="6" t="s">
        <v>1400</v>
      </c>
      <c r="T110" s="5" t="s">
        <v>369</v>
      </c>
      <c r="U110" s="13"/>
      <c r="V110" s="13"/>
      <c r="W110" s="13"/>
      <c r="X110" s="13"/>
      <c r="Y110" s="14"/>
      <c r="Z110" s="14"/>
      <c r="AA110" s="14"/>
      <c r="AB110" s="13"/>
      <c r="AC110" s="13"/>
      <c r="AD110" s="13"/>
      <c r="AE110" s="13"/>
    </row>
    <row r="111" spans="1:31" ht="14.4" customHeight="1" x14ac:dyDescent="0.3">
      <c r="A111" s="151">
        <v>20210645935</v>
      </c>
      <c r="B111" s="42" t="s">
        <v>119</v>
      </c>
      <c r="C111" s="57">
        <v>32910</v>
      </c>
      <c r="D111" s="218">
        <f t="shared" ca="1" si="4"/>
        <v>36</v>
      </c>
      <c r="E111" s="101">
        <v>44386</v>
      </c>
      <c r="F111" s="188">
        <f t="shared" ca="1" si="5"/>
        <v>4</v>
      </c>
      <c r="G111" s="170">
        <v>44416</v>
      </c>
      <c r="H111" s="18" t="s">
        <v>1301</v>
      </c>
      <c r="I111" s="18" t="s">
        <v>1298</v>
      </c>
      <c r="J111" s="18" t="s">
        <v>1304</v>
      </c>
      <c r="K111" s="18" t="s">
        <v>1298</v>
      </c>
      <c r="L111" s="18" t="s">
        <v>1298</v>
      </c>
      <c r="M111" s="175">
        <f t="shared" si="6"/>
        <v>1</v>
      </c>
      <c r="N111" s="64" t="s">
        <v>319</v>
      </c>
      <c r="O111" s="4" t="s">
        <v>379</v>
      </c>
      <c r="P111" s="4" t="str">
        <f>IFERROR(VLOOKUP(TRIM(CLEAN(O111)),'JOB GROUPS'!A:B,2,FALSE),"Not Found")</f>
        <v>NM12</v>
      </c>
      <c r="Q111" s="198">
        <f t="shared" ca="1" si="7"/>
        <v>4</v>
      </c>
      <c r="R111" s="180" t="s">
        <v>1259</v>
      </c>
      <c r="S111" s="6" t="s">
        <v>1419</v>
      </c>
      <c r="T111" s="5" t="s">
        <v>369</v>
      </c>
      <c r="U111" s="13"/>
      <c r="V111" s="13"/>
      <c r="W111" s="13"/>
      <c r="X111" s="13"/>
      <c r="Y111" s="14"/>
      <c r="Z111" s="14"/>
      <c r="AA111" s="14"/>
      <c r="AB111" s="13"/>
      <c r="AC111" s="13"/>
      <c r="AD111" s="13"/>
      <c r="AE111" s="13"/>
    </row>
    <row r="112" spans="1:31" ht="14.4" customHeight="1" x14ac:dyDescent="0.3">
      <c r="A112" s="151">
        <v>20250089161</v>
      </c>
      <c r="B112" s="42" t="s">
        <v>120</v>
      </c>
      <c r="C112" s="57" t="s">
        <v>249</v>
      </c>
      <c r="D112" s="218">
        <f t="shared" ca="1" si="4"/>
        <v>27</v>
      </c>
      <c r="E112" s="100">
        <v>45660</v>
      </c>
      <c r="F112" s="188">
        <f t="shared" ca="1" si="5"/>
        <v>1</v>
      </c>
      <c r="G112" s="57" t="s">
        <v>1298</v>
      </c>
      <c r="H112" s="3" t="s">
        <v>1298</v>
      </c>
      <c r="I112" s="3" t="s">
        <v>1298</v>
      </c>
      <c r="J112" s="3" t="s">
        <v>1298</v>
      </c>
      <c r="K112" s="3" t="s">
        <v>1310</v>
      </c>
      <c r="L112" s="3" t="s">
        <v>1287</v>
      </c>
      <c r="M112" s="175">
        <f t="shared" si="6"/>
        <v>1</v>
      </c>
      <c r="N112" s="4" t="s">
        <v>311</v>
      </c>
      <c r="O112" s="4" t="s">
        <v>375</v>
      </c>
      <c r="P112" s="4" t="str">
        <f>IFERROR(VLOOKUP(TRIM(CLEAN(O112)),'JOB GROUPS'!A:B,2,FALSE),"Not Found")</f>
        <v>NM8</v>
      </c>
      <c r="Q112" s="198">
        <f t="shared" ca="1" si="7"/>
        <v>1</v>
      </c>
      <c r="R112" s="180" t="s">
        <v>1269</v>
      </c>
      <c r="S112" s="6" t="s">
        <v>714</v>
      </c>
      <c r="T112" s="5" t="s">
        <v>368</v>
      </c>
      <c r="U112" s="13"/>
      <c r="V112" s="13"/>
      <c r="W112" s="13"/>
      <c r="X112" s="13"/>
      <c r="Y112" s="14"/>
      <c r="Z112" s="14"/>
      <c r="AA112" s="14"/>
      <c r="AB112" s="13"/>
      <c r="AC112" s="13"/>
      <c r="AD112" s="13"/>
      <c r="AE112" s="13"/>
    </row>
    <row r="113" spans="1:31" s="216" customFormat="1" ht="14.4" customHeight="1" x14ac:dyDescent="0.3">
      <c r="A113" s="206"/>
      <c r="B113" s="207"/>
      <c r="C113" s="208"/>
      <c r="D113" s="209"/>
      <c r="E113" s="208"/>
      <c r="F113" s="209"/>
      <c r="G113" s="208"/>
      <c r="H113" s="210"/>
      <c r="I113" s="210"/>
      <c r="J113" s="210"/>
      <c r="K113" s="210"/>
      <c r="L113" s="210"/>
      <c r="M113" s="209"/>
      <c r="N113" s="213"/>
      <c r="O113" s="213"/>
      <c r="P113" s="213"/>
      <c r="Q113" s="214"/>
      <c r="R113" s="215"/>
      <c r="S113" s="213"/>
      <c r="T113" s="211"/>
      <c r="U113" s="213"/>
      <c r="V113" s="213"/>
      <c r="W113" s="213"/>
      <c r="X113" s="213"/>
      <c r="Y113" s="211"/>
      <c r="Z113" s="211"/>
      <c r="AA113" s="211"/>
      <c r="AB113" s="213"/>
      <c r="AC113" s="213"/>
      <c r="AD113" s="213"/>
      <c r="AE113" s="213"/>
    </row>
    <row r="114" spans="1:31" ht="14.4" customHeight="1" x14ac:dyDescent="0.3">
      <c r="A114" s="151">
        <v>20114215676</v>
      </c>
      <c r="B114" s="42" t="s">
        <v>121</v>
      </c>
      <c r="C114" s="57">
        <v>29932</v>
      </c>
      <c r="D114" s="218">
        <f t="shared" ca="1" si="4"/>
        <v>44</v>
      </c>
      <c r="E114" s="100">
        <v>40545</v>
      </c>
      <c r="F114" s="188">
        <f t="shared" ca="1" si="5"/>
        <v>15</v>
      </c>
      <c r="G114" s="57" t="s">
        <v>1298</v>
      </c>
      <c r="H114" s="3" t="s">
        <v>1298</v>
      </c>
      <c r="I114" s="3" t="s">
        <v>1298</v>
      </c>
      <c r="J114" s="3" t="s">
        <v>1298</v>
      </c>
      <c r="K114" s="3" t="s">
        <v>1334</v>
      </c>
      <c r="L114" s="3" t="s">
        <v>1291</v>
      </c>
      <c r="M114" s="175">
        <f t="shared" si="6"/>
        <v>1</v>
      </c>
      <c r="N114" s="4" t="s">
        <v>336</v>
      </c>
      <c r="O114" s="4" t="s">
        <v>376</v>
      </c>
      <c r="P114" s="4" t="str">
        <f>IFERROR(VLOOKUP(TRIM(CLEAN(O114)),'JOB GROUPS'!A:B,2,FALSE),"Not Found")</f>
        <v>NM9</v>
      </c>
      <c r="Q114" s="198">
        <f t="shared" ca="1" si="7"/>
        <v>1</v>
      </c>
      <c r="R114" s="180" t="s">
        <v>1199</v>
      </c>
      <c r="S114" s="6" t="s">
        <v>727</v>
      </c>
      <c r="T114" s="5" t="s">
        <v>368</v>
      </c>
      <c r="U114" s="13"/>
      <c r="V114" s="13"/>
      <c r="W114" s="13"/>
      <c r="X114" s="13"/>
      <c r="Y114" s="14"/>
      <c r="Z114" s="14"/>
      <c r="AA114" s="14"/>
      <c r="AB114" s="13"/>
      <c r="AC114" s="13"/>
      <c r="AD114" s="13"/>
      <c r="AE114" s="13"/>
    </row>
    <row r="115" spans="1:31" ht="14.4" customHeight="1" x14ac:dyDescent="0.3">
      <c r="A115" s="151">
        <v>20160708651</v>
      </c>
      <c r="B115" s="42" t="s">
        <v>122</v>
      </c>
      <c r="C115" s="57" t="s">
        <v>250</v>
      </c>
      <c r="D115" s="218">
        <f t="shared" ca="1" si="4"/>
        <v>37</v>
      </c>
      <c r="E115" s="100">
        <v>42561</v>
      </c>
      <c r="F115" s="188">
        <f t="shared" ca="1" si="5"/>
        <v>9</v>
      </c>
      <c r="G115" s="57" t="s">
        <v>1298</v>
      </c>
      <c r="H115" s="3" t="s">
        <v>1298</v>
      </c>
      <c r="I115" s="3" t="s">
        <v>1298</v>
      </c>
      <c r="J115" s="3" t="s">
        <v>1298</v>
      </c>
      <c r="K115" s="3" t="s">
        <v>1408</v>
      </c>
      <c r="L115" s="3" t="s">
        <v>1291</v>
      </c>
      <c r="M115" s="175">
        <f t="shared" si="6"/>
        <v>1</v>
      </c>
      <c r="N115" s="4" t="s">
        <v>336</v>
      </c>
      <c r="O115" s="4" t="s">
        <v>376</v>
      </c>
      <c r="P115" s="4" t="str">
        <f>IFERROR(VLOOKUP(TRIM(CLEAN(O115)),'JOB GROUPS'!A:B,2,FALSE),"Not Found")</f>
        <v>NM9</v>
      </c>
      <c r="Q115" s="198">
        <f t="shared" ca="1" si="7"/>
        <v>4</v>
      </c>
      <c r="R115" s="180" t="s">
        <v>1202</v>
      </c>
      <c r="S115" s="6" t="s">
        <v>1420</v>
      </c>
      <c r="T115" s="5" t="s">
        <v>368</v>
      </c>
      <c r="U115" s="13"/>
      <c r="V115" s="13"/>
      <c r="W115" s="13"/>
      <c r="X115" s="13"/>
      <c r="Y115" s="14"/>
      <c r="Z115" s="14"/>
      <c r="AA115" s="14"/>
      <c r="AB115" s="13"/>
      <c r="AC115" s="13"/>
      <c r="AD115" s="13"/>
      <c r="AE115" s="13"/>
    </row>
    <row r="116" spans="1:31" ht="14.4" customHeight="1" x14ac:dyDescent="0.3">
      <c r="A116" s="152">
        <v>20077018406</v>
      </c>
      <c r="B116" s="3" t="s">
        <v>123</v>
      </c>
      <c r="C116" s="57">
        <v>26299</v>
      </c>
      <c r="D116" s="218">
        <f t="shared" ca="1" si="4"/>
        <v>54</v>
      </c>
      <c r="E116" s="100">
        <v>39083</v>
      </c>
      <c r="F116" s="188">
        <f t="shared" ca="1" si="5"/>
        <v>19</v>
      </c>
      <c r="G116" s="57" t="s">
        <v>1298</v>
      </c>
      <c r="H116" s="3" t="s">
        <v>1298</v>
      </c>
      <c r="I116" s="3" t="s">
        <v>1298</v>
      </c>
      <c r="J116" s="3" t="s">
        <v>1298</v>
      </c>
      <c r="K116" s="165" t="s">
        <v>1337</v>
      </c>
      <c r="L116" s="3" t="s">
        <v>1292</v>
      </c>
      <c r="M116" s="175">
        <f t="shared" si="6"/>
        <v>1</v>
      </c>
      <c r="N116" s="4" t="s">
        <v>337</v>
      </c>
      <c r="O116" s="4" t="s">
        <v>381</v>
      </c>
      <c r="P116" s="4" t="str">
        <f>IFERROR(VLOOKUP(TRIM(CLEAN(O116)),'JOB GROUPS'!A:B,2,FALSE),"Not Found")</f>
        <v>NM13</v>
      </c>
      <c r="Q116" s="198">
        <f t="shared" ca="1" si="7"/>
        <v>13</v>
      </c>
      <c r="R116" s="180" t="s">
        <v>1195</v>
      </c>
      <c r="S116" s="6" t="s">
        <v>728</v>
      </c>
      <c r="T116" s="5"/>
      <c r="U116" s="13"/>
      <c r="V116" s="13"/>
      <c r="W116" s="13"/>
      <c r="X116" s="13"/>
      <c r="Y116" s="14"/>
      <c r="Z116" s="14"/>
      <c r="AA116" s="14"/>
      <c r="AB116" s="13"/>
      <c r="AC116" s="13"/>
      <c r="AD116" s="13"/>
      <c r="AE116" s="13"/>
    </row>
    <row r="117" spans="1:31" ht="14.4" customHeight="1" x14ac:dyDescent="0.3">
      <c r="A117" s="151">
        <v>20178601041</v>
      </c>
      <c r="B117" s="42" t="s">
        <v>124</v>
      </c>
      <c r="C117" s="57" t="s">
        <v>251</v>
      </c>
      <c r="D117" s="218">
        <f t="shared" ca="1" si="4"/>
        <v>36</v>
      </c>
      <c r="E117" s="100" t="s">
        <v>1022</v>
      </c>
      <c r="F117" s="188">
        <f t="shared" ca="1" si="5"/>
        <v>9</v>
      </c>
      <c r="G117" s="57" t="s">
        <v>1298</v>
      </c>
      <c r="H117" s="3" t="s">
        <v>1298</v>
      </c>
      <c r="I117" s="3" t="s">
        <v>1298</v>
      </c>
      <c r="J117" s="3" t="s">
        <v>1298</v>
      </c>
      <c r="K117" s="165" t="s">
        <v>1334</v>
      </c>
      <c r="L117" s="3" t="s">
        <v>1291</v>
      </c>
      <c r="M117" s="175">
        <f t="shared" si="6"/>
        <v>1</v>
      </c>
      <c r="N117" s="4" t="s">
        <v>338</v>
      </c>
      <c r="O117" s="4" t="s">
        <v>379</v>
      </c>
      <c r="P117" s="4" t="str">
        <f>IFERROR(VLOOKUP(TRIM(CLEAN(O117)),'JOB GROUPS'!A:B,2,FALSE),"Not Found")</f>
        <v>NM12</v>
      </c>
      <c r="Q117" s="198">
        <f t="shared" ca="1" si="7"/>
        <v>9</v>
      </c>
      <c r="R117" s="180" t="s">
        <v>1022</v>
      </c>
      <c r="S117" s="6" t="s">
        <v>729</v>
      </c>
      <c r="T117" s="5" t="s">
        <v>369</v>
      </c>
      <c r="U117" s="13"/>
      <c r="V117" s="13"/>
      <c r="W117" s="13"/>
      <c r="X117" s="13"/>
      <c r="Y117" s="14"/>
      <c r="Z117" s="14"/>
      <c r="AA117" s="14"/>
      <c r="AB117" s="13"/>
      <c r="AC117" s="13"/>
      <c r="AD117" s="13"/>
      <c r="AE117" s="13"/>
    </row>
    <row r="118" spans="1:31" ht="14.4" customHeight="1" x14ac:dyDescent="0.3">
      <c r="A118" s="151">
        <v>20220597922</v>
      </c>
      <c r="B118" s="42" t="s">
        <v>125</v>
      </c>
      <c r="C118" s="57">
        <v>32874</v>
      </c>
      <c r="D118" s="218">
        <f t="shared" ca="1" si="4"/>
        <v>36</v>
      </c>
      <c r="E118" s="100" t="s">
        <v>1024</v>
      </c>
      <c r="F118" s="188">
        <f t="shared" ca="1" si="5"/>
        <v>4</v>
      </c>
      <c r="G118" s="57" t="s">
        <v>1298</v>
      </c>
      <c r="H118" s="3" t="s">
        <v>1298</v>
      </c>
      <c r="I118" s="3" t="s">
        <v>1298</v>
      </c>
      <c r="J118" s="3" t="s">
        <v>1298</v>
      </c>
      <c r="K118" s="3" t="s">
        <v>1334</v>
      </c>
      <c r="L118" s="3" t="s">
        <v>1291</v>
      </c>
      <c r="M118" s="175">
        <f t="shared" si="6"/>
        <v>1</v>
      </c>
      <c r="N118" s="5" t="s">
        <v>338</v>
      </c>
      <c r="O118" s="2" t="s">
        <v>379</v>
      </c>
      <c r="P118" s="4" t="str">
        <f>IFERROR(VLOOKUP(TRIM(CLEAN(O118)),'JOB GROUPS'!A:B,2,FALSE),"Not Found")</f>
        <v>NM12</v>
      </c>
      <c r="Q118" s="198">
        <f t="shared" ca="1" si="7"/>
        <v>4</v>
      </c>
      <c r="R118" s="180" t="s">
        <v>1024</v>
      </c>
      <c r="S118" s="6" t="s">
        <v>730</v>
      </c>
      <c r="T118" s="5" t="s">
        <v>369</v>
      </c>
      <c r="U118" s="13"/>
      <c r="V118" s="13"/>
      <c r="W118" s="13"/>
      <c r="X118" s="13"/>
      <c r="Y118" s="14"/>
      <c r="Z118" s="14"/>
      <c r="AA118" s="14"/>
      <c r="AB118" s="13"/>
      <c r="AC118" s="13"/>
      <c r="AD118" s="13"/>
      <c r="AE118" s="13"/>
    </row>
    <row r="119" spans="1:31" ht="14.4" customHeight="1" x14ac:dyDescent="0.3">
      <c r="A119" s="151">
        <v>20220598067</v>
      </c>
      <c r="B119" s="42" t="s">
        <v>126</v>
      </c>
      <c r="C119" s="57">
        <v>32570</v>
      </c>
      <c r="D119" s="218">
        <f t="shared" ca="1" si="4"/>
        <v>37</v>
      </c>
      <c r="E119" s="100">
        <v>44563</v>
      </c>
      <c r="F119" s="188">
        <f t="shared" ca="1" si="5"/>
        <v>4</v>
      </c>
      <c r="G119" s="57">
        <v>44575</v>
      </c>
      <c r="H119" s="3" t="s">
        <v>1350</v>
      </c>
      <c r="I119" s="3" t="s">
        <v>1298</v>
      </c>
      <c r="J119" s="3" t="s">
        <v>1304</v>
      </c>
      <c r="K119" s="3" t="s">
        <v>1298</v>
      </c>
      <c r="L119" s="3" t="s">
        <v>1298</v>
      </c>
      <c r="M119" s="175">
        <f t="shared" si="6"/>
        <v>1</v>
      </c>
      <c r="N119" s="5" t="s">
        <v>338</v>
      </c>
      <c r="O119" s="2" t="s">
        <v>379</v>
      </c>
      <c r="P119" s="4" t="str">
        <f>IFERROR(VLOOKUP(TRIM(CLEAN(O119)),'JOB GROUPS'!A:B,2,FALSE),"Not Found")</f>
        <v>NM12</v>
      </c>
      <c r="Q119" s="198">
        <f t="shared" ca="1" si="7"/>
        <v>4</v>
      </c>
      <c r="R119" s="180" t="s">
        <v>1222</v>
      </c>
      <c r="S119" s="6" t="s">
        <v>731</v>
      </c>
      <c r="T119" s="5" t="s">
        <v>369</v>
      </c>
      <c r="U119" s="13"/>
      <c r="V119" s="13"/>
      <c r="W119" s="13"/>
      <c r="X119" s="13"/>
      <c r="Y119" s="14"/>
      <c r="Z119" s="14"/>
      <c r="AA119" s="14"/>
      <c r="AB119" s="13"/>
      <c r="AC119" s="13"/>
      <c r="AD119" s="13"/>
      <c r="AE119" s="13"/>
    </row>
    <row r="120" spans="1:31" ht="14.4" customHeight="1" x14ac:dyDescent="0.3">
      <c r="A120" s="152">
        <v>20220598318</v>
      </c>
      <c r="B120" s="3" t="s">
        <v>127</v>
      </c>
      <c r="C120" s="57">
        <v>33420</v>
      </c>
      <c r="D120" s="218">
        <f t="shared" ca="1" si="4"/>
        <v>34</v>
      </c>
      <c r="E120" s="100" t="s">
        <v>1026</v>
      </c>
      <c r="F120" s="188">
        <f t="shared" ca="1" si="5"/>
        <v>4</v>
      </c>
      <c r="G120" s="57" t="s">
        <v>1298</v>
      </c>
      <c r="H120" s="3" t="s">
        <v>1298</v>
      </c>
      <c r="I120" s="3" t="s">
        <v>1298</v>
      </c>
      <c r="J120" s="3" t="s">
        <v>1298</v>
      </c>
      <c r="K120" s="3" t="s">
        <v>1334</v>
      </c>
      <c r="L120" s="3" t="s">
        <v>1291</v>
      </c>
      <c r="M120" s="175">
        <f t="shared" si="6"/>
        <v>1</v>
      </c>
      <c r="N120" s="9" t="s">
        <v>338</v>
      </c>
      <c r="O120" s="4" t="s">
        <v>379</v>
      </c>
      <c r="P120" s="4" t="str">
        <f>IFERROR(VLOOKUP(TRIM(CLEAN(O120)),'JOB GROUPS'!A:B,2,FALSE),"Not Found")</f>
        <v>NM12</v>
      </c>
      <c r="Q120" s="198">
        <f t="shared" ca="1" si="7"/>
        <v>2</v>
      </c>
      <c r="R120" s="180" t="s">
        <v>1263</v>
      </c>
      <c r="S120" s="6" t="s">
        <v>730</v>
      </c>
      <c r="T120" s="5" t="s">
        <v>368</v>
      </c>
      <c r="U120" s="13"/>
      <c r="V120" s="13"/>
      <c r="W120" s="13"/>
      <c r="X120" s="13"/>
      <c r="Y120" s="14"/>
      <c r="Z120" s="14"/>
      <c r="AA120" s="14"/>
      <c r="AB120" s="13"/>
      <c r="AC120" s="13"/>
      <c r="AD120" s="13"/>
      <c r="AE120" s="13"/>
    </row>
    <row r="121" spans="1:31" ht="14.4" customHeight="1" x14ac:dyDescent="0.3">
      <c r="A121" s="151">
        <v>20240300997</v>
      </c>
      <c r="B121" s="42" t="s">
        <v>128</v>
      </c>
      <c r="C121" s="57">
        <v>36254</v>
      </c>
      <c r="D121" s="218">
        <f t="shared" ca="1" si="4"/>
        <v>27</v>
      </c>
      <c r="E121" s="100">
        <v>45301</v>
      </c>
      <c r="F121" s="188">
        <f t="shared" ca="1" si="5"/>
        <v>2</v>
      </c>
      <c r="G121" s="57">
        <v>45163</v>
      </c>
      <c r="H121" s="3" t="s">
        <v>1313</v>
      </c>
      <c r="I121" s="3" t="s">
        <v>1298</v>
      </c>
      <c r="J121" s="3" t="s">
        <v>1304</v>
      </c>
      <c r="K121" s="3" t="s">
        <v>1334</v>
      </c>
      <c r="L121" s="3" t="s">
        <v>1291</v>
      </c>
      <c r="M121" s="175">
        <f t="shared" si="6"/>
        <v>1</v>
      </c>
      <c r="N121" s="4" t="s">
        <v>338</v>
      </c>
      <c r="O121" s="4" t="s">
        <v>379</v>
      </c>
      <c r="P121" s="4" t="str">
        <f>IFERROR(VLOOKUP(TRIM(CLEAN(O121)),'JOB GROUPS'!A:B,2,FALSE),"Not Found")</f>
        <v>NM12</v>
      </c>
      <c r="Q121" s="198">
        <f t="shared" ca="1" si="7"/>
        <v>1</v>
      </c>
      <c r="R121" s="180" t="s">
        <v>1265</v>
      </c>
      <c r="S121" s="6" t="s">
        <v>730</v>
      </c>
      <c r="T121" s="5" t="s">
        <v>368</v>
      </c>
      <c r="U121" s="13"/>
      <c r="V121" s="13"/>
      <c r="W121" s="13"/>
      <c r="X121" s="13"/>
      <c r="Y121" s="14"/>
      <c r="Z121" s="14"/>
      <c r="AA121" s="14"/>
      <c r="AB121" s="13"/>
      <c r="AC121" s="13"/>
      <c r="AD121" s="13"/>
      <c r="AE121" s="13"/>
    </row>
    <row r="122" spans="1:31" ht="14.4" customHeight="1" x14ac:dyDescent="0.3">
      <c r="A122" s="151">
        <v>20152655412</v>
      </c>
      <c r="B122" s="42" t="s">
        <v>129</v>
      </c>
      <c r="C122" s="57" t="s">
        <v>252</v>
      </c>
      <c r="D122" s="218">
        <f t="shared" ca="1" si="4"/>
        <v>43</v>
      </c>
      <c r="E122" s="100">
        <v>42011</v>
      </c>
      <c r="F122" s="188">
        <f t="shared" ca="1" si="5"/>
        <v>11</v>
      </c>
      <c r="G122" s="57">
        <v>40575</v>
      </c>
      <c r="H122" s="3" t="s">
        <v>1339</v>
      </c>
      <c r="I122" s="3" t="s">
        <v>1298</v>
      </c>
      <c r="J122" s="3" t="s">
        <v>1304</v>
      </c>
      <c r="K122" s="3" t="s">
        <v>1340</v>
      </c>
      <c r="L122" s="3" t="s">
        <v>1277</v>
      </c>
      <c r="M122" s="175">
        <f t="shared" si="6"/>
        <v>1</v>
      </c>
      <c r="N122" s="5" t="s">
        <v>337</v>
      </c>
      <c r="O122" s="2" t="s">
        <v>381</v>
      </c>
      <c r="P122" s="4" t="str">
        <f>IFERROR(VLOOKUP(TRIM(CLEAN(O122)),'JOB GROUPS'!A:B,2,FALSE),"Not Found")</f>
        <v>NM13</v>
      </c>
      <c r="Q122" s="198">
        <f t="shared" ca="1" si="7"/>
        <v>7</v>
      </c>
      <c r="R122" s="180" t="s">
        <v>1241</v>
      </c>
      <c r="S122" s="6" t="s">
        <v>730</v>
      </c>
      <c r="T122" s="5" t="s">
        <v>368</v>
      </c>
      <c r="U122" s="13"/>
      <c r="V122" s="13"/>
      <c r="W122" s="13"/>
      <c r="X122" s="13"/>
      <c r="Y122" s="14"/>
      <c r="Z122" s="14"/>
      <c r="AA122" s="14"/>
      <c r="AB122" s="13"/>
      <c r="AC122" s="13"/>
      <c r="AD122" s="13"/>
      <c r="AE122" s="13"/>
    </row>
    <row r="123" spans="1:31" ht="14.4" customHeight="1" x14ac:dyDescent="0.3">
      <c r="A123" s="152">
        <v>20060933629</v>
      </c>
      <c r="B123" s="3" t="s">
        <v>130</v>
      </c>
      <c r="C123" s="57">
        <v>27067</v>
      </c>
      <c r="D123" s="218">
        <f t="shared" ca="1" si="4"/>
        <v>52</v>
      </c>
      <c r="E123" s="100">
        <v>38729</v>
      </c>
      <c r="F123" s="188">
        <f t="shared" ca="1" si="5"/>
        <v>20</v>
      </c>
      <c r="G123" s="57" t="s">
        <v>1298</v>
      </c>
      <c r="H123" s="3" t="s">
        <v>1298</v>
      </c>
      <c r="I123" s="3" t="s">
        <v>1298</v>
      </c>
      <c r="J123" s="3" t="s">
        <v>1298</v>
      </c>
      <c r="K123" s="3" t="s">
        <v>1381</v>
      </c>
      <c r="L123" s="3" t="s">
        <v>1289</v>
      </c>
      <c r="M123" s="175">
        <f t="shared" si="6"/>
        <v>1</v>
      </c>
      <c r="N123" s="5" t="s">
        <v>299</v>
      </c>
      <c r="O123" s="4" t="s">
        <v>375</v>
      </c>
      <c r="P123" s="4" t="str">
        <f>IFERROR(VLOOKUP(TRIM(CLEAN(O123)),'JOB GROUPS'!A:B,2,FALSE),"Not Found")</f>
        <v>NM8</v>
      </c>
      <c r="Q123" s="198">
        <f t="shared" ca="1" si="7"/>
        <v>14</v>
      </c>
      <c r="R123" s="180" t="s">
        <v>1213</v>
      </c>
      <c r="S123" s="6" t="s">
        <v>732</v>
      </c>
      <c r="T123" s="5" t="s">
        <v>368</v>
      </c>
      <c r="U123" s="13"/>
      <c r="V123" s="13"/>
      <c r="W123" s="13"/>
      <c r="X123" s="13"/>
      <c r="Y123" s="14"/>
      <c r="Z123" s="14"/>
      <c r="AA123" s="14"/>
      <c r="AB123" s="13"/>
      <c r="AC123" s="13"/>
      <c r="AD123" s="13"/>
      <c r="AE123" s="13"/>
    </row>
    <row r="124" spans="1:31" ht="14.4" customHeight="1" x14ac:dyDescent="0.3">
      <c r="A124" s="152">
        <v>20060933970</v>
      </c>
      <c r="B124" s="3" t="s">
        <v>131</v>
      </c>
      <c r="C124" s="57">
        <v>24838</v>
      </c>
      <c r="D124" s="218">
        <f t="shared" ca="1" si="4"/>
        <v>58</v>
      </c>
      <c r="E124" s="100">
        <v>38722</v>
      </c>
      <c r="F124" s="188">
        <f t="shared" ca="1" si="5"/>
        <v>20</v>
      </c>
      <c r="G124" s="57" t="s">
        <v>1298</v>
      </c>
      <c r="H124" s="3" t="s">
        <v>1298</v>
      </c>
      <c r="I124" s="3" t="s">
        <v>1298</v>
      </c>
      <c r="J124" s="3" t="s">
        <v>1298</v>
      </c>
      <c r="K124" s="165" t="s">
        <v>1409</v>
      </c>
      <c r="L124" s="3" t="s">
        <v>1274</v>
      </c>
      <c r="M124" s="175">
        <f t="shared" si="6"/>
        <v>1</v>
      </c>
      <c r="N124" s="5" t="s">
        <v>339</v>
      </c>
      <c r="O124" s="4" t="s">
        <v>377</v>
      </c>
      <c r="P124" s="4" t="str">
        <f>IFERROR(VLOOKUP(TRIM(CLEAN(O124)),'JOB GROUPS'!A:B,2,FALSE),"Not Found")</f>
        <v>NM10</v>
      </c>
      <c r="Q124" s="198">
        <f t="shared" ca="1" si="7"/>
        <v>9</v>
      </c>
      <c r="R124" s="180" t="s">
        <v>1194</v>
      </c>
      <c r="S124" s="6" t="s">
        <v>733</v>
      </c>
      <c r="T124" s="5" t="s">
        <v>368</v>
      </c>
      <c r="U124" s="13"/>
      <c r="V124" s="13"/>
      <c r="W124" s="13"/>
      <c r="X124" s="13"/>
      <c r="Y124" s="14"/>
      <c r="Z124" s="14"/>
      <c r="AA124" s="14"/>
      <c r="AB124" s="13"/>
      <c r="AC124" s="13"/>
      <c r="AD124" s="13"/>
      <c r="AE124" s="13"/>
    </row>
    <row r="125" spans="1:31" ht="14.4" customHeight="1" x14ac:dyDescent="0.3">
      <c r="A125" s="151">
        <v>20077017955</v>
      </c>
      <c r="B125" s="42" t="s">
        <v>132</v>
      </c>
      <c r="C125" s="57">
        <v>26676</v>
      </c>
      <c r="D125" s="218">
        <f t="shared" ca="1" si="4"/>
        <v>53</v>
      </c>
      <c r="E125" s="100">
        <v>39090</v>
      </c>
      <c r="F125" s="188">
        <f t="shared" ca="1" si="5"/>
        <v>19</v>
      </c>
      <c r="G125" s="57" t="s">
        <v>1298</v>
      </c>
      <c r="H125" s="3" t="s">
        <v>1298</v>
      </c>
      <c r="I125" s="3" t="s">
        <v>1298</v>
      </c>
      <c r="J125" s="3" t="s">
        <v>1298</v>
      </c>
      <c r="K125" s="165" t="s">
        <v>1410</v>
      </c>
      <c r="L125" s="3" t="s">
        <v>1291</v>
      </c>
      <c r="M125" s="175">
        <f t="shared" si="6"/>
        <v>1</v>
      </c>
      <c r="N125" s="5" t="s">
        <v>340</v>
      </c>
      <c r="O125" s="2" t="s">
        <v>378</v>
      </c>
      <c r="P125" s="4" t="str">
        <f>IFERROR(VLOOKUP(TRIM(CLEAN(O125)),'JOB GROUPS'!A:B,2,FALSE),"Not Found")</f>
        <v>NM11</v>
      </c>
      <c r="Q125" s="198">
        <f t="shared" ca="1" si="7"/>
        <v>18</v>
      </c>
      <c r="R125" s="180" t="s">
        <v>1219</v>
      </c>
      <c r="S125" s="6" t="s">
        <v>734</v>
      </c>
      <c r="T125" s="5" t="s">
        <v>369</v>
      </c>
      <c r="U125" s="13"/>
      <c r="V125" s="13"/>
      <c r="W125" s="13"/>
      <c r="X125" s="13"/>
      <c r="Y125" s="14"/>
      <c r="Z125" s="14"/>
      <c r="AA125" s="14"/>
      <c r="AB125" s="13"/>
      <c r="AC125" s="13"/>
      <c r="AD125" s="13"/>
      <c r="AE125" s="13"/>
    </row>
    <row r="126" spans="1:31" ht="14.4" customHeight="1" x14ac:dyDescent="0.3">
      <c r="A126" s="152">
        <v>19950950686</v>
      </c>
      <c r="B126" s="3" t="s">
        <v>133</v>
      </c>
      <c r="C126" s="57">
        <v>26299</v>
      </c>
      <c r="D126" s="218">
        <f t="shared" ca="1" si="4"/>
        <v>54</v>
      </c>
      <c r="E126" s="100">
        <v>34983</v>
      </c>
      <c r="F126" s="188">
        <f t="shared" ca="1" si="5"/>
        <v>30</v>
      </c>
      <c r="G126" s="57" t="s">
        <v>1298</v>
      </c>
      <c r="H126" s="3" t="s">
        <v>1298</v>
      </c>
      <c r="I126" s="3" t="s">
        <v>1298</v>
      </c>
      <c r="J126" s="3" t="s">
        <v>1298</v>
      </c>
      <c r="K126" s="165" t="s">
        <v>1411</v>
      </c>
      <c r="L126" s="3" t="s">
        <v>1277</v>
      </c>
      <c r="M126" s="175">
        <f t="shared" si="6"/>
        <v>1</v>
      </c>
      <c r="N126" s="4" t="s">
        <v>318</v>
      </c>
      <c r="O126" s="4" t="s">
        <v>379</v>
      </c>
      <c r="P126" s="4" t="str">
        <f>IFERROR(VLOOKUP(TRIM(CLEAN(O126)),'JOB GROUPS'!A:B,2,FALSE),"Not Found")</f>
        <v>NM12</v>
      </c>
      <c r="Q126" s="198">
        <f t="shared" ca="1" si="7"/>
        <v>19</v>
      </c>
      <c r="R126" s="180" t="s">
        <v>1203</v>
      </c>
      <c r="S126" s="6" t="s">
        <v>735</v>
      </c>
      <c r="T126" s="5" t="s">
        <v>369</v>
      </c>
      <c r="U126" s="13"/>
      <c r="V126" s="13"/>
      <c r="W126" s="13"/>
      <c r="X126" s="13"/>
      <c r="Y126" s="14"/>
      <c r="Z126" s="14"/>
      <c r="AA126" s="14"/>
      <c r="AB126" s="13"/>
      <c r="AC126" s="13"/>
      <c r="AD126" s="13"/>
      <c r="AE126" s="13"/>
    </row>
    <row r="127" spans="1:31" ht="14.4" customHeight="1" x14ac:dyDescent="0.3">
      <c r="A127" s="152">
        <v>20089223805</v>
      </c>
      <c r="B127" s="3" t="s">
        <v>134</v>
      </c>
      <c r="C127" s="57">
        <v>24752</v>
      </c>
      <c r="D127" s="218">
        <f t="shared" ca="1" si="4"/>
        <v>58</v>
      </c>
      <c r="E127" s="100">
        <v>39455</v>
      </c>
      <c r="F127" s="188">
        <f t="shared" ca="1" si="5"/>
        <v>18</v>
      </c>
      <c r="G127" s="57">
        <v>36949</v>
      </c>
      <c r="H127" s="3" t="s">
        <v>1299</v>
      </c>
      <c r="I127" s="3" t="s">
        <v>1298</v>
      </c>
      <c r="J127" s="3" t="s">
        <v>1304</v>
      </c>
      <c r="K127" s="3" t="s">
        <v>1298</v>
      </c>
      <c r="L127" s="3" t="s">
        <v>1298</v>
      </c>
      <c r="M127" s="175">
        <f t="shared" si="6"/>
        <v>1</v>
      </c>
      <c r="N127" s="4" t="s">
        <v>341</v>
      </c>
      <c r="O127" s="4" t="s">
        <v>379</v>
      </c>
      <c r="P127" s="4" t="str">
        <f>IFERROR(VLOOKUP(TRIM(CLEAN(O127)),'JOB GROUPS'!A:B,2,FALSE),"Not Found")</f>
        <v>NM12</v>
      </c>
      <c r="Q127" s="198">
        <f t="shared" ca="1" si="7"/>
        <v>13</v>
      </c>
      <c r="R127" s="180" t="s">
        <v>1204</v>
      </c>
      <c r="S127" s="6" t="s">
        <v>735</v>
      </c>
      <c r="T127" s="5" t="s">
        <v>369</v>
      </c>
      <c r="U127" s="13"/>
      <c r="V127" s="13"/>
      <c r="W127" s="13"/>
      <c r="X127" s="13"/>
      <c r="Y127" s="14"/>
      <c r="Z127" s="14"/>
      <c r="AA127" s="14"/>
      <c r="AB127" s="13"/>
      <c r="AC127" s="13"/>
      <c r="AD127" s="13"/>
      <c r="AE127" s="13"/>
    </row>
    <row r="128" spans="1:31" ht="14.4" customHeight="1" x14ac:dyDescent="0.3">
      <c r="A128" s="151">
        <v>20106534294</v>
      </c>
      <c r="B128" s="42" t="s">
        <v>135</v>
      </c>
      <c r="C128" s="57">
        <v>28524</v>
      </c>
      <c r="D128" s="218">
        <f t="shared" ca="1" si="4"/>
        <v>48</v>
      </c>
      <c r="E128" s="100">
        <v>40187</v>
      </c>
      <c r="F128" s="188">
        <f t="shared" ca="1" si="5"/>
        <v>16</v>
      </c>
      <c r="G128" s="57">
        <v>38108</v>
      </c>
      <c r="H128" s="3" t="s">
        <v>1322</v>
      </c>
      <c r="I128" s="3" t="s">
        <v>1298</v>
      </c>
      <c r="J128" s="3" t="s">
        <v>1304</v>
      </c>
      <c r="K128" s="3" t="s">
        <v>1323</v>
      </c>
      <c r="L128" s="3" t="s">
        <v>1274</v>
      </c>
      <c r="M128" s="175">
        <f t="shared" si="6"/>
        <v>1</v>
      </c>
      <c r="N128" s="4" t="s">
        <v>321</v>
      </c>
      <c r="O128" s="4" t="s">
        <v>381</v>
      </c>
      <c r="P128" s="4" t="str">
        <f>IFERROR(VLOOKUP(TRIM(CLEAN(O128)),'JOB GROUPS'!A:B,2,FALSE),"Not Found")</f>
        <v>NM13</v>
      </c>
      <c r="Q128" s="198">
        <f t="shared" ca="1" si="7"/>
        <v>15</v>
      </c>
      <c r="R128" s="180" t="s">
        <v>1230</v>
      </c>
      <c r="S128" s="6" t="s">
        <v>735</v>
      </c>
      <c r="T128" s="5" t="s">
        <v>369</v>
      </c>
      <c r="U128" s="13"/>
      <c r="V128" s="13"/>
      <c r="W128" s="13"/>
      <c r="X128" s="13"/>
      <c r="Y128" s="14"/>
      <c r="Z128" s="14"/>
      <c r="AA128" s="14"/>
      <c r="AB128" s="13"/>
      <c r="AC128" s="13"/>
      <c r="AD128" s="13"/>
      <c r="AE128" s="13"/>
    </row>
    <row r="129" spans="1:31" ht="14.4" customHeight="1" x14ac:dyDescent="0.3">
      <c r="A129" s="152">
        <v>20114215472</v>
      </c>
      <c r="B129" s="3" t="s">
        <v>136</v>
      </c>
      <c r="C129" s="57" t="s">
        <v>253</v>
      </c>
      <c r="D129" s="218">
        <f t="shared" ca="1" si="4"/>
        <v>50</v>
      </c>
      <c r="E129" s="100">
        <v>40551</v>
      </c>
      <c r="F129" s="188">
        <f t="shared" ca="1" si="5"/>
        <v>15</v>
      </c>
      <c r="G129" s="57" t="s">
        <v>1298</v>
      </c>
      <c r="H129" s="3" t="s">
        <v>1298</v>
      </c>
      <c r="I129" s="3" t="s">
        <v>1298</v>
      </c>
      <c r="J129" s="3" t="s">
        <v>1298</v>
      </c>
      <c r="K129" s="165" t="s">
        <v>1412</v>
      </c>
      <c r="L129" s="3" t="s">
        <v>1291</v>
      </c>
      <c r="M129" s="175">
        <f t="shared" si="6"/>
        <v>1</v>
      </c>
      <c r="N129" s="4" t="s">
        <v>338</v>
      </c>
      <c r="O129" s="4" t="s">
        <v>379</v>
      </c>
      <c r="P129" s="4" t="str">
        <f>IFERROR(VLOOKUP(TRIM(CLEAN(O129)),'JOB GROUPS'!A:B,2,FALSE),"Not Found")</f>
        <v>NM12</v>
      </c>
      <c r="Q129" s="198">
        <f t="shared" ca="1" si="7"/>
        <v>14</v>
      </c>
      <c r="R129" s="180" t="s">
        <v>1221</v>
      </c>
      <c r="S129" s="6" t="s">
        <v>736</v>
      </c>
      <c r="T129" s="5" t="s">
        <v>369</v>
      </c>
      <c r="U129" s="13"/>
      <c r="V129" s="13"/>
      <c r="W129" s="13"/>
      <c r="X129" s="13"/>
      <c r="Y129" s="14"/>
      <c r="Z129" s="14"/>
      <c r="AA129" s="14"/>
      <c r="AB129" s="13"/>
      <c r="AC129" s="13"/>
      <c r="AD129" s="13"/>
      <c r="AE129" s="13"/>
    </row>
    <row r="130" spans="1:31" ht="14.4" customHeight="1" x14ac:dyDescent="0.3">
      <c r="A130" s="152" t="s">
        <v>1271</v>
      </c>
      <c r="B130" s="3"/>
      <c r="C130" s="57"/>
      <c r="D130" s="218">
        <f t="shared" ca="1" si="4"/>
        <v>126</v>
      </c>
      <c r="E130" s="100"/>
      <c r="F130" s="188">
        <f t="shared" ca="1" si="5"/>
        <v>126</v>
      </c>
      <c r="G130" s="57" t="s">
        <v>1298</v>
      </c>
      <c r="H130" s="3" t="s">
        <v>1298</v>
      </c>
      <c r="I130" s="3" t="s">
        <v>1298</v>
      </c>
      <c r="J130" s="3" t="s">
        <v>1298</v>
      </c>
      <c r="K130" s="3" t="s">
        <v>1298</v>
      </c>
      <c r="L130" s="3" t="s">
        <v>1298</v>
      </c>
      <c r="M130" s="175">
        <f t="shared" si="6"/>
        <v>1</v>
      </c>
      <c r="N130" s="4"/>
      <c r="O130" s="4"/>
      <c r="P130" s="4" t="str">
        <f>IFERROR(VLOOKUP(TRIM(CLEAN(O130)),'JOB GROUPS'!A:B,2,FALSE),"Not Found")</f>
        <v>Not Found</v>
      </c>
      <c r="Q130" s="198" t="e">
        <f t="shared" ca="1" si="7"/>
        <v>#VALUE!</v>
      </c>
      <c r="R130" s="180" t="s">
        <v>1271</v>
      </c>
      <c r="S130" s="6" t="s">
        <v>659</v>
      </c>
      <c r="T130" s="5" t="s">
        <v>369</v>
      </c>
      <c r="U130" s="13"/>
      <c r="V130" s="13"/>
      <c r="W130" s="13"/>
      <c r="X130" s="13"/>
      <c r="Y130" s="14"/>
      <c r="Z130" s="14"/>
      <c r="AA130" s="14"/>
      <c r="AB130" s="13"/>
      <c r="AC130" s="13"/>
      <c r="AD130" s="13"/>
      <c r="AE130" s="13"/>
    </row>
    <row r="131" spans="1:31" ht="14.4" customHeight="1" x14ac:dyDescent="0.3">
      <c r="A131" s="152">
        <v>20200484002</v>
      </c>
      <c r="B131" s="3" t="s">
        <v>137</v>
      </c>
      <c r="C131" s="57">
        <v>34711</v>
      </c>
      <c r="D131" s="218">
        <f t="shared" ca="1" si="4"/>
        <v>31</v>
      </c>
      <c r="E131" s="100" t="s">
        <v>1038</v>
      </c>
      <c r="F131" s="188">
        <f t="shared" ca="1" si="5"/>
        <v>5</v>
      </c>
      <c r="G131" s="57">
        <v>44027</v>
      </c>
      <c r="H131" s="3" t="s">
        <v>1301</v>
      </c>
      <c r="I131" s="3" t="s">
        <v>1298</v>
      </c>
      <c r="J131" s="3" t="s">
        <v>1304</v>
      </c>
      <c r="K131" s="3" t="s">
        <v>1298</v>
      </c>
      <c r="L131" s="3" t="s">
        <v>1298</v>
      </c>
      <c r="M131" s="175">
        <f t="shared" si="6"/>
        <v>1</v>
      </c>
      <c r="N131" s="4" t="s">
        <v>342</v>
      </c>
      <c r="O131" s="4" t="s">
        <v>374</v>
      </c>
      <c r="P131" s="4" t="str">
        <f>IFERROR(VLOOKUP(TRIM(CLEAN(O131)),'JOB GROUPS'!A:B,2,FALSE),"Not Found")</f>
        <v>NM7</v>
      </c>
      <c r="Q131" s="198">
        <f t="shared" ca="1" si="7"/>
        <v>1</v>
      </c>
      <c r="R131" s="180" t="s">
        <v>1199</v>
      </c>
      <c r="S131" s="6" t="s">
        <v>737</v>
      </c>
      <c r="T131" s="5" t="s">
        <v>369</v>
      </c>
      <c r="U131" s="13"/>
      <c r="V131" s="13"/>
      <c r="W131" s="13"/>
      <c r="X131" s="13"/>
      <c r="Y131" s="14"/>
      <c r="Z131" s="14"/>
      <c r="AA131" s="14"/>
      <c r="AB131" s="13"/>
      <c r="AC131" s="13"/>
      <c r="AD131" s="13"/>
      <c r="AE131" s="13"/>
    </row>
    <row r="132" spans="1:31" ht="14.4" customHeight="1" x14ac:dyDescent="0.3">
      <c r="A132" s="151">
        <v>20114215634</v>
      </c>
      <c r="B132" s="178" t="s">
        <v>138</v>
      </c>
      <c r="C132" s="57" t="s">
        <v>254</v>
      </c>
      <c r="D132" s="218">
        <f t="shared" ref="D132:D195" ca="1" si="8">DATEDIF(C132,TODAY(),"Y")</f>
        <v>47</v>
      </c>
      <c r="E132" s="100">
        <v>40546</v>
      </c>
      <c r="F132" s="188">
        <f t="shared" ref="F132:F195" ca="1" si="9">DATEDIF(E132,TODAY(),"Y")</f>
        <v>15</v>
      </c>
      <c r="G132" s="57" t="s">
        <v>1298</v>
      </c>
      <c r="H132" s="3" t="s">
        <v>1298</v>
      </c>
      <c r="I132" s="3" t="s">
        <v>1298</v>
      </c>
      <c r="J132" s="3" t="s">
        <v>1298</v>
      </c>
      <c r="K132" s="3" t="s">
        <v>1298</v>
      </c>
      <c r="L132" s="3" t="s">
        <v>1298</v>
      </c>
      <c r="M132" s="175">
        <f t="shared" ref="M132:M195" si="10">IF(COUNTA(G132:L132)=0,0,1)</f>
        <v>1</v>
      </c>
      <c r="N132" s="4" t="s">
        <v>343</v>
      </c>
      <c r="O132" s="4" t="s">
        <v>372</v>
      </c>
      <c r="P132" s="4" t="str">
        <f>IFERROR(VLOOKUP(TRIM(CLEAN(O132)),'JOB GROUPS'!A:B,2,FALSE),"Not Found")</f>
        <v>NM6</v>
      </c>
      <c r="Q132" s="198">
        <f t="shared" ref="Q132:Q195" ca="1" si="11">DATEDIF(R132,TODAY(),"Y")</f>
        <v>15</v>
      </c>
      <c r="R132" s="180" t="s">
        <v>1234</v>
      </c>
      <c r="S132" s="6" t="s">
        <v>657</v>
      </c>
      <c r="T132" s="5" t="s">
        <v>369</v>
      </c>
      <c r="U132" s="13"/>
      <c r="V132" s="13"/>
      <c r="W132" s="13"/>
      <c r="X132" s="13"/>
      <c r="Y132" s="14"/>
      <c r="Z132" s="14"/>
      <c r="AA132" s="14"/>
      <c r="AB132" s="13"/>
      <c r="AC132" s="13"/>
      <c r="AD132" s="13"/>
      <c r="AE132" s="13"/>
    </row>
    <row r="133" spans="1:31" ht="14.4" customHeight="1" x14ac:dyDescent="0.3">
      <c r="A133" s="151">
        <v>20160708766</v>
      </c>
      <c r="B133" s="42" t="s">
        <v>139</v>
      </c>
      <c r="C133" s="57" t="s">
        <v>255</v>
      </c>
      <c r="D133" s="218">
        <f t="shared" ca="1" si="8"/>
        <v>41</v>
      </c>
      <c r="E133" s="100">
        <v>42379</v>
      </c>
      <c r="F133" s="188">
        <f t="shared" ca="1" si="9"/>
        <v>10</v>
      </c>
      <c r="G133" s="57" t="s">
        <v>1298</v>
      </c>
      <c r="H133" s="3" t="s">
        <v>1298</v>
      </c>
      <c r="I133" s="3" t="s">
        <v>1298</v>
      </c>
      <c r="J133" s="3" t="s">
        <v>1298</v>
      </c>
      <c r="K133" s="3" t="s">
        <v>1310</v>
      </c>
      <c r="L133" s="3" t="s">
        <v>1287</v>
      </c>
      <c r="M133" s="175">
        <f t="shared" si="10"/>
        <v>1</v>
      </c>
      <c r="N133" s="4" t="s">
        <v>311</v>
      </c>
      <c r="O133" s="4" t="s">
        <v>375</v>
      </c>
      <c r="P133" s="4" t="str">
        <f>IFERROR(VLOOKUP(TRIM(CLEAN(O133)),'JOB GROUPS'!A:B,2,FALSE),"Not Found")</f>
        <v>NM8</v>
      </c>
      <c r="Q133" s="198">
        <f t="shared" ca="1" si="11"/>
        <v>9</v>
      </c>
      <c r="R133" s="180" t="s">
        <v>1244</v>
      </c>
      <c r="S133" s="6" t="s">
        <v>738</v>
      </c>
      <c r="T133" s="5" t="s">
        <v>369</v>
      </c>
      <c r="U133" s="13"/>
      <c r="V133" s="13"/>
      <c r="W133" s="13"/>
      <c r="X133" s="13"/>
      <c r="Y133" s="14"/>
      <c r="Z133" s="14"/>
      <c r="AA133" s="14"/>
      <c r="AB133" s="13"/>
      <c r="AC133" s="13"/>
      <c r="AD133" s="13"/>
      <c r="AE133" s="13"/>
    </row>
    <row r="134" spans="1:31" ht="14.4" customHeight="1" x14ac:dyDescent="0.3">
      <c r="A134" s="152">
        <v>20220598562</v>
      </c>
      <c r="B134" s="3" t="s">
        <v>140</v>
      </c>
      <c r="C134" s="57">
        <v>33361</v>
      </c>
      <c r="D134" s="218">
        <f t="shared" ca="1" si="8"/>
        <v>35</v>
      </c>
      <c r="E134" s="100">
        <v>44621</v>
      </c>
      <c r="F134" s="188">
        <f t="shared" ca="1" si="9"/>
        <v>4</v>
      </c>
      <c r="G134" s="57" t="s">
        <v>1298</v>
      </c>
      <c r="H134" s="3" t="s">
        <v>1298</v>
      </c>
      <c r="I134" s="3" t="s">
        <v>1298</v>
      </c>
      <c r="J134" s="3" t="s">
        <v>1298</v>
      </c>
      <c r="K134" s="3" t="s">
        <v>1351</v>
      </c>
      <c r="L134" s="3" t="s">
        <v>1287</v>
      </c>
      <c r="M134" s="175">
        <f t="shared" si="10"/>
        <v>1</v>
      </c>
      <c r="N134" s="4" t="s">
        <v>330</v>
      </c>
      <c r="O134" s="4" t="s">
        <v>375</v>
      </c>
      <c r="P134" s="4" t="str">
        <f>IFERROR(VLOOKUP(TRIM(CLEAN(O134)),'JOB GROUPS'!A:B,2,FALSE),"Not Found")</f>
        <v>NM8</v>
      </c>
      <c r="Q134" s="198">
        <f t="shared" ca="1" si="11"/>
        <v>4</v>
      </c>
      <c r="R134" s="180" t="s">
        <v>1191</v>
      </c>
      <c r="S134" s="6" t="s">
        <v>699</v>
      </c>
      <c r="T134" s="5"/>
      <c r="U134" s="13"/>
      <c r="V134" s="13"/>
      <c r="W134" s="13"/>
      <c r="X134" s="13"/>
      <c r="Y134" s="14"/>
      <c r="Z134" s="14"/>
      <c r="AA134" s="14"/>
      <c r="AB134" s="13"/>
      <c r="AC134" s="13"/>
      <c r="AD134" s="13"/>
      <c r="AE134" s="13"/>
    </row>
    <row r="135" spans="1:31" ht="14.4" customHeight="1" x14ac:dyDescent="0.3">
      <c r="A135" s="151"/>
      <c r="B135" s="42"/>
      <c r="C135" s="57"/>
      <c r="D135" s="218">
        <f t="shared" ca="1" si="8"/>
        <v>126</v>
      </c>
      <c r="E135" s="100"/>
      <c r="F135" s="188"/>
      <c r="G135" s="57"/>
      <c r="H135" s="3"/>
      <c r="I135" s="3"/>
      <c r="J135" s="3"/>
      <c r="K135" s="3"/>
      <c r="L135" s="3"/>
      <c r="M135" s="175"/>
      <c r="N135" s="5"/>
      <c r="O135" s="2"/>
      <c r="P135" s="4"/>
      <c r="Q135" s="198"/>
      <c r="R135" s="180"/>
      <c r="S135" s="6"/>
      <c r="T135" s="5"/>
      <c r="U135" s="13"/>
      <c r="V135" s="13"/>
      <c r="W135" s="13"/>
      <c r="X135" s="13"/>
      <c r="Y135" s="14"/>
      <c r="Z135" s="14"/>
      <c r="AA135" s="14"/>
      <c r="AB135" s="13"/>
      <c r="AC135" s="13"/>
      <c r="AD135" s="13"/>
      <c r="AE135" s="13"/>
    </row>
    <row r="136" spans="1:31" ht="14.4" customHeight="1" x14ac:dyDescent="0.3">
      <c r="A136" s="151">
        <v>20020838693</v>
      </c>
      <c r="B136" s="42" t="s">
        <v>142</v>
      </c>
      <c r="C136" s="57" t="s">
        <v>256</v>
      </c>
      <c r="D136" s="218">
        <f t="shared" ca="1" si="8"/>
        <v>49</v>
      </c>
      <c r="E136" s="100">
        <v>37469</v>
      </c>
      <c r="F136" s="188">
        <f t="shared" ca="1" si="9"/>
        <v>23</v>
      </c>
      <c r="G136" s="57" t="s">
        <v>1298</v>
      </c>
      <c r="H136" s="3" t="s">
        <v>1298</v>
      </c>
      <c r="I136" s="3" t="s">
        <v>1298</v>
      </c>
      <c r="J136" s="3" t="s">
        <v>1298</v>
      </c>
      <c r="K136" s="3" t="s">
        <v>1413</v>
      </c>
      <c r="L136" s="3" t="s">
        <v>1289</v>
      </c>
      <c r="M136" s="175">
        <f t="shared" si="10"/>
        <v>1</v>
      </c>
      <c r="N136" s="5" t="s">
        <v>307</v>
      </c>
      <c r="O136" s="2" t="s">
        <v>380</v>
      </c>
      <c r="P136" s="4" t="str">
        <f>IFERROR(VLOOKUP(TRIM(CLEAN(O136)),'JOB GROUPS'!A:B,2,FALSE),"Not Found")</f>
        <v>NM5</v>
      </c>
      <c r="Q136" s="198">
        <f t="shared" ca="1" si="11"/>
        <v>5</v>
      </c>
      <c r="R136" s="180" t="s">
        <v>1211</v>
      </c>
      <c r="S136" s="6" t="s">
        <v>739</v>
      </c>
      <c r="T136" s="5" t="s">
        <v>369</v>
      </c>
      <c r="U136" s="13"/>
      <c r="V136" s="13"/>
      <c r="W136" s="13"/>
      <c r="X136" s="13"/>
      <c r="Y136" s="14"/>
      <c r="Z136" s="14"/>
      <c r="AA136" s="14"/>
      <c r="AB136" s="13"/>
      <c r="AC136" s="13"/>
      <c r="AD136" s="13"/>
      <c r="AE136" s="13"/>
    </row>
    <row r="137" spans="1:31" ht="14.4" customHeight="1" x14ac:dyDescent="0.3">
      <c r="A137" s="151">
        <v>20210646216</v>
      </c>
      <c r="B137" s="42" t="s">
        <v>143</v>
      </c>
      <c r="C137" s="57" t="s">
        <v>257</v>
      </c>
      <c r="D137" s="218">
        <f t="shared" ca="1" si="8"/>
        <v>41</v>
      </c>
      <c r="E137" s="100">
        <v>44197</v>
      </c>
      <c r="F137" s="188">
        <f t="shared" ca="1" si="9"/>
        <v>5</v>
      </c>
      <c r="G137" s="57" t="s">
        <v>1298</v>
      </c>
      <c r="H137" s="3" t="s">
        <v>1298</v>
      </c>
      <c r="I137" s="3" t="s">
        <v>1298</v>
      </c>
      <c r="J137" s="3" t="s">
        <v>1298</v>
      </c>
      <c r="K137" s="3" t="s">
        <v>1344</v>
      </c>
      <c r="L137" s="3" t="s">
        <v>1287</v>
      </c>
      <c r="M137" s="175">
        <f t="shared" si="10"/>
        <v>1</v>
      </c>
      <c r="N137" s="5" t="s">
        <v>326</v>
      </c>
      <c r="O137" s="2" t="s">
        <v>374</v>
      </c>
      <c r="P137" s="4" t="str">
        <f>IFERROR(VLOOKUP(TRIM(CLEAN(O137)),'JOB GROUPS'!A:B,2,FALSE),"Not Found")</f>
        <v>NM7</v>
      </c>
      <c r="Q137" s="198">
        <f t="shared" ca="1" si="11"/>
        <v>4</v>
      </c>
      <c r="R137" s="180" t="s">
        <v>1222</v>
      </c>
      <c r="S137" s="6" t="s">
        <v>740</v>
      </c>
      <c r="T137" s="5" t="s">
        <v>368</v>
      </c>
      <c r="U137" s="13"/>
      <c r="V137" s="13"/>
      <c r="W137" s="13"/>
      <c r="X137" s="13"/>
      <c r="Y137" s="14"/>
      <c r="Z137" s="14"/>
      <c r="AA137" s="14"/>
      <c r="AB137" s="13"/>
      <c r="AC137" s="13"/>
      <c r="AD137" s="13"/>
      <c r="AE137" s="13"/>
    </row>
    <row r="138" spans="1:31" ht="14.4" customHeight="1" x14ac:dyDescent="0.3">
      <c r="A138" s="152" t="s">
        <v>1271</v>
      </c>
      <c r="B138" s="3"/>
      <c r="C138" s="57"/>
      <c r="D138" s="218">
        <f t="shared" ca="1" si="8"/>
        <v>126</v>
      </c>
      <c r="E138" s="100"/>
      <c r="F138" s="188">
        <f t="shared" ca="1" si="9"/>
        <v>126</v>
      </c>
      <c r="G138" s="57" t="s">
        <v>1298</v>
      </c>
      <c r="H138" s="3" t="s">
        <v>1298</v>
      </c>
      <c r="I138" s="3" t="s">
        <v>1298</v>
      </c>
      <c r="J138" s="3" t="s">
        <v>1298</v>
      </c>
      <c r="K138" s="3" t="s">
        <v>1298</v>
      </c>
      <c r="L138" s="3" t="s">
        <v>1298</v>
      </c>
      <c r="M138" s="175">
        <f t="shared" si="10"/>
        <v>1</v>
      </c>
      <c r="N138" s="4"/>
      <c r="O138" s="4"/>
      <c r="P138" s="4" t="str">
        <f>IFERROR(VLOOKUP(TRIM(CLEAN(O138)),'JOB GROUPS'!A:B,2,FALSE),"Not Found")</f>
        <v>Not Found</v>
      </c>
      <c r="Q138" s="198" t="e">
        <f t="shared" ca="1" si="11"/>
        <v>#VALUE!</v>
      </c>
      <c r="R138" s="180" t="s">
        <v>1271</v>
      </c>
      <c r="S138" s="6" t="s">
        <v>659</v>
      </c>
      <c r="T138" s="5" t="s">
        <v>368</v>
      </c>
      <c r="U138" s="13"/>
      <c r="V138" s="13"/>
      <c r="W138" s="13"/>
      <c r="X138" s="13"/>
      <c r="Y138" s="14"/>
      <c r="Z138" s="14"/>
      <c r="AA138" s="14"/>
      <c r="AB138" s="13"/>
      <c r="AC138" s="13"/>
      <c r="AD138" s="13"/>
      <c r="AE138" s="13"/>
    </row>
    <row r="139" spans="1:31" ht="14.4" customHeight="1" x14ac:dyDescent="0.3">
      <c r="A139" s="152">
        <v>20060934015</v>
      </c>
      <c r="B139" s="3" t="s">
        <v>144</v>
      </c>
      <c r="C139" s="57">
        <v>27738</v>
      </c>
      <c r="D139" s="218">
        <f t="shared" ca="1" si="8"/>
        <v>50</v>
      </c>
      <c r="E139" s="100">
        <v>38720</v>
      </c>
      <c r="F139" s="188">
        <f t="shared" ca="1" si="9"/>
        <v>20</v>
      </c>
      <c r="G139" s="57" t="s">
        <v>1298</v>
      </c>
      <c r="H139" s="3" t="s">
        <v>1298</v>
      </c>
      <c r="I139" s="3" t="s">
        <v>1298</v>
      </c>
      <c r="J139" s="3" t="s">
        <v>1298</v>
      </c>
      <c r="K139" s="177" t="s">
        <v>1307</v>
      </c>
      <c r="L139" s="3" t="s">
        <v>1298</v>
      </c>
      <c r="M139" s="175">
        <f t="shared" si="10"/>
        <v>1</v>
      </c>
      <c r="N139" s="4" t="s">
        <v>344</v>
      </c>
      <c r="O139" s="4" t="s">
        <v>373</v>
      </c>
      <c r="P139" s="4" t="str">
        <f>IFERROR(VLOOKUP(TRIM(CLEAN(O139)),'JOB GROUPS'!A:B,2,FALSE),"Not Found")</f>
        <v>NM4</v>
      </c>
      <c r="Q139" s="198">
        <f t="shared" ca="1" si="11"/>
        <v>1</v>
      </c>
      <c r="R139" s="180" t="s">
        <v>1199</v>
      </c>
      <c r="S139" s="6" t="s">
        <v>741</v>
      </c>
      <c r="T139" s="5"/>
      <c r="U139" s="13"/>
      <c r="V139" s="13"/>
      <c r="W139" s="13"/>
      <c r="X139" s="13"/>
      <c r="Y139" s="14"/>
      <c r="Z139" s="14"/>
      <c r="AA139" s="14"/>
      <c r="AB139" s="13"/>
      <c r="AC139" s="13"/>
      <c r="AD139" s="13"/>
      <c r="AE139" s="13"/>
    </row>
    <row r="140" spans="1:31" ht="14.4" customHeight="1" x14ac:dyDescent="0.3">
      <c r="A140" s="152">
        <v>20220598059</v>
      </c>
      <c r="B140" s="3" t="s">
        <v>145</v>
      </c>
      <c r="C140" s="57" t="s">
        <v>258</v>
      </c>
      <c r="D140" s="218">
        <f t="shared" ca="1" si="8"/>
        <v>37</v>
      </c>
      <c r="E140" s="100">
        <v>44563</v>
      </c>
      <c r="F140" s="188">
        <f t="shared" ca="1" si="9"/>
        <v>4</v>
      </c>
      <c r="G140" s="57">
        <v>42156</v>
      </c>
      <c r="H140" s="3" t="s">
        <v>1301</v>
      </c>
      <c r="I140" s="3" t="s">
        <v>1298</v>
      </c>
      <c r="J140" s="3" t="s">
        <v>1305</v>
      </c>
      <c r="K140" s="3" t="s">
        <v>1298</v>
      </c>
      <c r="L140" s="3" t="s">
        <v>1298</v>
      </c>
      <c r="M140" s="175">
        <f t="shared" si="10"/>
        <v>1</v>
      </c>
      <c r="N140" s="4" t="s">
        <v>345</v>
      </c>
      <c r="O140" s="4" t="s">
        <v>375</v>
      </c>
      <c r="P140" s="4" t="str">
        <f>IFERROR(VLOOKUP(TRIM(CLEAN(O140)),'JOB GROUPS'!A:B,2,FALSE),"Not Found")</f>
        <v>NM8</v>
      </c>
      <c r="Q140" s="198">
        <f t="shared" ca="1" si="11"/>
        <v>4</v>
      </c>
      <c r="R140" s="180" t="s">
        <v>1222</v>
      </c>
      <c r="S140" s="6" t="s">
        <v>742</v>
      </c>
      <c r="T140" s="5" t="s">
        <v>369</v>
      </c>
      <c r="U140" s="13"/>
      <c r="V140" s="13"/>
      <c r="W140" s="13"/>
      <c r="X140" s="13"/>
      <c r="Y140" s="14"/>
      <c r="Z140" s="14"/>
      <c r="AA140" s="14"/>
      <c r="AB140" s="13"/>
      <c r="AC140" s="13"/>
      <c r="AD140" s="13"/>
      <c r="AE140" s="13"/>
    </row>
    <row r="141" spans="1:31" ht="14.4" customHeight="1" x14ac:dyDescent="0.3">
      <c r="A141" s="152">
        <v>20250067290</v>
      </c>
      <c r="B141" s="3" t="s">
        <v>146</v>
      </c>
      <c r="C141" s="57" t="s">
        <v>259</v>
      </c>
      <c r="D141" s="218">
        <f t="shared" ca="1" si="8"/>
        <v>34</v>
      </c>
      <c r="E141" s="100">
        <v>45661</v>
      </c>
      <c r="F141" s="188">
        <f t="shared" ca="1" si="9"/>
        <v>1</v>
      </c>
      <c r="G141" s="57">
        <v>45177</v>
      </c>
      <c r="H141" s="3" t="s">
        <v>1313</v>
      </c>
      <c r="I141" s="3" t="s">
        <v>1298</v>
      </c>
      <c r="J141" s="3" t="s">
        <v>1304</v>
      </c>
      <c r="K141" s="3" t="s">
        <v>1361</v>
      </c>
      <c r="L141" s="3" t="s">
        <v>1287</v>
      </c>
      <c r="M141" s="175">
        <f t="shared" si="10"/>
        <v>1</v>
      </c>
      <c r="N141" s="4" t="s">
        <v>346</v>
      </c>
      <c r="O141" s="4" t="s">
        <v>375</v>
      </c>
      <c r="P141" s="4" t="str">
        <f>IFERROR(VLOOKUP(TRIM(CLEAN(O141)),'JOB GROUPS'!A:B,2,FALSE),"Not Found")</f>
        <v>NM8</v>
      </c>
      <c r="Q141" s="198">
        <f t="shared" ca="1" si="11"/>
        <v>1</v>
      </c>
      <c r="R141" s="180" t="s">
        <v>1255</v>
      </c>
      <c r="S141" s="6" t="s">
        <v>743</v>
      </c>
      <c r="T141" s="5" t="s">
        <v>368</v>
      </c>
      <c r="U141" s="13"/>
      <c r="V141" s="13"/>
      <c r="W141" s="13"/>
      <c r="X141" s="13"/>
      <c r="Y141" s="14"/>
      <c r="Z141" s="14"/>
      <c r="AA141" s="14"/>
      <c r="AB141" s="13"/>
      <c r="AC141" s="13"/>
      <c r="AD141" s="13"/>
      <c r="AE141" s="13"/>
    </row>
    <row r="142" spans="1:31" ht="14.4" customHeight="1" x14ac:dyDescent="0.3">
      <c r="A142" s="152">
        <v>20077018317</v>
      </c>
      <c r="B142" s="3" t="s">
        <v>147</v>
      </c>
      <c r="C142" s="57" t="s">
        <v>260</v>
      </c>
      <c r="D142" s="218">
        <f t="shared" ca="1" si="8"/>
        <v>45</v>
      </c>
      <c r="E142" s="100">
        <v>39083</v>
      </c>
      <c r="F142" s="188">
        <f t="shared" ca="1" si="9"/>
        <v>19</v>
      </c>
      <c r="G142" s="57" t="s">
        <v>1298</v>
      </c>
      <c r="H142" s="3" t="s">
        <v>1298</v>
      </c>
      <c r="I142" s="3" t="s">
        <v>1298</v>
      </c>
      <c r="J142" s="3" t="s">
        <v>1298</v>
      </c>
      <c r="K142" s="165" t="s">
        <v>1414</v>
      </c>
      <c r="L142" s="3" t="s">
        <v>1277</v>
      </c>
      <c r="M142" s="175">
        <f t="shared" si="10"/>
        <v>1</v>
      </c>
      <c r="N142" s="4" t="s">
        <v>324</v>
      </c>
      <c r="O142" s="4" t="s">
        <v>377</v>
      </c>
      <c r="P142" s="4" t="str">
        <f>IFERROR(VLOOKUP(TRIM(CLEAN(O142)),'JOB GROUPS'!A:B,2,FALSE),"Not Found")</f>
        <v>NM10</v>
      </c>
      <c r="Q142" s="198">
        <f t="shared" ca="1" si="11"/>
        <v>4</v>
      </c>
      <c r="R142" s="180" t="s">
        <v>1222</v>
      </c>
      <c r="S142" s="6" t="s">
        <v>744</v>
      </c>
      <c r="T142" s="5" t="s">
        <v>368</v>
      </c>
      <c r="U142" s="13"/>
      <c r="V142" s="13"/>
      <c r="W142" s="13"/>
      <c r="X142" s="13"/>
      <c r="Y142" s="14"/>
      <c r="Z142" s="14"/>
      <c r="AA142" s="14"/>
      <c r="AB142" s="13"/>
      <c r="AC142" s="13"/>
      <c r="AD142" s="13"/>
      <c r="AE142" s="13"/>
    </row>
    <row r="143" spans="1:31" ht="14.4" customHeight="1" x14ac:dyDescent="0.3">
      <c r="A143" s="152">
        <v>20178600948</v>
      </c>
      <c r="B143" s="3" t="s">
        <v>148</v>
      </c>
      <c r="C143" s="57" t="s">
        <v>261</v>
      </c>
      <c r="D143" s="218">
        <f t="shared" ca="1" si="8"/>
        <v>49</v>
      </c>
      <c r="E143" s="100">
        <v>42742</v>
      </c>
      <c r="F143" s="188">
        <f t="shared" ca="1" si="9"/>
        <v>9</v>
      </c>
      <c r="G143" s="57" t="s">
        <v>1298</v>
      </c>
      <c r="H143" s="3" t="s">
        <v>1298</v>
      </c>
      <c r="I143" s="3" t="s">
        <v>1298</v>
      </c>
      <c r="J143" s="3" t="s">
        <v>1298</v>
      </c>
      <c r="K143" s="3" t="s">
        <v>1383</v>
      </c>
      <c r="L143" s="3" t="s">
        <v>1289</v>
      </c>
      <c r="M143" s="175">
        <f t="shared" si="10"/>
        <v>1</v>
      </c>
      <c r="N143" s="4" t="s">
        <v>347</v>
      </c>
      <c r="O143" s="4" t="s">
        <v>377</v>
      </c>
      <c r="P143" s="4" t="str">
        <f>IFERROR(VLOOKUP(TRIM(CLEAN(O143)),'JOB GROUPS'!A:B,2,FALSE),"Not Found")</f>
        <v>NM10</v>
      </c>
      <c r="Q143" s="198">
        <f t="shared" ca="1" si="11"/>
        <v>8</v>
      </c>
      <c r="R143" s="180" t="s">
        <v>1249</v>
      </c>
      <c r="S143" s="6" t="s">
        <v>745</v>
      </c>
      <c r="T143" s="5" t="s">
        <v>368</v>
      </c>
      <c r="U143" s="13"/>
      <c r="V143" s="13"/>
      <c r="W143" s="13"/>
      <c r="X143" s="13"/>
      <c r="Y143" s="14"/>
      <c r="Z143" s="14"/>
      <c r="AA143" s="14"/>
      <c r="AB143" s="13"/>
      <c r="AC143" s="13"/>
      <c r="AD143" s="13"/>
      <c r="AE143" s="13"/>
    </row>
    <row r="144" spans="1:31" ht="14.4" customHeight="1" x14ac:dyDescent="0.3">
      <c r="A144" s="152">
        <v>20250089153</v>
      </c>
      <c r="B144" s="3" t="s">
        <v>149</v>
      </c>
      <c r="C144" s="57">
        <v>34462</v>
      </c>
      <c r="D144" s="218">
        <f t="shared" ca="1" si="8"/>
        <v>32</v>
      </c>
      <c r="E144" s="100">
        <v>45661</v>
      </c>
      <c r="F144" s="188">
        <f t="shared" ca="1" si="9"/>
        <v>1</v>
      </c>
      <c r="G144" s="57">
        <v>44253</v>
      </c>
      <c r="H144" s="3" t="s">
        <v>1313</v>
      </c>
      <c r="I144" s="3" t="s">
        <v>1298</v>
      </c>
      <c r="J144" s="3" t="s">
        <v>1304</v>
      </c>
      <c r="K144" s="3" t="s">
        <v>1383</v>
      </c>
      <c r="L144" s="3" t="s">
        <v>1289</v>
      </c>
      <c r="M144" s="175">
        <f t="shared" si="10"/>
        <v>1</v>
      </c>
      <c r="N144" s="4" t="s">
        <v>348</v>
      </c>
      <c r="O144" s="4" t="s">
        <v>377</v>
      </c>
      <c r="P144" s="4" t="str">
        <f>IFERROR(VLOOKUP(TRIM(CLEAN(O144)),'JOB GROUPS'!A:B,2,FALSE),"Not Found")</f>
        <v>NM10</v>
      </c>
      <c r="Q144" s="198">
        <f t="shared" ca="1" si="11"/>
        <v>1</v>
      </c>
      <c r="R144" s="180" t="s">
        <v>1255</v>
      </c>
      <c r="S144" s="6" t="s">
        <v>746</v>
      </c>
      <c r="T144" s="5" t="s">
        <v>369</v>
      </c>
      <c r="U144" s="13"/>
      <c r="V144" s="13"/>
      <c r="W144" s="13"/>
      <c r="X144" s="13"/>
      <c r="Y144" s="14"/>
      <c r="Z144" s="14"/>
      <c r="AA144" s="14"/>
      <c r="AB144" s="13"/>
      <c r="AC144" s="13"/>
      <c r="AD144" s="13"/>
      <c r="AE144" s="13"/>
    </row>
    <row r="145" spans="1:57" ht="14.4" customHeight="1" x14ac:dyDescent="0.3">
      <c r="A145" s="152">
        <v>19930981023</v>
      </c>
      <c r="B145" s="3" t="s">
        <v>150</v>
      </c>
      <c r="C145" s="57">
        <v>26391</v>
      </c>
      <c r="D145" s="218">
        <f t="shared" ca="1" si="8"/>
        <v>54</v>
      </c>
      <c r="E145" s="100">
        <v>33976</v>
      </c>
      <c r="F145" s="188">
        <f t="shared" ca="1" si="9"/>
        <v>33</v>
      </c>
      <c r="G145" s="57">
        <v>33632</v>
      </c>
      <c r="H145" s="3" t="s">
        <v>1313</v>
      </c>
      <c r="I145" s="3" t="s">
        <v>1298</v>
      </c>
      <c r="J145" s="3" t="s">
        <v>1304</v>
      </c>
      <c r="K145" s="3" t="s">
        <v>1299</v>
      </c>
      <c r="L145" s="3" t="s">
        <v>1274</v>
      </c>
      <c r="M145" s="175">
        <f t="shared" si="10"/>
        <v>1</v>
      </c>
      <c r="N145" s="4" t="s">
        <v>318</v>
      </c>
      <c r="O145" s="4" t="s">
        <v>379</v>
      </c>
      <c r="P145" s="4" t="str">
        <f>IFERROR(VLOOKUP(TRIM(CLEAN(O145)),'JOB GROUPS'!A:B,2,FALSE),"Not Found")</f>
        <v>NM12</v>
      </c>
      <c r="Q145" s="198">
        <f t="shared" ca="1" si="11"/>
        <v>14</v>
      </c>
      <c r="R145" s="180" t="s">
        <v>1201</v>
      </c>
      <c r="S145" s="6" t="s">
        <v>657</v>
      </c>
      <c r="T145" s="5" t="s">
        <v>368</v>
      </c>
      <c r="U145" s="13"/>
      <c r="V145" s="13"/>
      <c r="W145" s="13"/>
      <c r="X145" s="13"/>
      <c r="Y145" s="14"/>
      <c r="Z145" s="14"/>
      <c r="AA145" s="14"/>
      <c r="AB145" s="13"/>
      <c r="AC145" s="13"/>
      <c r="AD145" s="13"/>
      <c r="AE145" s="13"/>
    </row>
    <row r="146" spans="1:57" ht="14.4" customHeight="1" x14ac:dyDescent="0.3">
      <c r="A146" s="151">
        <v>20089223978</v>
      </c>
      <c r="B146" s="42" t="s">
        <v>151</v>
      </c>
      <c r="C146" s="57" t="s">
        <v>262</v>
      </c>
      <c r="D146" s="218">
        <f t="shared" ca="1" si="8"/>
        <v>49</v>
      </c>
      <c r="E146" s="100">
        <v>39450</v>
      </c>
      <c r="F146" s="188">
        <f t="shared" ca="1" si="9"/>
        <v>18</v>
      </c>
      <c r="G146" s="57">
        <v>37561</v>
      </c>
      <c r="H146" s="3" t="s">
        <v>1313</v>
      </c>
      <c r="I146" s="3" t="s">
        <v>1298</v>
      </c>
      <c r="J146" s="3" t="s">
        <v>1304</v>
      </c>
      <c r="K146" s="3" t="s">
        <v>1336</v>
      </c>
      <c r="L146" s="3" t="s">
        <v>1277</v>
      </c>
      <c r="M146" s="175">
        <f t="shared" si="10"/>
        <v>1</v>
      </c>
      <c r="N146" s="4" t="s">
        <v>333</v>
      </c>
      <c r="O146" s="4" t="s">
        <v>379</v>
      </c>
      <c r="P146" s="4" t="str">
        <f>IFERROR(VLOOKUP(TRIM(CLEAN(O146)),'JOB GROUPS'!A:B,2,FALSE),"Not Found")</f>
        <v>NM12</v>
      </c>
      <c r="Q146" s="198">
        <f t="shared" ca="1" si="11"/>
        <v>13</v>
      </c>
      <c r="R146" s="180" t="s">
        <v>1227</v>
      </c>
      <c r="S146" s="6" t="s">
        <v>747</v>
      </c>
      <c r="T146" s="5" t="s">
        <v>368</v>
      </c>
      <c r="U146" s="13"/>
      <c r="V146" s="13"/>
      <c r="W146" s="13"/>
      <c r="X146" s="13"/>
      <c r="Y146" s="14"/>
      <c r="Z146" s="14"/>
      <c r="AA146" s="14"/>
      <c r="AB146" s="13"/>
      <c r="AC146" s="13"/>
      <c r="AD146" s="13"/>
      <c r="AE146" s="13"/>
    </row>
    <row r="147" spans="1:57" ht="14.4" customHeight="1" x14ac:dyDescent="0.3">
      <c r="A147" s="151">
        <v>20240300905</v>
      </c>
      <c r="B147" s="42" t="s">
        <v>152</v>
      </c>
      <c r="C147" s="57" t="s">
        <v>263</v>
      </c>
      <c r="D147" s="218">
        <f t="shared" ca="1" si="8"/>
        <v>37</v>
      </c>
      <c r="E147" s="100">
        <v>45301</v>
      </c>
      <c r="F147" s="188">
        <f t="shared" ca="1" si="9"/>
        <v>2</v>
      </c>
      <c r="G147" s="57">
        <v>45566</v>
      </c>
      <c r="H147" s="3" t="s">
        <v>1301</v>
      </c>
      <c r="I147" s="3" t="s">
        <v>1360</v>
      </c>
      <c r="J147" s="3" t="s">
        <v>1304</v>
      </c>
      <c r="K147" s="3" t="s">
        <v>1298</v>
      </c>
      <c r="L147" s="3" t="s">
        <v>1298</v>
      </c>
      <c r="M147" s="175">
        <f t="shared" si="10"/>
        <v>1</v>
      </c>
      <c r="N147" s="5" t="s">
        <v>319</v>
      </c>
      <c r="O147" s="2" t="s">
        <v>379</v>
      </c>
      <c r="P147" s="4" t="str">
        <f>IFERROR(VLOOKUP(TRIM(CLEAN(O147)),'JOB GROUPS'!A:B,2,FALSE),"Not Found")</f>
        <v>NM12</v>
      </c>
      <c r="Q147" s="198">
        <f t="shared" ca="1" si="11"/>
        <v>1</v>
      </c>
      <c r="R147" s="180" t="s">
        <v>1265</v>
      </c>
      <c r="S147" s="6" t="s">
        <v>748</v>
      </c>
      <c r="T147" s="5" t="s">
        <v>369</v>
      </c>
      <c r="U147" s="13"/>
      <c r="V147" s="13"/>
      <c r="W147" s="13"/>
      <c r="X147" s="13"/>
      <c r="Y147" s="14"/>
      <c r="Z147" s="14"/>
      <c r="AA147" s="14"/>
      <c r="AB147" s="13"/>
      <c r="AC147" s="13"/>
      <c r="AD147" s="13"/>
      <c r="AE147" s="13"/>
    </row>
    <row r="148" spans="1:57" s="11" customFormat="1" ht="14.4" customHeight="1" x14ac:dyDescent="0.3">
      <c r="A148" s="151">
        <v>20240300947</v>
      </c>
      <c r="B148" s="42" t="s">
        <v>153</v>
      </c>
      <c r="C148" s="57">
        <v>36441</v>
      </c>
      <c r="D148" s="218">
        <f t="shared" ca="1" si="8"/>
        <v>26</v>
      </c>
      <c r="E148" s="100">
        <v>45299</v>
      </c>
      <c r="F148" s="188">
        <f t="shared" ca="1" si="9"/>
        <v>2</v>
      </c>
      <c r="G148" s="57" t="s">
        <v>1298</v>
      </c>
      <c r="H148" s="3" t="s">
        <v>1301</v>
      </c>
      <c r="I148" s="3" t="s">
        <v>1298</v>
      </c>
      <c r="J148" s="3" t="s">
        <v>1304</v>
      </c>
      <c r="K148" s="3" t="s">
        <v>1298</v>
      </c>
      <c r="L148" s="3" t="s">
        <v>1298</v>
      </c>
      <c r="M148" s="175">
        <f t="shared" si="10"/>
        <v>1</v>
      </c>
      <c r="N148" s="5" t="s">
        <v>319</v>
      </c>
      <c r="O148" s="2" t="s">
        <v>379</v>
      </c>
      <c r="P148" s="4" t="str">
        <f>IFERROR(VLOOKUP(TRIM(CLEAN(O148)),'JOB GROUPS'!A:B,2,FALSE),"Not Found")</f>
        <v>NM12</v>
      </c>
      <c r="Q148" s="198">
        <f t="shared" ca="1" si="11"/>
        <v>1</v>
      </c>
      <c r="R148" s="180" t="s">
        <v>1266</v>
      </c>
      <c r="S148" s="6" t="s">
        <v>749</v>
      </c>
      <c r="T148" s="5" t="s">
        <v>369</v>
      </c>
      <c r="U148" s="13"/>
      <c r="V148" s="13"/>
      <c r="W148" s="13"/>
      <c r="X148" s="13"/>
      <c r="Y148" s="14"/>
      <c r="Z148" s="14"/>
      <c r="AA148" s="14"/>
      <c r="AB148" s="13"/>
      <c r="AC148" s="13"/>
      <c r="AD148" s="13"/>
      <c r="AE148" s="13"/>
      <c r="AF148" s="1"/>
      <c r="AG148" s="1"/>
      <c r="AH148" s="1"/>
      <c r="AI148" s="1"/>
      <c r="AJ148" s="1"/>
      <c r="AK148" s="1"/>
      <c r="AL148" s="1"/>
      <c r="AM148" s="1"/>
      <c r="AN148" s="19"/>
      <c r="AO148" s="19"/>
      <c r="AP148" s="20"/>
      <c r="AQ148" s="20"/>
      <c r="AR148" s="20"/>
      <c r="AS148" s="20"/>
      <c r="AT148" s="20"/>
      <c r="AU148" s="20"/>
      <c r="AV148" s="20"/>
      <c r="AW148" s="20"/>
      <c r="AX148" s="20"/>
      <c r="AY148" s="20"/>
      <c r="AZ148" s="20"/>
      <c r="BA148" s="20"/>
      <c r="BB148" s="20"/>
      <c r="BC148" s="20"/>
      <c r="BD148" s="20"/>
      <c r="BE148" s="20"/>
    </row>
    <row r="149" spans="1:57" ht="14.4" customHeight="1" x14ac:dyDescent="0.3">
      <c r="A149" s="151" t="s">
        <v>1271</v>
      </c>
      <c r="B149" s="42"/>
      <c r="C149" s="57"/>
      <c r="D149" s="218">
        <f t="shared" ca="1" si="8"/>
        <v>126</v>
      </c>
      <c r="E149" s="100"/>
      <c r="F149" s="188">
        <f t="shared" ca="1" si="9"/>
        <v>126</v>
      </c>
      <c r="G149" s="57" t="s">
        <v>1298</v>
      </c>
      <c r="H149" s="3" t="s">
        <v>1298</v>
      </c>
      <c r="I149" s="3" t="s">
        <v>1298</v>
      </c>
      <c r="J149" s="3" t="s">
        <v>1298</v>
      </c>
      <c r="K149" s="3" t="s">
        <v>1298</v>
      </c>
      <c r="L149" s="3" t="s">
        <v>1298</v>
      </c>
      <c r="M149" s="175">
        <f t="shared" si="10"/>
        <v>1</v>
      </c>
      <c r="N149" s="5"/>
      <c r="O149" s="2"/>
      <c r="P149" s="4" t="str">
        <f>IFERROR(VLOOKUP(TRIM(CLEAN(O149)),'JOB GROUPS'!A:B,2,FALSE),"Not Found")</f>
        <v>Not Found</v>
      </c>
      <c r="Q149" s="198" t="e">
        <f t="shared" ca="1" si="11"/>
        <v>#VALUE!</v>
      </c>
      <c r="R149" s="180" t="s">
        <v>1271</v>
      </c>
      <c r="S149" s="6" t="s">
        <v>659</v>
      </c>
      <c r="T149" s="5" t="s">
        <v>369</v>
      </c>
      <c r="U149" s="13"/>
      <c r="V149" s="13"/>
      <c r="W149" s="13"/>
      <c r="X149" s="13"/>
      <c r="Y149" s="14"/>
      <c r="Z149" s="14"/>
      <c r="AA149" s="14"/>
      <c r="AB149" s="13"/>
      <c r="AC149" s="13"/>
      <c r="AD149" s="13"/>
      <c r="AE149" s="13"/>
    </row>
    <row r="150" spans="1:57" ht="14.4" customHeight="1" x14ac:dyDescent="0.3">
      <c r="A150" s="151">
        <v>20106534561</v>
      </c>
      <c r="B150" s="42" t="s">
        <v>154</v>
      </c>
      <c r="C150" s="57" t="s">
        <v>264</v>
      </c>
      <c r="D150" s="218">
        <f t="shared" ca="1" si="8"/>
        <v>50</v>
      </c>
      <c r="E150" s="100">
        <v>40182</v>
      </c>
      <c r="F150" s="188">
        <f t="shared" ca="1" si="9"/>
        <v>16</v>
      </c>
      <c r="G150" s="57">
        <v>38986</v>
      </c>
      <c r="H150" s="3" t="s">
        <v>1301</v>
      </c>
      <c r="I150" s="3" t="s">
        <v>1298</v>
      </c>
      <c r="J150" s="3" t="s">
        <v>1304</v>
      </c>
      <c r="K150" s="3" t="s">
        <v>1309</v>
      </c>
      <c r="L150" s="3" t="s">
        <v>1286</v>
      </c>
      <c r="M150" s="175">
        <f t="shared" si="10"/>
        <v>1</v>
      </c>
      <c r="N150" s="5" t="s">
        <v>349</v>
      </c>
      <c r="O150" s="2" t="s">
        <v>382</v>
      </c>
      <c r="P150" s="4" t="str">
        <f>IFERROR(VLOOKUP(TRIM(CLEAN(O150)),'JOB GROUPS'!A:B,2,FALSE),"Not Found")</f>
        <v>NM3</v>
      </c>
      <c r="Q150" s="198">
        <f t="shared" ca="1" si="11"/>
        <v>9</v>
      </c>
      <c r="R150" s="205">
        <v>42554</v>
      </c>
      <c r="S150" s="6" t="s">
        <v>750</v>
      </c>
      <c r="T150" s="5" t="s">
        <v>370</v>
      </c>
      <c r="U150" s="13"/>
      <c r="V150" s="13"/>
      <c r="W150" s="13"/>
      <c r="X150" s="13"/>
      <c r="Y150" s="14"/>
      <c r="Z150" s="14"/>
      <c r="AA150" s="14"/>
      <c r="AB150" s="13"/>
      <c r="AC150" s="13"/>
      <c r="AD150" s="13"/>
      <c r="AE150" s="13"/>
    </row>
    <row r="151" spans="1:57" ht="14.4" customHeight="1" x14ac:dyDescent="0.3">
      <c r="A151" s="151">
        <v>20060933865</v>
      </c>
      <c r="B151" s="42" t="s">
        <v>155</v>
      </c>
      <c r="C151" s="57" t="s">
        <v>265</v>
      </c>
      <c r="D151" s="218">
        <f t="shared" ca="1" si="8"/>
        <v>58</v>
      </c>
      <c r="E151" s="100">
        <v>38725</v>
      </c>
      <c r="F151" s="188">
        <f t="shared" ca="1" si="9"/>
        <v>20</v>
      </c>
      <c r="G151" s="57" t="s">
        <v>1298</v>
      </c>
      <c r="H151" s="3" t="s">
        <v>1298</v>
      </c>
      <c r="I151" s="3" t="s">
        <v>1298</v>
      </c>
      <c r="J151" s="3" t="s">
        <v>1298</v>
      </c>
      <c r="K151" s="3" t="s">
        <v>1310</v>
      </c>
      <c r="L151" s="3" t="s">
        <v>1287</v>
      </c>
      <c r="M151" s="175">
        <f t="shared" si="10"/>
        <v>1</v>
      </c>
      <c r="N151" s="5" t="s">
        <v>323</v>
      </c>
      <c r="O151" s="2" t="s">
        <v>373</v>
      </c>
      <c r="P151" s="4" t="str">
        <f>IFERROR(VLOOKUP(TRIM(CLEAN(O151)),'JOB GROUPS'!A:B,2,FALSE),"Not Found")</f>
        <v>NM4</v>
      </c>
      <c r="Q151" s="198">
        <f t="shared" ca="1" si="11"/>
        <v>9</v>
      </c>
      <c r="R151" s="180" t="s">
        <v>1216</v>
      </c>
      <c r="S151" s="6" t="s">
        <v>751</v>
      </c>
      <c r="T151" s="5" t="s">
        <v>370</v>
      </c>
      <c r="U151" s="13"/>
      <c r="V151" s="13"/>
      <c r="W151" s="13"/>
      <c r="X151" s="13"/>
      <c r="Y151" s="14"/>
      <c r="Z151" s="14"/>
      <c r="AA151" s="14"/>
      <c r="AB151" s="13"/>
      <c r="AC151" s="13"/>
      <c r="AD151" s="13"/>
      <c r="AE151" s="13"/>
    </row>
    <row r="152" spans="1:57" ht="14.4" customHeight="1" x14ac:dyDescent="0.3">
      <c r="A152" s="151">
        <v>20178600794</v>
      </c>
      <c r="B152" s="42" t="s">
        <v>156</v>
      </c>
      <c r="C152" s="57">
        <v>31082</v>
      </c>
      <c r="D152" s="218">
        <f t="shared" ca="1" si="8"/>
        <v>41</v>
      </c>
      <c r="E152" s="100">
        <v>42837</v>
      </c>
      <c r="F152" s="188">
        <f t="shared" ca="1" si="9"/>
        <v>9</v>
      </c>
      <c r="G152" s="57" t="s">
        <v>1298</v>
      </c>
      <c r="H152" s="3" t="s">
        <v>1298</v>
      </c>
      <c r="I152" s="3" t="s">
        <v>1298</v>
      </c>
      <c r="J152" s="3" t="s">
        <v>1298</v>
      </c>
      <c r="K152" s="3" t="s">
        <v>1386</v>
      </c>
      <c r="L152" s="3" t="s">
        <v>1387</v>
      </c>
      <c r="M152" s="175">
        <f t="shared" si="10"/>
        <v>1</v>
      </c>
      <c r="N152" s="5" t="s">
        <v>307</v>
      </c>
      <c r="O152" s="2" t="s">
        <v>380</v>
      </c>
      <c r="P152" s="4" t="str">
        <f>IFERROR(VLOOKUP(TRIM(CLEAN(O152)),'JOB GROUPS'!A:B,2,FALSE),"Not Found")</f>
        <v>NM5</v>
      </c>
      <c r="Q152" s="198">
        <f t="shared" ca="1" si="11"/>
        <v>8</v>
      </c>
      <c r="R152" s="180" t="s">
        <v>1247</v>
      </c>
      <c r="S152" s="6" t="s">
        <v>752</v>
      </c>
      <c r="T152" s="5"/>
      <c r="U152" s="13"/>
      <c r="V152" s="13"/>
      <c r="W152" s="13"/>
      <c r="X152" s="13"/>
      <c r="Y152" s="14"/>
      <c r="Z152" s="14"/>
      <c r="AA152" s="14"/>
      <c r="AB152" s="13"/>
      <c r="AC152" s="13"/>
      <c r="AD152" s="13"/>
      <c r="AE152" s="13"/>
    </row>
    <row r="153" spans="1:57" ht="14.4" customHeight="1" x14ac:dyDescent="0.3">
      <c r="A153" s="154">
        <v>20178601009</v>
      </c>
      <c r="B153" s="43" t="s">
        <v>157</v>
      </c>
      <c r="C153" s="59" t="s">
        <v>266</v>
      </c>
      <c r="D153" s="218">
        <f t="shared" ca="1" si="8"/>
        <v>41</v>
      </c>
      <c r="E153" s="102">
        <v>42740</v>
      </c>
      <c r="F153" s="188">
        <f t="shared" ca="1" si="9"/>
        <v>9</v>
      </c>
      <c r="G153" s="59">
        <v>42248</v>
      </c>
      <c r="H153" s="22" t="s">
        <v>1301</v>
      </c>
      <c r="I153" s="22" t="s">
        <v>1298</v>
      </c>
      <c r="J153" s="22" t="s">
        <v>1305</v>
      </c>
      <c r="K153" s="22" t="s">
        <v>1311</v>
      </c>
      <c r="L153" s="22" t="s">
        <v>1298</v>
      </c>
      <c r="M153" s="175">
        <f t="shared" si="10"/>
        <v>1</v>
      </c>
      <c r="N153" s="23" t="s">
        <v>307</v>
      </c>
      <c r="O153" s="21" t="s">
        <v>380</v>
      </c>
      <c r="P153" s="4" t="str">
        <f>IFERROR(VLOOKUP(TRIM(CLEAN(O153)),'JOB GROUPS'!A:B,2,FALSE),"Not Found")</f>
        <v>NM5</v>
      </c>
      <c r="Q153" s="198">
        <f t="shared" ca="1" si="11"/>
        <v>2</v>
      </c>
      <c r="R153" s="180" t="s">
        <v>1226</v>
      </c>
      <c r="S153" s="24" t="s">
        <v>753</v>
      </c>
      <c r="T153" s="23" t="s">
        <v>368</v>
      </c>
      <c r="U153" s="54"/>
      <c r="V153" s="54"/>
      <c r="W153" s="54"/>
      <c r="X153" s="54"/>
      <c r="Y153" s="46"/>
      <c r="Z153" s="46"/>
      <c r="AA153" s="46"/>
      <c r="AB153" s="54"/>
      <c r="AC153" s="54"/>
      <c r="AD153" s="54"/>
      <c r="AE153" s="54"/>
    </row>
    <row r="154" spans="1:57" ht="14.4" customHeight="1" x14ac:dyDescent="0.3">
      <c r="A154" s="151">
        <v>20220599013</v>
      </c>
      <c r="B154" s="42" t="s">
        <v>158</v>
      </c>
      <c r="C154" s="57" t="s">
        <v>267</v>
      </c>
      <c r="D154" s="218">
        <f t="shared" ca="1" si="8"/>
        <v>38</v>
      </c>
      <c r="E154" s="100">
        <v>44562</v>
      </c>
      <c r="F154" s="188">
        <f t="shared" ca="1" si="9"/>
        <v>4</v>
      </c>
      <c r="G154" s="57" t="s">
        <v>1298</v>
      </c>
      <c r="H154" s="3" t="s">
        <v>1298</v>
      </c>
      <c r="I154" s="3" t="s">
        <v>1298</v>
      </c>
      <c r="J154" s="3" t="s">
        <v>1298</v>
      </c>
      <c r="K154" s="3" t="s">
        <v>1386</v>
      </c>
      <c r="L154" s="3" t="s">
        <v>1387</v>
      </c>
      <c r="M154" s="175">
        <f t="shared" si="10"/>
        <v>1</v>
      </c>
      <c r="N154" s="2" t="s">
        <v>350</v>
      </c>
      <c r="O154" s="2" t="s">
        <v>380</v>
      </c>
      <c r="P154" s="4" t="str">
        <f>IFERROR(VLOOKUP(TRIM(CLEAN(O154)),'JOB GROUPS'!A:B,2,FALSE),"Not Found")</f>
        <v>NM5</v>
      </c>
      <c r="Q154" s="198">
        <f t="shared" ca="1" si="11"/>
        <v>4</v>
      </c>
      <c r="R154" s="180" t="s">
        <v>1202</v>
      </c>
      <c r="S154" s="6" t="s">
        <v>754</v>
      </c>
      <c r="T154" s="2" t="s">
        <v>369</v>
      </c>
      <c r="U154" s="13"/>
      <c r="V154" s="13"/>
      <c r="W154" s="13"/>
      <c r="X154" s="13"/>
      <c r="Y154" s="12"/>
      <c r="Z154" s="12"/>
      <c r="AA154" s="12"/>
      <c r="AB154" s="13"/>
      <c r="AC154" s="13"/>
      <c r="AD154" s="13"/>
      <c r="AE154" s="13"/>
    </row>
    <row r="155" spans="1:57" ht="14.4" customHeight="1" x14ac:dyDescent="0.3">
      <c r="A155" s="151">
        <v>20060933695</v>
      </c>
      <c r="B155" s="42" t="s">
        <v>159</v>
      </c>
      <c r="C155" s="57" t="s">
        <v>268</v>
      </c>
      <c r="D155" s="218">
        <f t="shared" ca="1" si="8"/>
        <v>45</v>
      </c>
      <c r="E155" s="100">
        <v>38758</v>
      </c>
      <c r="F155" s="188">
        <f t="shared" ca="1" si="9"/>
        <v>20</v>
      </c>
      <c r="G155" s="57">
        <v>38622</v>
      </c>
      <c r="H155" s="3" t="s">
        <v>1301</v>
      </c>
      <c r="I155" s="3" t="s">
        <v>1298</v>
      </c>
      <c r="J155" s="3" t="s">
        <v>1305</v>
      </c>
      <c r="K155" s="3" t="s">
        <v>1321</v>
      </c>
      <c r="L155" s="3" t="s">
        <v>1289</v>
      </c>
      <c r="M155" s="175">
        <f t="shared" si="10"/>
        <v>1</v>
      </c>
      <c r="N155" s="4" t="s">
        <v>334</v>
      </c>
      <c r="O155" s="4" t="s">
        <v>372</v>
      </c>
      <c r="P155" s="4" t="str">
        <f>IFERROR(VLOOKUP(TRIM(CLEAN(O155)),'JOB GROUPS'!A:B,2,FALSE),"Not Found")</f>
        <v>NM6</v>
      </c>
      <c r="Q155" s="198">
        <f t="shared" ca="1" si="11"/>
        <v>9</v>
      </c>
      <c r="R155" s="180" t="s">
        <v>1214</v>
      </c>
      <c r="S155" s="6" t="s">
        <v>659</v>
      </c>
      <c r="T155" s="5" t="s">
        <v>368</v>
      </c>
      <c r="U155" s="13"/>
      <c r="V155" s="13"/>
      <c r="W155" s="13"/>
      <c r="X155" s="13"/>
      <c r="Y155" s="14"/>
      <c r="Z155" s="14"/>
      <c r="AA155" s="14"/>
      <c r="AB155" s="13"/>
      <c r="AC155" s="13"/>
      <c r="AD155" s="13"/>
      <c r="AE155" s="13"/>
    </row>
    <row r="156" spans="1:57" ht="14.4" customHeight="1" x14ac:dyDescent="0.3">
      <c r="A156" s="151">
        <v>20114215529</v>
      </c>
      <c r="B156" s="42" t="s">
        <v>160</v>
      </c>
      <c r="C156" s="57" t="s">
        <v>269</v>
      </c>
      <c r="D156" s="218">
        <f t="shared" ca="1" si="8"/>
        <v>42</v>
      </c>
      <c r="E156" s="100">
        <v>40549</v>
      </c>
      <c r="F156" s="188">
        <f t="shared" ca="1" si="9"/>
        <v>15</v>
      </c>
      <c r="G156" s="57">
        <v>40148</v>
      </c>
      <c r="H156" s="3" t="s">
        <v>1301</v>
      </c>
      <c r="I156" s="3" t="s">
        <v>1298</v>
      </c>
      <c r="J156" s="3" t="s">
        <v>1305</v>
      </c>
      <c r="K156" s="3" t="s">
        <v>1310</v>
      </c>
      <c r="L156" s="3" t="s">
        <v>1287</v>
      </c>
      <c r="M156" s="175">
        <f t="shared" si="10"/>
        <v>1</v>
      </c>
      <c r="N156" s="4" t="s">
        <v>351</v>
      </c>
      <c r="O156" s="4" t="s">
        <v>374</v>
      </c>
      <c r="P156" s="4" t="str">
        <f>IFERROR(VLOOKUP(TRIM(CLEAN(O156)),'JOB GROUPS'!A:B,2,FALSE),"Not Found")</f>
        <v>NM7</v>
      </c>
      <c r="Q156" s="198">
        <f t="shared" ca="1" si="11"/>
        <v>9</v>
      </c>
      <c r="R156" s="180" t="s">
        <v>1194</v>
      </c>
      <c r="S156" s="6" t="s">
        <v>755</v>
      </c>
      <c r="T156" s="5" t="s">
        <v>369</v>
      </c>
      <c r="U156" s="13"/>
      <c r="V156" s="13"/>
      <c r="W156" s="13"/>
      <c r="X156" s="13"/>
      <c r="Y156" s="14"/>
      <c r="Z156" s="14"/>
      <c r="AA156" s="14"/>
      <c r="AB156" s="13"/>
      <c r="AC156" s="13"/>
      <c r="AD156" s="13"/>
      <c r="AE156" s="13"/>
    </row>
    <row r="157" spans="1:57" ht="14.4" customHeight="1" x14ac:dyDescent="0.3">
      <c r="A157" s="151">
        <v>20178600867</v>
      </c>
      <c r="B157" s="42" t="s">
        <v>161</v>
      </c>
      <c r="C157" s="57" t="s">
        <v>270</v>
      </c>
      <c r="D157" s="218">
        <f t="shared" ca="1" si="8"/>
        <v>38</v>
      </c>
      <c r="E157" s="100">
        <v>43018</v>
      </c>
      <c r="F157" s="188">
        <f t="shared" ca="1" si="9"/>
        <v>8</v>
      </c>
      <c r="G157" s="57" t="s">
        <v>1298</v>
      </c>
      <c r="H157" s="3" t="s">
        <v>1298</v>
      </c>
      <c r="I157" s="3" t="s">
        <v>1298</v>
      </c>
      <c r="J157" s="3" t="s">
        <v>1298</v>
      </c>
      <c r="K157" s="3" t="s">
        <v>1309</v>
      </c>
      <c r="L157" s="3" t="s">
        <v>1286</v>
      </c>
      <c r="M157" s="175">
        <f t="shared" si="10"/>
        <v>1</v>
      </c>
      <c r="N157" s="4" t="s">
        <v>352</v>
      </c>
      <c r="O157" s="4" t="s">
        <v>374</v>
      </c>
      <c r="P157" s="4" t="str">
        <f>IFERROR(VLOOKUP(TRIM(CLEAN(O157)),'JOB GROUPS'!A:B,2,FALSE),"Not Found")</f>
        <v>NM7</v>
      </c>
      <c r="Q157" s="198">
        <f t="shared" ca="1" si="11"/>
        <v>8</v>
      </c>
      <c r="R157" s="180" t="s">
        <v>1248</v>
      </c>
      <c r="S157" s="6" t="s">
        <v>756</v>
      </c>
      <c r="T157" s="5" t="s">
        <v>369</v>
      </c>
      <c r="U157" s="13"/>
      <c r="V157" s="13"/>
      <c r="W157" s="13"/>
      <c r="X157" s="13"/>
      <c r="Y157" s="14"/>
      <c r="Z157" s="14"/>
      <c r="AA157" s="14"/>
      <c r="AB157" s="13"/>
      <c r="AC157" s="13"/>
      <c r="AD157" s="13"/>
      <c r="AE157" s="13"/>
    </row>
    <row r="158" spans="1:57" ht="14.4" customHeight="1" x14ac:dyDescent="0.3">
      <c r="A158" s="151">
        <v>20089223902</v>
      </c>
      <c r="B158" s="42" t="s">
        <v>162</v>
      </c>
      <c r="C158" s="57" t="s">
        <v>271</v>
      </c>
      <c r="D158" s="218">
        <f t="shared" ca="1" si="8"/>
        <v>43</v>
      </c>
      <c r="E158" s="100">
        <v>39451</v>
      </c>
      <c r="F158" s="188">
        <f t="shared" ca="1" si="9"/>
        <v>18</v>
      </c>
      <c r="G158" s="57">
        <v>39295</v>
      </c>
      <c r="H158" s="3" t="s">
        <v>1301</v>
      </c>
      <c r="I158" s="3" t="s">
        <v>1298</v>
      </c>
      <c r="J158" s="3" t="s">
        <v>1305</v>
      </c>
      <c r="K158" s="3" t="s">
        <v>1312</v>
      </c>
      <c r="L158" s="3" t="s">
        <v>1287</v>
      </c>
      <c r="M158" s="175">
        <f t="shared" si="10"/>
        <v>1</v>
      </c>
      <c r="N158" s="5" t="s">
        <v>311</v>
      </c>
      <c r="O158" s="2" t="s">
        <v>375</v>
      </c>
      <c r="P158" s="4" t="str">
        <f>IFERROR(VLOOKUP(TRIM(CLEAN(O158)),'JOB GROUPS'!A:B,2,FALSE),"Not Found")</f>
        <v>NM8</v>
      </c>
      <c r="Q158" s="198">
        <f t="shared" ca="1" si="11"/>
        <v>3</v>
      </c>
      <c r="R158" s="180" t="s">
        <v>1225</v>
      </c>
      <c r="S158" s="6" t="s">
        <v>757</v>
      </c>
      <c r="T158" s="5" t="s">
        <v>368</v>
      </c>
      <c r="U158" s="13"/>
      <c r="V158" s="13"/>
      <c r="W158" s="13"/>
      <c r="X158" s="13"/>
      <c r="Y158" s="14"/>
      <c r="Z158" s="14"/>
      <c r="AA158" s="14"/>
      <c r="AB158" s="13"/>
      <c r="AC158" s="13"/>
      <c r="AD158" s="13"/>
      <c r="AE158" s="13"/>
    </row>
    <row r="159" spans="1:57" ht="14.4" customHeight="1" x14ac:dyDescent="0.3">
      <c r="A159" s="152">
        <v>20210645838</v>
      </c>
      <c r="B159" s="3" t="s">
        <v>163</v>
      </c>
      <c r="C159" s="57" t="s">
        <v>272</v>
      </c>
      <c r="D159" s="218">
        <f t="shared" ca="1" si="8"/>
        <v>31</v>
      </c>
      <c r="E159" s="100" t="s">
        <v>1104</v>
      </c>
      <c r="F159" s="188">
        <f t="shared" ca="1" si="9"/>
        <v>4</v>
      </c>
      <c r="G159" s="57" t="s">
        <v>1298</v>
      </c>
      <c r="H159" s="3" t="s">
        <v>1298</v>
      </c>
      <c r="I159" s="3" t="s">
        <v>1298</v>
      </c>
      <c r="J159" s="3" t="s">
        <v>1298</v>
      </c>
      <c r="K159" s="3" t="s">
        <v>1346</v>
      </c>
      <c r="L159" s="3" t="s">
        <v>1287</v>
      </c>
      <c r="M159" s="175">
        <f t="shared" si="10"/>
        <v>1</v>
      </c>
      <c r="N159" s="4" t="s">
        <v>311</v>
      </c>
      <c r="O159" s="4" t="s">
        <v>375</v>
      </c>
      <c r="P159" s="4" t="str">
        <f>IFERROR(VLOOKUP(TRIM(CLEAN(O159)),'JOB GROUPS'!A:B,2,FALSE),"Not Found")</f>
        <v>NM8</v>
      </c>
      <c r="Q159" s="198">
        <f t="shared" ca="1" si="11"/>
        <v>4</v>
      </c>
      <c r="R159" s="180" t="s">
        <v>1104</v>
      </c>
      <c r="S159" s="6" t="s">
        <v>758</v>
      </c>
      <c r="T159" s="5" t="s">
        <v>369</v>
      </c>
      <c r="U159" s="13"/>
      <c r="V159" s="13"/>
      <c r="W159" s="13"/>
      <c r="X159" s="13"/>
      <c r="Y159" s="14"/>
      <c r="Z159" s="14"/>
      <c r="AA159" s="14"/>
      <c r="AB159" s="13"/>
      <c r="AC159" s="13"/>
      <c r="AD159" s="13"/>
      <c r="AE159" s="13"/>
    </row>
    <row r="160" spans="1:57" ht="14.4" customHeight="1" x14ac:dyDescent="0.3">
      <c r="A160" s="151">
        <v>20210646020</v>
      </c>
      <c r="B160" s="42" t="s">
        <v>164</v>
      </c>
      <c r="C160" s="57">
        <v>34949</v>
      </c>
      <c r="D160" s="218">
        <f t="shared" ca="1" si="8"/>
        <v>30</v>
      </c>
      <c r="E160" s="100" t="s">
        <v>1107</v>
      </c>
      <c r="F160" s="188">
        <f t="shared" ca="1" si="9"/>
        <v>4</v>
      </c>
      <c r="G160" s="57">
        <v>44013</v>
      </c>
      <c r="H160" s="3" t="s">
        <v>1301</v>
      </c>
      <c r="I160" s="3" t="s">
        <v>1298</v>
      </c>
      <c r="J160" s="3" t="s">
        <v>1305</v>
      </c>
      <c r="K160" s="3" t="s">
        <v>1298</v>
      </c>
      <c r="L160" s="3" t="s">
        <v>1298</v>
      </c>
      <c r="M160" s="175">
        <f t="shared" si="10"/>
        <v>1</v>
      </c>
      <c r="N160" s="4" t="s">
        <v>311</v>
      </c>
      <c r="O160" s="4" t="s">
        <v>375</v>
      </c>
      <c r="P160" s="4" t="str">
        <f>IFERROR(VLOOKUP(TRIM(CLEAN(O160)),'JOB GROUPS'!A:B,2,FALSE),"Not Found")</f>
        <v>NM8</v>
      </c>
      <c r="Q160" s="198">
        <f t="shared" ca="1" si="11"/>
        <v>1</v>
      </c>
      <c r="R160" s="180" t="s">
        <v>1255</v>
      </c>
      <c r="S160" s="6" t="s">
        <v>759</v>
      </c>
      <c r="T160" s="5" t="s">
        <v>369</v>
      </c>
      <c r="U160" s="13"/>
      <c r="V160" s="13"/>
      <c r="W160" s="13"/>
      <c r="X160" s="13"/>
      <c r="Y160" s="14"/>
      <c r="Z160" s="14"/>
      <c r="AA160" s="14"/>
      <c r="AB160" s="13"/>
      <c r="AC160" s="13"/>
      <c r="AD160" s="13"/>
      <c r="AE160" s="13"/>
    </row>
    <row r="161" spans="1:43" ht="14.4" customHeight="1" x14ac:dyDescent="0.3">
      <c r="A161" s="152">
        <v>20220598334</v>
      </c>
      <c r="B161" s="3" t="s">
        <v>165</v>
      </c>
      <c r="C161" s="57" t="s">
        <v>273</v>
      </c>
      <c r="D161" s="218">
        <f t="shared" ca="1" si="8"/>
        <v>33</v>
      </c>
      <c r="E161" s="100" t="s">
        <v>932</v>
      </c>
      <c r="F161" s="188">
        <f t="shared" ca="1" si="9"/>
        <v>4</v>
      </c>
      <c r="G161" s="57" t="s">
        <v>1298</v>
      </c>
      <c r="H161" s="3" t="s">
        <v>1298</v>
      </c>
      <c r="I161" s="3" t="s">
        <v>1298</v>
      </c>
      <c r="J161" s="3" t="s">
        <v>1298</v>
      </c>
      <c r="K161" s="3" t="s">
        <v>1310</v>
      </c>
      <c r="L161" s="3" t="s">
        <v>1287</v>
      </c>
      <c r="M161" s="175">
        <f t="shared" si="10"/>
        <v>1</v>
      </c>
      <c r="N161" s="9" t="s">
        <v>311</v>
      </c>
      <c r="O161" s="4" t="s">
        <v>375</v>
      </c>
      <c r="P161" s="4" t="str">
        <f>IFERROR(VLOOKUP(TRIM(CLEAN(O161)),'JOB GROUPS'!A:B,2,FALSE),"Not Found")</f>
        <v>NM8</v>
      </c>
      <c r="Q161" s="198">
        <f t="shared" ca="1" si="11"/>
        <v>2</v>
      </c>
      <c r="R161" s="180" t="s">
        <v>1263</v>
      </c>
      <c r="S161" s="6" t="s">
        <v>760</v>
      </c>
      <c r="T161" s="5" t="s">
        <v>368</v>
      </c>
      <c r="U161" s="13"/>
      <c r="V161" s="13"/>
      <c r="W161" s="13"/>
      <c r="X161" s="13"/>
      <c r="Y161" s="14"/>
      <c r="Z161" s="14"/>
      <c r="AA161" s="14"/>
      <c r="AB161" s="13"/>
      <c r="AC161" s="13"/>
      <c r="AD161" s="13"/>
      <c r="AE161" s="13"/>
    </row>
    <row r="162" spans="1:43" ht="14.4" customHeight="1" x14ac:dyDescent="0.3">
      <c r="A162" s="152">
        <v>20250067363</v>
      </c>
      <c r="B162" s="3" t="s">
        <v>166</v>
      </c>
      <c r="C162" s="57">
        <v>35583</v>
      </c>
      <c r="D162" s="218">
        <f t="shared" ca="1" si="8"/>
        <v>29</v>
      </c>
      <c r="E162" s="100">
        <v>45661</v>
      </c>
      <c r="F162" s="188">
        <f t="shared" ca="1" si="9"/>
        <v>1</v>
      </c>
      <c r="G162" s="57" t="s">
        <v>1298</v>
      </c>
      <c r="H162" s="3" t="s">
        <v>1298</v>
      </c>
      <c r="I162" s="3" t="s">
        <v>1298</v>
      </c>
      <c r="J162" s="3" t="s">
        <v>1298</v>
      </c>
      <c r="K162" s="3" t="s">
        <v>1310</v>
      </c>
      <c r="L162" s="3" t="s">
        <v>1287</v>
      </c>
      <c r="M162" s="175">
        <f t="shared" si="10"/>
        <v>1</v>
      </c>
      <c r="N162" s="9" t="s">
        <v>353</v>
      </c>
      <c r="O162" s="4" t="s">
        <v>375</v>
      </c>
      <c r="P162" s="4" t="str">
        <f>IFERROR(VLOOKUP(TRIM(CLEAN(O162)),'JOB GROUPS'!A:B,2,FALSE),"Not Found")</f>
        <v>NM8</v>
      </c>
      <c r="Q162" s="198">
        <f t="shared" ca="1" si="11"/>
        <v>1</v>
      </c>
      <c r="R162" s="180" t="s">
        <v>1255</v>
      </c>
      <c r="S162" s="6" t="s">
        <v>759</v>
      </c>
      <c r="T162" s="5" t="s">
        <v>369</v>
      </c>
      <c r="U162" s="13"/>
      <c r="V162" s="13"/>
      <c r="W162" s="13"/>
      <c r="X162" s="13"/>
      <c r="Y162" s="14"/>
      <c r="Z162" s="14"/>
      <c r="AA162" s="14"/>
      <c r="AB162" s="13"/>
      <c r="AC162" s="13"/>
      <c r="AD162" s="13"/>
      <c r="AE162" s="13"/>
    </row>
    <row r="163" spans="1:43" ht="14.4" customHeight="1" x14ac:dyDescent="0.3">
      <c r="A163" s="151">
        <v>20250067371</v>
      </c>
      <c r="B163" s="42" t="s">
        <v>167</v>
      </c>
      <c r="C163" s="57">
        <v>36014</v>
      </c>
      <c r="D163" s="218">
        <f t="shared" ca="1" si="8"/>
        <v>27</v>
      </c>
      <c r="E163" s="100">
        <v>45693</v>
      </c>
      <c r="F163" s="188">
        <f t="shared" ca="1" si="9"/>
        <v>1</v>
      </c>
      <c r="G163" s="57" t="s">
        <v>1298</v>
      </c>
      <c r="H163" s="3" t="s">
        <v>1298</v>
      </c>
      <c r="I163" s="3" t="s">
        <v>1298</v>
      </c>
      <c r="J163" s="3" t="s">
        <v>1298</v>
      </c>
      <c r="K163" s="3" t="s">
        <v>1310</v>
      </c>
      <c r="L163" s="3" t="s">
        <v>1287</v>
      </c>
      <c r="M163" s="175">
        <f t="shared" si="10"/>
        <v>1</v>
      </c>
      <c r="N163" s="4" t="s">
        <v>353</v>
      </c>
      <c r="O163" s="4" t="s">
        <v>375</v>
      </c>
      <c r="P163" s="4" t="str">
        <f>IFERROR(VLOOKUP(TRIM(CLEAN(O163)),'JOB GROUPS'!A:B,2,FALSE),"Not Found")</f>
        <v>NM8</v>
      </c>
      <c r="Q163" s="198">
        <f t="shared" ca="1" si="11"/>
        <v>1</v>
      </c>
      <c r="R163" s="180" t="s">
        <v>1264</v>
      </c>
      <c r="S163" s="6" t="s">
        <v>761</v>
      </c>
      <c r="T163" s="5" t="s">
        <v>368</v>
      </c>
      <c r="U163" s="13"/>
      <c r="V163" s="13"/>
      <c r="W163" s="13"/>
      <c r="X163" s="13"/>
      <c r="Y163" s="14"/>
      <c r="Z163" s="14"/>
      <c r="AA163" s="14"/>
      <c r="AB163" s="13"/>
      <c r="AC163" s="13"/>
      <c r="AD163" s="13"/>
      <c r="AE163" s="13"/>
    </row>
    <row r="164" spans="1:43" ht="14.4" customHeight="1" x14ac:dyDescent="0.3">
      <c r="A164" s="151">
        <v>19911126965</v>
      </c>
      <c r="B164" s="42" t="s">
        <v>168</v>
      </c>
      <c r="C164" s="57" t="s">
        <v>274</v>
      </c>
      <c r="D164" s="218">
        <f t="shared" ca="1" si="8"/>
        <v>59</v>
      </c>
      <c r="E164" s="100">
        <v>33240</v>
      </c>
      <c r="F164" s="188">
        <f t="shared" ca="1" si="9"/>
        <v>35</v>
      </c>
      <c r="G164" s="57" t="s">
        <v>1298</v>
      </c>
      <c r="H164" s="3" t="s">
        <v>1298</v>
      </c>
      <c r="I164" s="3" t="s">
        <v>1298</v>
      </c>
      <c r="J164" s="3" t="s">
        <v>1298</v>
      </c>
      <c r="K164" s="3" t="s">
        <v>1296</v>
      </c>
      <c r="L164" s="3" t="s">
        <v>1297</v>
      </c>
      <c r="M164" s="175">
        <f t="shared" si="10"/>
        <v>1</v>
      </c>
      <c r="N164" s="4" t="s">
        <v>354</v>
      </c>
      <c r="O164" s="4" t="s">
        <v>376</v>
      </c>
      <c r="P164" s="4" t="str">
        <f>IFERROR(VLOOKUP(TRIM(CLEAN(O164)),'JOB GROUPS'!A:B,2,FALSE),"Not Found")</f>
        <v>NM9</v>
      </c>
      <c r="Q164" s="198">
        <f t="shared" ca="1" si="11"/>
        <v>13</v>
      </c>
      <c r="R164" s="180" t="s">
        <v>1195</v>
      </c>
      <c r="S164" s="6" t="s">
        <v>762</v>
      </c>
      <c r="T164" s="5" t="s">
        <v>368</v>
      </c>
      <c r="U164" s="13"/>
      <c r="V164" s="13"/>
      <c r="W164" s="13"/>
      <c r="X164" s="13"/>
      <c r="Y164" s="14"/>
      <c r="Z164" s="14"/>
      <c r="AA164" s="14"/>
      <c r="AB164" s="13"/>
      <c r="AC164" s="13"/>
      <c r="AD164" s="13"/>
      <c r="AE164" s="13"/>
    </row>
    <row r="165" spans="1:43" ht="14.4" customHeight="1" x14ac:dyDescent="0.3">
      <c r="A165" s="151">
        <v>19901899011</v>
      </c>
      <c r="B165" s="42" t="s">
        <v>169</v>
      </c>
      <c r="C165" s="57" t="s">
        <v>275</v>
      </c>
      <c r="D165" s="218">
        <f t="shared" ca="1" si="8"/>
        <v>59</v>
      </c>
      <c r="E165" s="100">
        <v>32882</v>
      </c>
      <c r="F165" s="188">
        <f t="shared" ca="1" si="9"/>
        <v>36</v>
      </c>
      <c r="G165" s="57" t="s">
        <v>1298</v>
      </c>
      <c r="H165" s="3" t="s">
        <v>1298</v>
      </c>
      <c r="I165" s="3" t="s">
        <v>1298</v>
      </c>
      <c r="J165" s="3" t="s">
        <v>1298</v>
      </c>
      <c r="K165" s="165" t="s">
        <v>1415</v>
      </c>
      <c r="L165" s="3" t="s">
        <v>1416</v>
      </c>
      <c r="M165" s="175">
        <f t="shared" si="10"/>
        <v>1</v>
      </c>
      <c r="N165" s="4" t="s">
        <v>339</v>
      </c>
      <c r="O165" s="4" t="s">
        <v>377</v>
      </c>
      <c r="P165" s="4" t="str">
        <f>IFERROR(VLOOKUP(TRIM(CLEAN(O165)),'JOB GROUPS'!A:B,2,FALSE),"Not Found")</f>
        <v>NM10</v>
      </c>
      <c r="Q165" s="198">
        <f t="shared" ca="1" si="11"/>
        <v>15</v>
      </c>
      <c r="R165" s="180" t="s">
        <v>1192</v>
      </c>
      <c r="S165" s="6" t="s">
        <v>763</v>
      </c>
      <c r="T165" s="5" t="s">
        <v>368</v>
      </c>
      <c r="U165" s="13"/>
      <c r="V165" s="13"/>
      <c r="W165" s="13"/>
      <c r="X165" s="13"/>
      <c r="Y165" s="14"/>
      <c r="Z165" s="14"/>
      <c r="AA165" s="14"/>
      <c r="AB165" s="13"/>
      <c r="AC165" s="13"/>
      <c r="AD165" s="13"/>
      <c r="AE165" s="13"/>
    </row>
    <row r="166" spans="1:43" ht="14.4" customHeight="1" x14ac:dyDescent="0.3">
      <c r="A166" s="151">
        <v>20210645927</v>
      </c>
      <c r="B166" s="42" t="s">
        <v>170</v>
      </c>
      <c r="C166" s="57" t="s">
        <v>276</v>
      </c>
      <c r="D166" s="218">
        <f t="shared" ca="1" si="8"/>
        <v>31</v>
      </c>
      <c r="E166" s="100">
        <v>44386</v>
      </c>
      <c r="F166" s="188">
        <f t="shared" ca="1" si="9"/>
        <v>4</v>
      </c>
      <c r="G166" s="57">
        <v>43227</v>
      </c>
      <c r="H166" s="3" t="s">
        <v>1355</v>
      </c>
      <c r="I166" s="3" t="s">
        <v>1298</v>
      </c>
      <c r="J166" s="3" t="s">
        <v>1305</v>
      </c>
      <c r="K166" s="3" t="s">
        <v>1298</v>
      </c>
      <c r="L166" s="3" t="s">
        <v>1298</v>
      </c>
      <c r="M166" s="175">
        <f t="shared" si="10"/>
        <v>1</v>
      </c>
      <c r="N166" s="4" t="s">
        <v>319</v>
      </c>
      <c r="O166" s="4" t="s">
        <v>379</v>
      </c>
      <c r="P166" s="4" t="str">
        <f>IFERROR(VLOOKUP(TRIM(CLEAN(O166)),'JOB GROUPS'!A:B,2,FALSE),"Not Found")</f>
        <v>NM12</v>
      </c>
      <c r="Q166" s="198">
        <f t="shared" ca="1" si="11"/>
        <v>4</v>
      </c>
      <c r="R166" s="180" t="s">
        <v>1259</v>
      </c>
      <c r="S166" s="6" t="s">
        <v>764</v>
      </c>
      <c r="T166" s="5" t="s">
        <v>368</v>
      </c>
      <c r="U166" s="13"/>
      <c r="V166" s="13"/>
      <c r="W166" s="13"/>
      <c r="X166" s="13"/>
      <c r="Y166" s="14"/>
      <c r="Z166" s="14"/>
      <c r="AA166" s="14"/>
      <c r="AB166" s="13"/>
      <c r="AC166" s="13"/>
      <c r="AD166" s="13"/>
      <c r="AE166" s="13"/>
    </row>
    <row r="167" spans="1:43" ht="14.4" customHeight="1" x14ac:dyDescent="0.3">
      <c r="A167" s="151">
        <v>20250011956</v>
      </c>
      <c r="B167" s="42" t="s">
        <v>171</v>
      </c>
      <c r="C167" s="57">
        <v>36136</v>
      </c>
      <c r="D167" s="218">
        <f t="shared" ca="1" si="8"/>
        <v>27</v>
      </c>
      <c r="E167" s="100">
        <v>45659</v>
      </c>
      <c r="F167" s="188">
        <f t="shared" ca="1" si="9"/>
        <v>1</v>
      </c>
      <c r="G167" s="57" t="s">
        <v>1298</v>
      </c>
      <c r="H167" s="3" t="s">
        <v>1301</v>
      </c>
      <c r="I167" s="3" t="s">
        <v>1298</v>
      </c>
      <c r="J167" s="3" t="s">
        <v>1305</v>
      </c>
      <c r="K167" s="3" t="s">
        <v>1298</v>
      </c>
      <c r="L167" s="3" t="s">
        <v>1298</v>
      </c>
      <c r="M167" s="175">
        <f t="shared" si="10"/>
        <v>1</v>
      </c>
      <c r="N167" s="4" t="s">
        <v>319</v>
      </c>
      <c r="O167" s="4" t="s">
        <v>379</v>
      </c>
      <c r="P167" s="4" t="str">
        <f>IFERROR(VLOOKUP(TRIM(CLEAN(O167)),'JOB GROUPS'!A:B,2,FALSE),"Not Found")</f>
        <v>NM12</v>
      </c>
      <c r="Q167" s="198">
        <f t="shared" ca="1" si="11"/>
        <v>1</v>
      </c>
      <c r="R167" s="180" t="s">
        <v>1270</v>
      </c>
      <c r="S167" s="6" t="s">
        <v>764</v>
      </c>
      <c r="T167" s="5" t="s">
        <v>368</v>
      </c>
      <c r="U167" s="13"/>
      <c r="V167" s="13"/>
      <c r="W167" s="13"/>
      <c r="X167" s="13"/>
      <c r="Y167" s="14"/>
      <c r="Z167" s="14"/>
      <c r="AA167" s="14"/>
      <c r="AB167" s="13"/>
      <c r="AC167" s="13"/>
      <c r="AD167" s="13"/>
      <c r="AE167" s="13"/>
    </row>
    <row r="168" spans="1:43" ht="14.4" customHeight="1" x14ac:dyDescent="0.3">
      <c r="A168" s="151">
        <v>20250067305</v>
      </c>
      <c r="B168" s="42" t="s">
        <v>172</v>
      </c>
      <c r="C168" s="57" t="s">
        <v>277</v>
      </c>
      <c r="D168" s="218">
        <f t="shared" ca="1" si="8"/>
        <v>39</v>
      </c>
      <c r="E168" s="100">
        <v>45661</v>
      </c>
      <c r="F168" s="188">
        <f t="shared" ca="1" si="9"/>
        <v>1</v>
      </c>
      <c r="G168" s="57" t="s">
        <v>1298</v>
      </c>
      <c r="H168" s="3" t="s">
        <v>1384</v>
      </c>
      <c r="I168" s="3" t="s">
        <v>1298</v>
      </c>
      <c r="J168" s="3" t="s">
        <v>1305</v>
      </c>
      <c r="K168" s="3" t="s">
        <v>1298</v>
      </c>
      <c r="L168" s="3" t="s">
        <v>1298</v>
      </c>
      <c r="M168" s="175">
        <f t="shared" si="10"/>
        <v>1</v>
      </c>
      <c r="N168" s="5" t="s">
        <v>355</v>
      </c>
      <c r="O168" s="2" t="s">
        <v>379</v>
      </c>
      <c r="P168" s="4" t="str">
        <f>IFERROR(VLOOKUP(TRIM(CLEAN(O168)),'JOB GROUPS'!A:B,2,FALSE),"Not Found")</f>
        <v>NM12</v>
      </c>
      <c r="Q168" s="198">
        <f t="shared" ca="1" si="11"/>
        <v>1</v>
      </c>
      <c r="R168" s="180" t="s">
        <v>1255</v>
      </c>
      <c r="S168" s="6" t="s">
        <v>765</v>
      </c>
      <c r="T168" s="5" t="s">
        <v>369</v>
      </c>
      <c r="U168" s="13"/>
      <c r="V168" s="13"/>
      <c r="W168" s="13"/>
      <c r="X168" s="13"/>
      <c r="Y168" s="14"/>
      <c r="Z168" s="14"/>
      <c r="AA168" s="14"/>
      <c r="AB168" s="13"/>
      <c r="AC168" s="13"/>
      <c r="AD168" s="13"/>
      <c r="AE168" s="13"/>
    </row>
    <row r="169" spans="1:43" ht="14.4" customHeight="1" x14ac:dyDescent="0.3">
      <c r="A169" s="151" t="s">
        <v>1271</v>
      </c>
      <c r="B169" s="43"/>
      <c r="C169" s="59"/>
      <c r="D169" s="218">
        <f t="shared" ca="1" si="8"/>
        <v>126</v>
      </c>
      <c r="E169" s="102"/>
      <c r="F169" s="188">
        <f t="shared" ca="1" si="9"/>
        <v>126</v>
      </c>
      <c r="G169" s="59" t="s">
        <v>1298</v>
      </c>
      <c r="H169" s="22" t="s">
        <v>1298</v>
      </c>
      <c r="I169" s="22" t="s">
        <v>1298</v>
      </c>
      <c r="J169" s="22" t="s">
        <v>1298</v>
      </c>
      <c r="K169" s="22" t="s">
        <v>1298</v>
      </c>
      <c r="L169" s="22" t="s">
        <v>1298</v>
      </c>
      <c r="M169" s="175">
        <f t="shared" si="10"/>
        <v>1</v>
      </c>
      <c r="N169" s="4"/>
      <c r="O169" s="4"/>
      <c r="P169" s="4" t="str">
        <f>IFERROR(VLOOKUP(TRIM(CLEAN(O169)),'JOB GROUPS'!A:B,2,FALSE),"Not Found")</f>
        <v>Not Found</v>
      </c>
      <c r="Q169" s="198" t="e">
        <f t="shared" ca="1" si="11"/>
        <v>#VALUE!</v>
      </c>
      <c r="R169" s="180" t="s">
        <v>1271</v>
      </c>
      <c r="S169" s="6" t="s">
        <v>659</v>
      </c>
      <c r="T169" s="5" t="s">
        <v>369</v>
      </c>
      <c r="U169" s="13"/>
      <c r="V169" s="13"/>
      <c r="W169" s="13"/>
      <c r="X169" s="13"/>
      <c r="Y169" s="14"/>
      <c r="Z169" s="14"/>
      <c r="AA169" s="14"/>
      <c r="AB169" s="13"/>
      <c r="AC169" s="13"/>
      <c r="AD169" s="13"/>
      <c r="AE169" s="13"/>
    </row>
    <row r="170" spans="1:43" ht="14.4" customHeight="1" x14ac:dyDescent="0.3">
      <c r="A170" s="155">
        <v>20095593179</v>
      </c>
      <c r="B170" s="25" t="s">
        <v>173</v>
      </c>
      <c r="C170" s="61">
        <v>24473</v>
      </c>
      <c r="D170" s="218">
        <f t="shared" ca="1" si="8"/>
        <v>59</v>
      </c>
      <c r="E170" s="103">
        <v>39821</v>
      </c>
      <c r="F170" s="188">
        <f t="shared" ca="1" si="9"/>
        <v>17</v>
      </c>
      <c r="G170" s="171" t="s">
        <v>1298</v>
      </c>
      <c r="H170" s="83" t="s">
        <v>1298</v>
      </c>
      <c r="I170" s="83" t="s">
        <v>1298</v>
      </c>
      <c r="J170" s="83" t="s">
        <v>1298</v>
      </c>
      <c r="K170" s="179" t="s">
        <v>1417</v>
      </c>
      <c r="L170" s="83" t="s">
        <v>1287</v>
      </c>
      <c r="M170" s="175">
        <f t="shared" si="10"/>
        <v>1</v>
      </c>
      <c r="N170" s="3" t="s">
        <v>356</v>
      </c>
      <c r="O170" s="8" t="s">
        <v>375</v>
      </c>
      <c r="P170" s="4" t="str">
        <f>IFERROR(VLOOKUP(TRIM(CLEAN(O170)),'JOB GROUPS'!A:B,2,FALSE),"Not Found")</f>
        <v>NM8</v>
      </c>
      <c r="Q170" s="198">
        <f t="shared" ca="1" si="11"/>
        <v>13</v>
      </c>
      <c r="R170" s="180" t="s">
        <v>1229</v>
      </c>
      <c r="S170" s="26" t="s">
        <v>766</v>
      </c>
      <c r="T170" s="37" t="s">
        <v>369</v>
      </c>
      <c r="U170" s="55"/>
      <c r="V170" s="55"/>
      <c r="W170" s="55"/>
      <c r="X170" s="55"/>
      <c r="Y170" s="84"/>
      <c r="Z170" s="84"/>
      <c r="AA170" s="84"/>
      <c r="AB170" s="55"/>
      <c r="AC170" s="55"/>
      <c r="AD170" s="55"/>
      <c r="AE170" s="55"/>
    </row>
    <row r="171" spans="1:43" ht="14.4" customHeight="1" x14ac:dyDescent="0.3">
      <c r="A171" s="151">
        <v>20106534197</v>
      </c>
      <c r="B171" s="44" t="s">
        <v>174</v>
      </c>
      <c r="C171" s="60" t="s">
        <v>278</v>
      </c>
      <c r="D171" s="218">
        <f t="shared" ca="1" si="8"/>
        <v>45</v>
      </c>
      <c r="E171" s="104">
        <v>40188</v>
      </c>
      <c r="F171" s="188">
        <f t="shared" ca="1" si="9"/>
        <v>16</v>
      </c>
      <c r="G171" s="60" t="s">
        <v>1298</v>
      </c>
      <c r="H171" s="27" t="s">
        <v>1298</v>
      </c>
      <c r="I171" s="27" t="s">
        <v>1298</v>
      </c>
      <c r="J171" s="27" t="s">
        <v>1298</v>
      </c>
      <c r="K171" s="27" t="s">
        <v>1308</v>
      </c>
      <c r="L171" s="27" t="s">
        <v>1274</v>
      </c>
      <c r="M171" s="175">
        <f t="shared" si="10"/>
        <v>1</v>
      </c>
      <c r="N171" s="9" t="s">
        <v>357</v>
      </c>
      <c r="O171" s="4" t="s">
        <v>377</v>
      </c>
      <c r="P171" s="4" t="str">
        <f>IFERROR(VLOOKUP(TRIM(CLEAN(O171)),'JOB GROUPS'!A:B,2,FALSE),"Not Found")</f>
        <v>NM10</v>
      </c>
      <c r="Q171" s="198">
        <f t="shared" ca="1" si="11"/>
        <v>9</v>
      </c>
      <c r="R171" s="180" t="s">
        <v>1194</v>
      </c>
      <c r="S171" s="6" t="s">
        <v>767</v>
      </c>
      <c r="T171" s="5" t="s">
        <v>370</v>
      </c>
      <c r="U171" s="13"/>
      <c r="V171" s="13"/>
      <c r="W171" s="13"/>
      <c r="X171" s="13"/>
      <c r="Y171" s="14"/>
      <c r="Z171" s="14"/>
      <c r="AA171" s="14"/>
      <c r="AB171" s="13"/>
      <c r="AC171" s="13"/>
      <c r="AD171" s="13"/>
      <c r="AE171" s="13"/>
    </row>
    <row r="172" spans="1:43" ht="14.4" customHeight="1" x14ac:dyDescent="0.3">
      <c r="A172" s="151">
        <v>19930980954</v>
      </c>
      <c r="B172" s="42" t="s">
        <v>175</v>
      </c>
      <c r="C172" s="57">
        <v>25943</v>
      </c>
      <c r="D172" s="218">
        <f t="shared" ca="1" si="8"/>
        <v>55</v>
      </c>
      <c r="E172" s="100">
        <v>33979</v>
      </c>
      <c r="F172" s="188">
        <f t="shared" ca="1" si="9"/>
        <v>33</v>
      </c>
      <c r="G172" s="57">
        <v>34163</v>
      </c>
      <c r="H172" s="3" t="s">
        <v>1299</v>
      </c>
      <c r="I172" s="3" t="s">
        <v>1298</v>
      </c>
      <c r="J172" s="3" t="s">
        <v>1304</v>
      </c>
      <c r="K172" s="3" t="s">
        <v>1327</v>
      </c>
      <c r="L172" s="3" t="s">
        <v>1274</v>
      </c>
      <c r="M172" s="175">
        <f t="shared" si="10"/>
        <v>1</v>
      </c>
      <c r="N172" s="5" t="s">
        <v>341</v>
      </c>
      <c r="O172" s="2" t="s">
        <v>379</v>
      </c>
      <c r="P172" s="4" t="str">
        <f>IFERROR(VLOOKUP(TRIM(CLEAN(O172)),'JOB GROUPS'!A:B,2,FALSE),"Not Found")</f>
        <v>NM12</v>
      </c>
      <c r="Q172" s="198">
        <f t="shared" ca="1" si="11"/>
        <v>23</v>
      </c>
      <c r="R172" s="180" t="s">
        <v>1200</v>
      </c>
      <c r="S172" s="6" t="s">
        <v>657</v>
      </c>
      <c r="T172" s="5" t="s">
        <v>370</v>
      </c>
      <c r="U172" s="13"/>
      <c r="V172" s="13"/>
      <c r="W172" s="13"/>
      <c r="X172" s="13"/>
      <c r="Y172" s="14"/>
      <c r="Z172" s="14"/>
      <c r="AA172" s="14"/>
      <c r="AB172" s="13"/>
      <c r="AC172" s="13"/>
      <c r="AD172" s="13"/>
      <c r="AE172" s="13"/>
    </row>
    <row r="173" spans="1:43" ht="14.4" customHeight="1" x14ac:dyDescent="0.3">
      <c r="A173" s="151">
        <v>20089223813</v>
      </c>
      <c r="B173" s="42" t="s">
        <v>176</v>
      </c>
      <c r="C173" s="57">
        <v>25420</v>
      </c>
      <c r="D173" s="218">
        <f t="shared" ca="1" si="8"/>
        <v>56</v>
      </c>
      <c r="E173" s="100">
        <v>39455</v>
      </c>
      <c r="F173" s="188">
        <f t="shared" ca="1" si="9"/>
        <v>18</v>
      </c>
      <c r="G173" s="57" t="s">
        <v>1298</v>
      </c>
      <c r="H173" s="3" t="s">
        <v>1298</v>
      </c>
      <c r="I173" s="3" t="s">
        <v>1298</v>
      </c>
      <c r="J173" s="3" t="s">
        <v>1298</v>
      </c>
      <c r="K173" s="3" t="s">
        <v>1308</v>
      </c>
      <c r="L173" s="3" t="s">
        <v>1292</v>
      </c>
      <c r="M173" s="175">
        <f t="shared" si="10"/>
        <v>1</v>
      </c>
      <c r="N173" s="5" t="s">
        <v>341</v>
      </c>
      <c r="O173" s="2" t="s">
        <v>379</v>
      </c>
      <c r="P173" s="4" t="str">
        <f>IFERROR(VLOOKUP(TRIM(CLEAN(O173)),'JOB GROUPS'!A:B,2,FALSE),"Not Found")</f>
        <v>NM12</v>
      </c>
      <c r="Q173" s="198">
        <f t="shared" ca="1" si="11"/>
        <v>13</v>
      </c>
      <c r="R173" s="180" t="s">
        <v>1195</v>
      </c>
      <c r="S173" s="6" t="s">
        <v>768</v>
      </c>
      <c r="T173" s="5" t="s">
        <v>370</v>
      </c>
      <c r="U173" s="13"/>
      <c r="V173" s="13"/>
      <c r="W173" s="13"/>
      <c r="X173" s="13"/>
      <c r="Y173" s="14"/>
      <c r="Z173" s="14"/>
      <c r="AA173" s="14"/>
      <c r="AB173" s="13"/>
      <c r="AC173" s="13"/>
      <c r="AD173" s="13"/>
      <c r="AE173" s="13"/>
    </row>
    <row r="174" spans="1:43" ht="14.4" customHeight="1" x14ac:dyDescent="0.3">
      <c r="A174" s="152">
        <v>20114215668</v>
      </c>
      <c r="B174" s="3" t="s">
        <v>177</v>
      </c>
      <c r="C174" s="57" t="s">
        <v>279</v>
      </c>
      <c r="D174" s="218">
        <f t="shared" ca="1" si="8"/>
        <v>46</v>
      </c>
      <c r="E174" s="100">
        <v>40545</v>
      </c>
      <c r="F174" s="188">
        <f t="shared" ca="1" si="9"/>
        <v>15</v>
      </c>
      <c r="G174" s="57" t="s">
        <v>1298</v>
      </c>
      <c r="H174" s="3" t="s">
        <v>1298</v>
      </c>
      <c r="I174" s="3" t="s">
        <v>1298</v>
      </c>
      <c r="J174" s="3" t="s">
        <v>1298</v>
      </c>
      <c r="K174" s="165" t="s">
        <v>1308</v>
      </c>
      <c r="L174" s="3" t="s">
        <v>1274</v>
      </c>
      <c r="M174" s="175">
        <f t="shared" si="10"/>
        <v>1</v>
      </c>
      <c r="N174" s="4" t="s">
        <v>358</v>
      </c>
      <c r="O174" s="4" t="s">
        <v>381</v>
      </c>
      <c r="P174" s="4" t="str">
        <f>IFERROR(VLOOKUP(TRIM(CLEAN(O174)),'JOB GROUPS'!A:B,2,FALSE),"Not Found")</f>
        <v>NM13</v>
      </c>
      <c r="Q174" s="198">
        <f t="shared" ca="1" si="11"/>
        <v>4</v>
      </c>
      <c r="R174" s="180" t="s">
        <v>1235</v>
      </c>
      <c r="S174" s="6" t="s">
        <v>708</v>
      </c>
      <c r="T174" s="5"/>
      <c r="U174" s="13"/>
      <c r="V174" s="13"/>
      <c r="W174" s="13"/>
      <c r="X174" s="13"/>
      <c r="Y174" s="14"/>
      <c r="Z174" s="14"/>
      <c r="AA174" s="14"/>
      <c r="AB174" s="13"/>
      <c r="AC174" s="13"/>
      <c r="AD174" s="13"/>
      <c r="AE174" s="13"/>
    </row>
    <row r="175" spans="1:43" s="11" customFormat="1" ht="14.4" customHeight="1" x14ac:dyDescent="0.3">
      <c r="A175" s="152">
        <v>20121211073</v>
      </c>
      <c r="B175" s="3" t="s">
        <v>178</v>
      </c>
      <c r="C175" s="57">
        <v>31329</v>
      </c>
      <c r="D175" s="218">
        <f t="shared" ca="1" si="8"/>
        <v>40</v>
      </c>
      <c r="E175" s="100">
        <v>40915</v>
      </c>
      <c r="F175" s="188">
        <f t="shared" ca="1" si="9"/>
        <v>14</v>
      </c>
      <c r="G175" s="57" t="s">
        <v>1298</v>
      </c>
      <c r="H175" s="3" t="s">
        <v>1298</v>
      </c>
      <c r="I175" s="3" t="s">
        <v>1298</v>
      </c>
      <c r="J175" s="3" t="s">
        <v>1298</v>
      </c>
      <c r="K175" s="3" t="s">
        <v>1308</v>
      </c>
      <c r="L175" s="3" t="s">
        <v>1274</v>
      </c>
      <c r="M175" s="175">
        <f t="shared" si="10"/>
        <v>1</v>
      </c>
      <c r="N175" s="4" t="s">
        <v>358</v>
      </c>
      <c r="O175" s="4" t="s">
        <v>381</v>
      </c>
      <c r="P175" s="4" t="str">
        <f>IFERROR(VLOOKUP(TRIM(CLEAN(O175)),'JOB GROUPS'!A:B,2,FALSE),"Not Found")</f>
        <v>NM13</v>
      </c>
      <c r="Q175" s="198">
        <f t="shared" ca="1" si="11"/>
        <v>3</v>
      </c>
      <c r="R175" s="180" t="s">
        <v>1238</v>
      </c>
      <c r="S175" s="6" t="s">
        <v>708</v>
      </c>
      <c r="T175" s="5" t="s">
        <v>369</v>
      </c>
      <c r="U175" s="13"/>
      <c r="V175" s="13"/>
      <c r="W175" s="13"/>
      <c r="X175" s="13"/>
      <c r="Y175" s="14"/>
      <c r="Z175" s="14"/>
      <c r="AA175" s="14"/>
      <c r="AB175" s="13"/>
      <c r="AC175" s="13"/>
      <c r="AD175" s="13"/>
      <c r="AE175" s="13"/>
      <c r="AF175" s="1"/>
      <c r="AG175" s="1"/>
      <c r="AH175" s="1"/>
      <c r="AI175" s="1"/>
      <c r="AJ175" s="1"/>
      <c r="AK175" s="1"/>
      <c r="AL175" s="1"/>
      <c r="AM175" s="1"/>
      <c r="AN175" s="1"/>
      <c r="AO175" s="1"/>
      <c r="AP175" s="1"/>
      <c r="AQ175" s="1"/>
    </row>
    <row r="176" spans="1:43" s="28" customFormat="1" ht="14.4" customHeight="1" x14ac:dyDescent="0.3">
      <c r="A176" s="152" t="s">
        <v>1271</v>
      </c>
      <c r="B176" s="3"/>
      <c r="C176" s="57"/>
      <c r="D176" s="218">
        <f t="shared" ca="1" si="8"/>
        <v>126</v>
      </c>
      <c r="E176" s="100"/>
      <c r="F176" s="188">
        <f t="shared" ca="1" si="9"/>
        <v>126</v>
      </c>
      <c r="G176" s="57" t="s">
        <v>1298</v>
      </c>
      <c r="H176" s="3" t="s">
        <v>1298</v>
      </c>
      <c r="I176" s="3" t="s">
        <v>1298</v>
      </c>
      <c r="J176" s="3" t="s">
        <v>1298</v>
      </c>
      <c r="K176" s="3" t="s">
        <v>1298</v>
      </c>
      <c r="L176" s="3" t="s">
        <v>1298</v>
      </c>
      <c r="M176" s="175">
        <f t="shared" si="10"/>
        <v>1</v>
      </c>
      <c r="N176" s="4"/>
      <c r="O176" s="4"/>
      <c r="P176" s="4" t="str">
        <f>IFERROR(VLOOKUP(TRIM(CLEAN(O176)),'JOB GROUPS'!A:B,2,FALSE),"Not Found")</f>
        <v>Not Found</v>
      </c>
      <c r="Q176" s="198" t="e">
        <f t="shared" ca="1" si="11"/>
        <v>#VALUE!</v>
      </c>
      <c r="R176" s="180" t="s">
        <v>1271</v>
      </c>
      <c r="S176" s="6" t="s">
        <v>659</v>
      </c>
      <c r="T176" s="5" t="s">
        <v>369</v>
      </c>
      <c r="U176" s="13"/>
      <c r="V176" s="13"/>
      <c r="W176" s="13"/>
      <c r="X176" s="13"/>
      <c r="Y176" s="14"/>
      <c r="Z176" s="14"/>
      <c r="AA176" s="14"/>
      <c r="AB176" s="13"/>
      <c r="AC176" s="13"/>
      <c r="AD176" s="13"/>
      <c r="AE176" s="13"/>
    </row>
    <row r="177" spans="1:31" ht="14.4" customHeight="1" x14ac:dyDescent="0.3">
      <c r="A177" s="151">
        <v>20060933912</v>
      </c>
      <c r="B177" s="42" t="s">
        <v>179</v>
      </c>
      <c r="C177" s="57" t="s">
        <v>280</v>
      </c>
      <c r="D177" s="218">
        <f t="shared" ca="1" si="8"/>
        <v>45</v>
      </c>
      <c r="E177" s="100">
        <v>38724</v>
      </c>
      <c r="F177" s="188">
        <f t="shared" ca="1" si="9"/>
        <v>20</v>
      </c>
      <c r="G177" s="57">
        <v>38384</v>
      </c>
      <c r="H177" s="3" t="s">
        <v>1313</v>
      </c>
      <c r="I177" s="3" t="s">
        <v>1298</v>
      </c>
      <c r="J177" s="3" t="s">
        <v>1304</v>
      </c>
      <c r="K177" s="3" t="s">
        <v>1382</v>
      </c>
      <c r="L177" s="3" t="s">
        <v>1274</v>
      </c>
      <c r="M177" s="175">
        <f t="shared" si="10"/>
        <v>1</v>
      </c>
      <c r="N177" s="4" t="s">
        <v>359</v>
      </c>
      <c r="O177" s="4" t="s">
        <v>374</v>
      </c>
      <c r="P177" s="4" t="str">
        <f>IFERROR(VLOOKUP(TRIM(CLEAN(O177)),'JOB GROUPS'!A:B,2,FALSE),"Not Found")</f>
        <v>NM7</v>
      </c>
      <c r="Q177" s="198">
        <f t="shared" ca="1" si="11"/>
        <v>1</v>
      </c>
      <c r="R177" s="180" t="s">
        <v>1199</v>
      </c>
      <c r="S177" s="6" t="s">
        <v>769</v>
      </c>
      <c r="T177" s="5" t="s">
        <v>369</v>
      </c>
      <c r="U177" s="13"/>
      <c r="V177" s="13"/>
      <c r="W177" s="13"/>
      <c r="X177" s="13"/>
      <c r="Y177" s="14"/>
      <c r="Z177" s="14"/>
      <c r="AA177" s="14"/>
      <c r="AB177" s="13"/>
      <c r="AC177" s="13"/>
      <c r="AD177" s="13"/>
      <c r="AE177" s="13"/>
    </row>
    <row r="178" spans="1:31" s="167" customFormat="1" ht="14.4" customHeight="1" x14ac:dyDescent="0.3">
      <c r="A178" s="162">
        <v>19950950660</v>
      </c>
      <c r="B178" s="163" t="s">
        <v>180</v>
      </c>
      <c r="C178" s="164">
        <v>27395</v>
      </c>
      <c r="D178" s="218">
        <f t="shared" ca="1" si="8"/>
        <v>51</v>
      </c>
      <c r="E178" s="164" t="s">
        <v>1134</v>
      </c>
      <c r="F178" s="188">
        <f t="shared" ca="1" si="9"/>
        <v>30</v>
      </c>
      <c r="G178" s="164" t="s">
        <v>1298</v>
      </c>
      <c r="H178" s="165" t="s">
        <v>1298</v>
      </c>
      <c r="I178" s="165" t="s">
        <v>1298</v>
      </c>
      <c r="J178" s="165" t="s">
        <v>1298</v>
      </c>
      <c r="K178" s="165" t="s">
        <v>1411</v>
      </c>
      <c r="L178" s="165" t="s">
        <v>1277</v>
      </c>
      <c r="M178" s="175">
        <f t="shared" si="10"/>
        <v>1</v>
      </c>
      <c r="N178" s="166" t="s">
        <v>360</v>
      </c>
      <c r="O178" s="168" t="s">
        <v>372</v>
      </c>
      <c r="P178" s="4" t="str">
        <f>IFERROR(VLOOKUP(TRIM(CLEAN(O178)),'JOB GROUPS'!A:B,2,FALSE),"Not Found")</f>
        <v>NM6</v>
      </c>
      <c r="Q178" s="198">
        <f t="shared" ca="1" si="11"/>
        <v>4</v>
      </c>
      <c r="R178" s="181" t="s">
        <v>1202</v>
      </c>
      <c r="S178" s="4" t="s">
        <v>770</v>
      </c>
      <c r="T178" s="166" t="s">
        <v>369</v>
      </c>
      <c r="U178" s="4"/>
      <c r="V178" s="4"/>
      <c r="W178" s="4"/>
      <c r="X178" s="4"/>
      <c r="Y178" s="166"/>
      <c r="Z178" s="166"/>
      <c r="AA178" s="166"/>
      <c r="AB178" s="4"/>
      <c r="AC178" s="4"/>
      <c r="AD178" s="4"/>
      <c r="AE178" s="4"/>
    </row>
    <row r="179" spans="1:31" ht="14.4" customHeight="1" x14ac:dyDescent="0.3">
      <c r="A179" s="151">
        <v>19990495595</v>
      </c>
      <c r="B179" s="42" t="s">
        <v>181</v>
      </c>
      <c r="C179" s="57">
        <v>25360</v>
      </c>
      <c r="D179" s="218">
        <f t="shared" ca="1" si="8"/>
        <v>57</v>
      </c>
      <c r="E179" s="100">
        <v>36172</v>
      </c>
      <c r="F179" s="188">
        <f t="shared" ca="1" si="9"/>
        <v>27</v>
      </c>
      <c r="G179" s="57" t="s">
        <v>1298</v>
      </c>
      <c r="H179" s="3" t="s">
        <v>1298</v>
      </c>
      <c r="I179" s="3" t="s">
        <v>1298</v>
      </c>
      <c r="J179" s="3" t="s">
        <v>1298</v>
      </c>
      <c r="K179" s="165" t="s">
        <v>1418</v>
      </c>
      <c r="L179" s="3" t="s">
        <v>1289</v>
      </c>
      <c r="M179" s="175">
        <f t="shared" si="10"/>
        <v>1</v>
      </c>
      <c r="N179" s="4" t="s">
        <v>359</v>
      </c>
      <c r="O179" s="4" t="s">
        <v>374</v>
      </c>
      <c r="P179" s="4" t="str">
        <f>IFERROR(VLOOKUP(TRIM(CLEAN(O179)),'JOB GROUPS'!A:B,2,FALSE),"Not Found")</f>
        <v>NM7</v>
      </c>
      <c r="Q179" s="198">
        <f t="shared" ca="1" si="11"/>
        <v>12</v>
      </c>
      <c r="R179" s="180" t="s">
        <v>1208</v>
      </c>
      <c r="S179" s="6" t="s">
        <v>771</v>
      </c>
      <c r="T179" s="5" t="s">
        <v>369</v>
      </c>
      <c r="U179" s="13"/>
      <c r="V179" s="13"/>
      <c r="W179" s="13"/>
      <c r="X179" s="13"/>
      <c r="Y179" s="14"/>
      <c r="Z179" s="14"/>
      <c r="AA179" s="14"/>
      <c r="AB179" s="13"/>
      <c r="AC179" s="13"/>
      <c r="AD179" s="13"/>
      <c r="AE179" s="13"/>
    </row>
    <row r="180" spans="1:31" ht="14.4" customHeight="1" x14ac:dyDescent="0.3">
      <c r="A180" s="151">
        <v>19950950767</v>
      </c>
      <c r="B180" s="42" t="s">
        <v>182</v>
      </c>
      <c r="C180" s="57" t="s">
        <v>281</v>
      </c>
      <c r="D180" s="218">
        <f t="shared" ca="1" si="8"/>
        <v>51</v>
      </c>
      <c r="E180" s="100" t="s">
        <v>1144</v>
      </c>
      <c r="F180" s="188">
        <f t="shared" ca="1" si="9"/>
        <v>31</v>
      </c>
      <c r="G180" s="57" t="s">
        <v>1298</v>
      </c>
      <c r="H180" s="3" t="s">
        <v>1298</v>
      </c>
      <c r="I180" s="3" t="s">
        <v>1298</v>
      </c>
      <c r="J180" s="3" t="s">
        <v>1298</v>
      </c>
      <c r="K180" s="3" t="s">
        <v>1330</v>
      </c>
      <c r="L180" s="3" t="s">
        <v>1277</v>
      </c>
      <c r="M180" s="175">
        <f t="shared" si="10"/>
        <v>1</v>
      </c>
      <c r="N180" s="4" t="s">
        <v>361</v>
      </c>
      <c r="O180" s="4" t="s">
        <v>377</v>
      </c>
      <c r="P180" s="4" t="str">
        <f>IFERROR(VLOOKUP(TRIM(CLEAN(O180)),'JOB GROUPS'!A:B,2,FALSE),"Not Found")</f>
        <v>NM10</v>
      </c>
      <c r="Q180" s="198">
        <f t="shared" ca="1" si="11"/>
        <v>13</v>
      </c>
      <c r="R180" s="180" t="s">
        <v>1204</v>
      </c>
      <c r="S180" s="6" t="s">
        <v>657</v>
      </c>
      <c r="T180" s="5" t="s">
        <v>368</v>
      </c>
      <c r="U180" s="13"/>
      <c r="V180" s="13"/>
      <c r="W180" s="13"/>
      <c r="X180" s="13"/>
      <c r="Y180" s="14"/>
      <c r="Z180" s="14"/>
      <c r="AA180" s="14"/>
      <c r="AB180" s="13"/>
      <c r="AC180" s="13"/>
      <c r="AD180" s="13"/>
      <c r="AE180" s="13"/>
    </row>
    <row r="181" spans="1:31" ht="14.4" customHeight="1" x14ac:dyDescent="0.3">
      <c r="A181" s="152">
        <v>20060933611</v>
      </c>
      <c r="B181" s="3" t="s">
        <v>183</v>
      </c>
      <c r="C181" s="57">
        <v>31080</v>
      </c>
      <c r="D181" s="218">
        <f t="shared" ca="1" si="8"/>
        <v>41</v>
      </c>
      <c r="E181" s="100">
        <v>38729</v>
      </c>
      <c r="F181" s="188">
        <f t="shared" ca="1" si="9"/>
        <v>20</v>
      </c>
      <c r="G181" s="57" t="s">
        <v>1298</v>
      </c>
      <c r="H181" s="3" t="s">
        <v>1313</v>
      </c>
      <c r="I181" s="3" t="s">
        <v>1298</v>
      </c>
      <c r="J181" s="3" t="s">
        <v>1275</v>
      </c>
      <c r="K181" s="3" t="s">
        <v>1329</v>
      </c>
      <c r="L181" s="3" t="s">
        <v>1291</v>
      </c>
      <c r="M181" s="175">
        <f t="shared" si="10"/>
        <v>1</v>
      </c>
      <c r="N181" s="4" t="s">
        <v>361</v>
      </c>
      <c r="O181" s="4" t="s">
        <v>377</v>
      </c>
      <c r="P181" s="4" t="str">
        <f>IFERROR(VLOOKUP(TRIM(CLEAN(O181)),'JOB GROUPS'!A:B,2,FALSE),"Not Found")</f>
        <v>NM10</v>
      </c>
      <c r="Q181" s="198">
        <f t="shared" ca="1" si="11"/>
        <v>9</v>
      </c>
      <c r="R181" s="180" t="s">
        <v>1212</v>
      </c>
      <c r="S181" s="6" t="s">
        <v>772</v>
      </c>
      <c r="T181" s="29"/>
      <c r="U181" s="13"/>
      <c r="V181" s="13"/>
      <c r="W181" s="13"/>
      <c r="X181" s="13"/>
      <c r="Y181" s="47"/>
      <c r="Z181" s="47"/>
      <c r="AA181" s="47"/>
      <c r="AB181" s="13"/>
      <c r="AC181" s="13"/>
      <c r="AD181" s="13"/>
      <c r="AE181" s="13"/>
    </row>
    <row r="182" spans="1:31" ht="14.4" customHeight="1" x14ac:dyDescent="0.3">
      <c r="A182" s="152">
        <v>20089223994</v>
      </c>
      <c r="B182" s="3" t="s">
        <v>184</v>
      </c>
      <c r="C182" s="57" t="s">
        <v>282</v>
      </c>
      <c r="D182" s="218">
        <f t="shared" ca="1" si="8"/>
        <v>50</v>
      </c>
      <c r="E182" s="100">
        <v>39449</v>
      </c>
      <c r="F182" s="188">
        <f t="shared" ca="1" si="9"/>
        <v>18</v>
      </c>
      <c r="G182" s="57" t="s">
        <v>1298</v>
      </c>
      <c r="H182" s="3" t="s">
        <v>1298</v>
      </c>
      <c r="I182" s="3" t="s">
        <v>1298</v>
      </c>
      <c r="J182" s="3" t="s">
        <v>1298</v>
      </c>
      <c r="K182" s="3" t="s">
        <v>1320</v>
      </c>
      <c r="L182" s="3" t="s">
        <v>1290</v>
      </c>
      <c r="M182" s="175">
        <f t="shared" si="10"/>
        <v>1</v>
      </c>
      <c r="N182" s="4" t="s">
        <v>362</v>
      </c>
      <c r="O182" s="4" t="s">
        <v>378</v>
      </c>
      <c r="P182" s="4" t="str">
        <f>IFERROR(VLOOKUP(TRIM(CLEAN(O182)),'JOB GROUPS'!A:B,2,FALSE),"Not Found")</f>
        <v>NM11</v>
      </c>
      <c r="Q182" s="198">
        <f t="shared" ca="1" si="11"/>
        <v>18</v>
      </c>
      <c r="R182" s="180" t="s">
        <v>1228</v>
      </c>
      <c r="S182" s="6" t="s">
        <v>773</v>
      </c>
      <c r="T182" s="5" t="s">
        <v>369</v>
      </c>
      <c r="U182" s="13"/>
      <c r="V182" s="13"/>
      <c r="W182" s="13"/>
      <c r="X182" s="13"/>
      <c r="Y182" s="14"/>
      <c r="Z182" s="14"/>
      <c r="AA182" s="14"/>
      <c r="AB182" s="13"/>
      <c r="AC182" s="13"/>
      <c r="AD182" s="13"/>
      <c r="AE182" s="13"/>
    </row>
    <row r="183" spans="1:31" ht="14.4" customHeight="1" x14ac:dyDescent="0.3">
      <c r="A183" s="151">
        <v>20240300913</v>
      </c>
      <c r="B183" s="42" t="s">
        <v>185</v>
      </c>
      <c r="C183" s="57" t="s">
        <v>283</v>
      </c>
      <c r="D183" s="218">
        <f t="shared" ca="1" si="8"/>
        <v>35</v>
      </c>
      <c r="E183" s="100">
        <v>45299</v>
      </c>
      <c r="F183" s="188">
        <f t="shared" ca="1" si="9"/>
        <v>2</v>
      </c>
      <c r="G183" s="57">
        <v>45457</v>
      </c>
      <c r="H183" s="3" t="s">
        <v>1356</v>
      </c>
      <c r="I183" s="3" t="s">
        <v>1298</v>
      </c>
      <c r="J183" s="3" t="s">
        <v>1304</v>
      </c>
      <c r="K183" s="3" t="s">
        <v>1358</v>
      </c>
      <c r="L183" s="3" t="s">
        <v>1287</v>
      </c>
      <c r="M183" s="175">
        <f t="shared" si="10"/>
        <v>1</v>
      </c>
      <c r="N183" s="4" t="s">
        <v>1357</v>
      </c>
      <c r="O183" s="4" t="s">
        <v>375</v>
      </c>
      <c r="P183" s="4" t="str">
        <f>IFERROR(VLOOKUP(TRIM(CLEAN(O183)),'JOB GROUPS'!A:B,2,FALSE),"Not Found")</f>
        <v>NM8</v>
      </c>
      <c r="Q183" s="198">
        <f t="shared" ca="1" si="11"/>
        <v>1</v>
      </c>
      <c r="R183" s="180" t="s">
        <v>1266</v>
      </c>
      <c r="S183" s="6" t="s">
        <v>774</v>
      </c>
      <c r="T183" s="30" t="s">
        <v>369</v>
      </c>
      <c r="U183" s="13"/>
      <c r="V183" s="13"/>
      <c r="W183" s="13"/>
      <c r="X183" s="13"/>
      <c r="Y183" s="48"/>
      <c r="Z183" s="48"/>
      <c r="AA183" s="48"/>
      <c r="AB183" s="13"/>
      <c r="AC183" s="13"/>
      <c r="AD183" s="13"/>
      <c r="AE183" s="13"/>
    </row>
    <row r="184" spans="1:31" ht="14.4" customHeight="1" x14ac:dyDescent="0.3">
      <c r="A184" s="152" t="s">
        <v>1271</v>
      </c>
      <c r="B184" s="3"/>
      <c r="C184" s="57"/>
      <c r="D184" s="218">
        <f t="shared" ca="1" si="8"/>
        <v>126</v>
      </c>
      <c r="E184" s="100"/>
      <c r="F184" s="188">
        <f t="shared" ca="1" si="9"/>
        <v>126</v>
      </c>
      <c r="G184" s="57" t="s">
        <v>1298</v>
      </c>
      <c r="H184" s="3" t="s">
        <v>1298</v>
      </c>
      <c r="I184" s="3" t="s">
        <v>1298</v>
      </c>
      <c r="J184" s="3" t="s">
        <v>1298</v>
      </c>
      <c r="K184" s="3" t="s">
        <v>1298</v>
      </c>
      <c r="L184" s="3" t="s">
        <v>1298</v>
      </c>
      <c r="M184" s="175">
        <f t="shared" si="10"/>
        <v>1</v>
      </c>
      <c r="N184" s="4"/>
      <c r="O184" s="4"/>
      <c r="P184" s="4" t="str">
        <f>IFERROR(VLOOKUP(TRIM(CLEAN(O184)),'JOB GROUPS'!A:B,2,FALSE),"Not Found")</f>
        <v>Not Found</v>
      </c>
      <c r="Q184" s="198" t="e">
        <f t="shared" ca="1" si="11"/>
        <v>#VALUE!</v>
      </c>
      <c r="R184" s="180" t="s">
        <v>1271</v>
      </c>
      <c r="S184" s="6" t="s">
        <v>659</v>
      </c>
      <c r="T184" s="5" t="s">
        <v>369</v>
      </c>
      <c r="U184" s="13"/>
      <c r="V184" s="13"/>
      <c r="W184" s="13"/>
      <c r="X184" s="13"/>
      <c r="Y184" s="14"/>
      <c r="Z184" s="14"/>
      <c r="AA184" s="14"/>
      <c r="AB184" s="13"/>
      <c r="AC184" s="13"/>
      <c r="AD184" s="13"/>
      <c r="AE184" s="13"/>
    </row>
    <row r="185" spans="1:31" ht="14.4" customHeight="1" x14ac:dyDescent="0.3">
      <c r="A185" s="152">
        <v>19961316675</v>
      </c>
      <c r="B185" s="3" t="s">
        <v>186</v>
      </c>
      <c r="C185" s="57" t="s">
        <v>284</v>
      </c>
      <c r="D185" s="218">
        <f t="shared" ca="1" si="8"/>
        <v>59</v>
      </c>
      <c r="E185" s="100">
        <v>35066</v>
      </c>
      <c r="F185" s="188">
        <f t="shared" ca="1" si="9"/>
        <v>30</v>
      </c>
      <c r="G185" s="57" t="s">
        <v>1298</v>
      </c>
      <c r="H185" s="3" t="s">
        <v>1298</v>
      </c>
      <c r="I185" s="3" t="s">
        <v>1298</v>
      </c>
      <c r="J185" s="3" t="s">
        <v>1298</v>
      </c>
      <c r="K185" s="3" t="s">
        <v>1309</v>
      </c>
      <c r="L185" s="3" t="s">
        <v>1286</v>
      </c>
      <c r="M185" s="175">
        <f t="shared" si="10"/>
        <v>1</v>
      </c>
      <c r="N185" s="4" t="s">
        <v>363</v>
      </c>
      <c r="O185" s="4" t="s">
        <v>383</v>
      </c>
      <c r="P185" s="4" t="str">
        <f>IFERROR(VLOOKUP(TRIM(CLEAN(O185)),'JOB GROUPS'!A:B,2,FALSE),"Not Found")</f>
        <v>NM2</v>
      </c>
      <c r="Q185" s="198">
        <f t="shared" ca="1" si="11"/>
        <v>10</v>
      </c>
      <c r="R185" s="180" t="s">
        <v>1207</v>
      </c>
      <c r="S185" s="6" t="s">
        <v>775</v>
      </c>
      <c r="T185" s="5" t="s">
        <v>369</v>
      </c>
      <c r="U185" s="13"/>
      <c r="V185" s="13"/>
      <c r="W185" s="13"/>
      <c r="X185" s="13"/>
      <c r="Y185" s="14"/>
      <c r="Z185" s="14"/>
      <c r="AA185" s="14"/>
      <c r="AB185" s="13"/>
      <c r="AC185" s="13"/>
      <c r="AD185" s="13"/>
      <c r="AE185" s="13"/>
    </row>
    <row r="186" spans="1:31" ht="14.4" customHeight="1" x14ac:dyDescent="0.3">
      <c r="A186" s="151">
        <v>20131165402</v>
      </c>
      <c r="B186" s="42" t="s">
        <v>187</v>
      </c>
      <c r="C186" s="57">
        <v>27555</v>
      </c>
      <c r="D186" s="218">
        <f t="shared" ca="1" si="8"/>
        <v>51</v>
      </c>
      <c r="E186" s="100">
        <v>41277</v>
      </c>
      <c r="F186" s="188">
        <f t="shared" ca="1" si="9"/>
        <v>13</v>
      </c>
      <c r="G186" s="57" t="s">
        <v>1298</v>
      </c>
      <c r="H186" s="3" t="s">
        <v>1298</v>
      </c>
      <c r="I186" s="3" t="s">
        <v>1298</v>
      </c>
      <c r="J186" s="3" t="s">
        <v>1298</v>
      </c>
      <c r="K186" s="3" t="s">
        <v>1379</v>
      </c>
      <c r="L186" s="3" t="s">
        <v>1283</v>
      </c>
      <c r="M186" s="175">
        <f t="shared" si="10"/>
        <v>1</v>
      </c>
      <c r="N186" s="4" t="s">
        <v>323</v>
      </c>
      <c r="O186" s="4" t="s">
        <v>373</v>
      </c>
      <c r="P186" s="4" t="str">
        <f>IFERROR(VLOOKUP(TRIM(CLEAN(O186)),'JOB GROUPS'!A:B,2,FALSE),"Not Found")</f>
        <v>NM4</v>
      </c>
      <c r="Q186" s="198">
        <f t="shared" ca="1" si="11"/>
        <v>9</v>
      </c>
      <c r="R186" s="180" t="s">
        <v>1216</v>
      </c>
      <c r="S186" s="6" t="s">
        <v>776</v>
      </c>
      <c r="T186" s="5" t="s">
        <v>369</v>
      </c>
      <c r="U186" s="13"/>
      <c r="V186" s="13"/>
      <c r="W186" s="13"/>
      <c r="X186" s="13"/>
      <c r="Y186" s="14"/>
      <c r="Z186" s="14"/>
      <c r="AA186" s="14"/>
      <c r="AB186" s="13"/>
      <c r="AC186" s="13"/>
      <c r="AD186" s="13"/>
      <c r="AE186" s="13"/>
    </row>
    <row r="187" spans="1:31" ht="14.4" customHeight="1" x14ac:dyDescent="0.3">
      <c r="A187" s="151">
        <v>20114215503</v>
      </c>
      <c r="B187" s="42" t="s">
        <v>188</v>
      </c>
      <c r="C187" s="57" t="s">
        <v>285</v>
      </c>
      <c r="D187" s="218">
        <f t="shared" ca="1" si="8"/>
        <v>43</v>
      </c>
      <c r="E187" s="100">
        <v>40550</v>
      </c>
      <c r="F187" s="188">
        <f t="shared" ca="1" si="9"/>
        <v>15</v>
      </c>
      <c r="G187" s="57">
        <v>40026</v>
      </c>
      <c r="H187" s="3" t="s">
        <v>1301</v>
      </c>
      <c r="I187" s="3" t="s">
        <v>1298</v>
      </c>
      <c r="J187" s="3" t="s">
        <v>1305</v>
      </c>
      <c r="K187" s="3" t="s">
        <v>1309</v>
      </c>
      <c r="L187" s="3" t="s">
        <v>1286</v>
      </c>
      <c r="M187" s="175">
        <f t="shared" si="10"/>
        <v>1</v>
      </c>
      <c r="N187" s="4" t="s">
        <v>307</v>
      </c>
      <c r="O187" s="4" t="s">
        <v>380</v>
      </c>
      <c r="P187" s="4" t="str">
        <f>IFERROR(VLOOKUP(TRIM(CLEAN(O187)),'JOB GROUPS'!A:B,2,FALSE),"Not Found")</f>
        <v>NM5</v>
      </c>
      <c r="Q187" s="198">
        <f t="shared" ca="1" si="11"/>
        <v>9</v>
      </c>
      <c r="R187" s="180" t="s">
        <v>1194</v>
      </c>
      <c r="S187" s="6" t="s">
        <v>777</v>
      </c>
      <c r="T187" s="5" t="s">
        <v>370</v>
      </c>
      <c r="U187" s="13"/>
      <c r="V187" s="13"/>
      <c r="W187" s="13"/>
      <c r="X187" s="13"/>
      <c r="Y187" s="14"/>
      <c r="Z187" s="14"/>
      <c r="AA187" s="14"/>
      <c r="AB187" s="13"/>
      <c r="AC187" s="13"/>
      <c r="AD187" s="13"/>
      <c r="AE187" s="13"/>
    </row>
    <row r="188" spans="1:31" ht="14.4" customHeight="1" x14ac:dyDescent="0.3">
      <c r="A188" s="151">
        <v>19911126834</v>
      </c>
      <c r="B188" s="42" t="s">
        <v>189</v>
      </c>
      <c r="C188" s="57" t="s">
        <v>286</v>
      </c>
      <c r="D188" s="218">
        <f t="shared" ca="1" si="8"/>
        <v>59</v>
      </c>
      <c r="E188" s="100">
        <v>33250</v>
      </c>
      <c r="F188" s="188">
        <f t="shared" ca="1" si="9"/>
        <v>35</v>
      </c>
      <c r="G188" s="57" t="s">
        <v>1298</v>
      </c>
      <c r="H188" s="3" t="s">
        <v>1298</v>
      </c>
      <c r="I188" s="3" t="s">
        <v>1298</v>
      </c>
      <c r="J188" s="3" t="s">
        <v>1298</v>
      </c>
      <c r="K188" s="3" t="s">
        <v>1296</v>
      </c>
      <c r="L188" s="3" t="s">
        <v>1277</v>
      </c>
      <c r="M188" s="175">
        <f t="shared" si="10"/>
        <v>1</v>
      </c>
      <c r="N188" s="4" t="s">
        <v>351</v>
      </c>
      <c r="O188" s="4" t="s">
        <v>374</v>
      </c>
      <c r="P188" s="4" t="str">
        <f>IFERROR(VLOOKUP(TRIM(CLEAN(O188)),'JOB GROUPS'!A:B,2,FALSE),"Not Found")</f>
        <v>NM7</v>
      </c>
      <c r="Q188" s="198">
        <f t="shared" ca="1" si="11"/>
        <v>9</v>
      </c>
      <c r="R188" s="180" t="s">
        <v>1194</v>
      </c>
      <c r="S188" s="6" t="s">
        <v>778</v>
      </c>
      <c r="T188" s="5"/>
      <c r="U188" s="13"/>
      <c r="V188" s="13"/>
      <c r="W188" s="13"/>
      <c r="X188" s="13"/>
      <c r="Y188" s="14"/>
      <c r="Z188" s="14"/>
      <c r="AA188" s="14"/>
      <c r="AB188" s="13"/>
      <c r="AC188" s="13"/>
      <c r="AD188" s="13"/>
      <c r="AE188" s="13"/>
    </row>
    <row r="189" spans="1:31" ht="14.4" customHeight="1" x14ac:dyDescent="0.3">
      <c r="A189" s="152">
        <v>19920654331</v>
      </c>
      <c r="B189" s="3" t="s">
        <v>190</v>
      </c>
      <c r="C189" s="57" t="s">
        <v>287</v>
      </c>
      <c r="D189" s="218">
        <f t="shared" ca="1" si="8"/>
        <v>56</v>
      </c>
      <c r="E189" s="100">
        <v>33612</v>
      </c>
      <c r="F189" s="188">
        <f t="shared" ca="1" si="9"/>
        <v>34</v>
      </c>
      <c r="G189" s="57" t="s">
        <v>1298</v>
      </c>
      <c r="H189" s="3" t="s">
        <v>1303</v>
      </c>
      <c r="I189" s="3" t="s">
        <v>1302</v>
      </c>
      <c r="J189" s="3" t="s">
        <v>1298</v>
      </c>
      <c r="K189" s="3" t="s">
        <v>1298</v>
      </c>
      <c r="L189" s="3" t="s">
        <v>1298</v>
      </c>
      <c r="M189" s="175">
        <f t="shared" si="10"/>
        <v>1</v>
      </c>
      <c r="N189" s="4" t="s">
        <v>351</v>
      </c>
      <c r="O189" s="4" t="s">
        <v>374</v>
      </c>
      <c r="P189" s="4" t="str">
        <f>IFERROR(VLOOKUP(TRIM(CLEAN(O189)),'JOB GROUPS'!A:B,2,FALSE),"Not Found")</f>
        <v>NM7</v>
      </c>
      <c r="Q189" s="198">
        <f t="shared" ca="1" si="11"/>
        <v>9</v>
      </c>
      <c r="R189" s="180" t="s">
        <v>1196</v>
      </c>
      <c r="S189" s="6" t="s">
        <v>779</v>
      </c>
      <c r="T189" s="5" t="s">
        <v>368</v>
      </c>
      <c r="U189" s="13"/>
      <c r="V189" s="13"/>
      <c r="W189" s="13"/>
      <c r="X189" s="13"/>
      <c r="Y189" s="14"/>
      <c r="Z189" s="14"/>
      <c r="AA189" s="14"/>
      <c r="AB189" s="13"/>
      <c r="AC189" s="13"/>
      <c r="AD189" s="13"/>
      <c r="AE189" s="13"/>
    </row>
    <row r="190" spans="1:31" ht="14.4" customHeight="1" x14ac:dyDescent="0.3">
      <c r="A190" s="152">
        <v>20060933776</v>
      </c>
      <c r="B190" s="3" t="s">
        <v>191</v>
      </c>
      <c r="C190" s="57" t="s">
        <v>288</v>
      </c>
      <c r="D190" s="218">
        <f t="shared" ca="1" si="8"/>
        <v>50</v>
      </c>
      <c r="E190" s="100">
        <v>38726</v>
      </c>
      <c r="F190" s="188">
        <f t="shared" ca="1" si="9"/>
        <v>20</v>
      </c>
      <c r="G190" s="57">
        <v>38657</v>
      </c>
      <c r="H190" s="3" t="s">
        <v>1301</v>
      </c>
      <c r="I190" s="3" t="s">
        <v>1298</v>
      </c>
      <c r="J190" s="3" t="s">
        <v>1305</v>
      </c>
      <c r="K190" s="3" t="s">
        <v>1310</v>
      </c>
      <c r="L190" s="3" t="s">
        <v>1287</v>
      </c>
      <c r="M190" s="175">
        <f t="shared" si="10"/>
        <v>1</v>
      </c>
      <c r="N190" s="4" t="s">
        <v>307</v>
      </c>
      <c r="O190" s="4" t="s">
        <v>380</v>
      </c>
      <c r="P190" s="4" t="str">
        <f>IFERROR(VLOOKUP(TRIM(CLEAN(O190)),'JOB GROUPS'!A:B,2,FALSE),"Not Found")</f>
        <v>NM5</v>
      </c>
      <c r="Q190" s="198">
        <f t="shared" ca="1" si="11"/>
        <v>16</v>
      </c>
      <c r="R190" s="180" t="s">
        <v>1215</v>
      </c>
      <c r="S190" s="6" t="s">
        <v>780</v>
      </c>
      <c r="T190" s="5" t="s">
        <v>369</v>
      </c>
      <c r="U190" s="13"/>
      <c r="V190" s="13"/>
      <c r="W190" s="13"/>
      <c r="X190" s="13"/>
      <c r="Y190" s="14"/>
      <c r="Z190" s="14"/>
      <c r="AA190" s="14"/>
      <c r="AB190" s="13"/>
      <c r="AC190" s="13"/>
      <c r="AD190" s="13"/>
      <c r="AE190" s="13"/>
    </row>
    <row r="191" spans="1:31" ht="14.4" customHeight="1" x14ac:dyDescent="0.3">
      <c r="A191" s="152">
        <v>20160708732</v>
      </c>
      <c r="B191" s="177" t="s">
        <v>192</v>
      </c>
      <c r="C191" s="57">
        <v>31999</v>
      </c>
      <c r="D191" s="218">
        <f t="shared" ca="1" si="8"/>
        <v>38</v>
      </c>
      <c r="E191" s="100">
        <v>42379</v>
      </c>
      <c r="F191" s="188">
        <f t="shared" ca="1" si="9"/>
        <v>10</v>
      </c>
      <c r="G191" s="57" t="s">
        <v>1298</v>
      </c>
      <c r="H191" s="3" t="s">
        <v>1298</v>
      </c>
      <c r="I191" s="3" t="s">
        <v>1298</v>
      </c>
      <c r="J191" s="3" t="s">
        <v>1298</v>
      </c>
      <c r="K191" s="3" t="s">
        <v>1298</v>
      </c>
      <c r="L191" s="3" t="s">
        <v>1298</v>
      </c>
      <c r="M191" s="175">
        <f t="shared" si="10"/>
        <v>1</v>
      </c>
      <c r="N191" s="4" t="s">
        <v>352</v>
      </c>
      <c r="O191" s="4" t="s">
        <v>374</v>
      </c>
      <c r="P191" s="4" t="str">
        <f>IFERROR(VLOOKUP(TRIM(CLEAN(O191)),'JOB GROUPS'!A:B,2,FALSE),"Not Found")</f>
        <v>NM7</v>
      </c>
      <c r="Q191" s="198">
        <f t="shared" ca="1" si="11"/>
        <v>9</v>
      </c>
      <c r="R191" s="180" t="s">
        <v>1244</v>
      </c>
      <c r="S191" s="6" t="s">
        <v>657</v>
      </c>
      <c r="T191" s="5" t="s">
        <v>369</v>
      </c>
      <c r="U191" s="13"/>
      <c r="V191" s="13"/>
      <c r="W191" s="13"/>
      <c r="X191" s="13"/>
      <c r="Y191" s="14"/>
      <c r="Z191" s="14"/>
      <c r="AA191" s="14"/>
      <c r="AB191" s="13"/>
      <c r="AC191" s="13"/>
      <c r="AD191" s="13"/>
      <c r="AE191" s="13"/>
    </row>
    <row r="192" spans="1:31" ht="14.4" customHeight="1" x14ac:dyDescent="0.3">
      <c r="A192" s="152">
        <v>20190641326</v>
      </c>
      <c r="B192" s="3" t="s">
        <v>193</v>
      </c>
      <c r="C192" s="57" t="s">
        <v>289</v>
      </c>
      <c r="D192" s="218">
        <f t="shared" ca="1" si="8"/>
        <v>36</v>
      </c>
      <c r="E192" s="100">
        <v>43625</v>
      </c>
      <c r="F192" s="188">
        <f t="shared" ca="1" si="9"/>
        <v>7</v>
      </c>
      <c r="G192" s="57" t="s">
        <v>1298</v>
      </c>
      <c r="H192" s="3" t="s">
        <v>1298</v>
      </c>
      <c r="I192" s="3" t="s">
        <v>1298</v>
      </c>
      <c r="J192" s="3" t="s">
        <v>1298</v>
      </c>
      <c r="K192" s="3" t="s">
        <v>1309</v>
      </c>
      <c r="L192" s="3" t="s">
        <v>1286</v>
      </c>
      <c r="M192" s="175">
        <f t="shared" si="10"/>
        <v>1</v>
      </c>
      <c r="N192" s="4" t="s">
        <v>351</v>
      </c>
      <c r="O192" s="4" t="s">
        <v>374</v>
      </c>
      <c r="P192" s="4" t="str">
        <f>IFERROR(VLOOKUP(TRIM(CLEAN(O192)),'JOB GROUPS'!A:B,2,FALSE),"Not Found")</f>
        <v>NM7</v>
      </c>
      <c r="Q192" s="198">
        <f t="shared" ca="1" si="11"/>
        <v>6</v>
      </c>
      <c r="R192" s="180" t="s">
        <v>1256</v>
      </c>
      <c r="S192" s="6" t="s">
        <v>781</v>
      </c>
      <c r="T192" s="5" t="s">
        <v>369</v>
      </c>
      <c r="U192" s="13"/>
      <c r="V192" s="13"/>
      <c r="W192" s="13"/>
      <c r="X192" s="13"/>
      <c r="Y192" s="14"/>
      <c r="Z192" s="14"/>
      <c r="AA192" s="14"/>
      <c r="AB192" s="13"/>
      <c r="AC192" s="13"/>
      <c r="AD192" s="13"/>
      <c r="AE192" s="13"/>
    </row>
    <row r="193" spans="1:31" ht="14.4" customHeight="1" x14ac:dyDescent="0.3">
      <c r="A193" s="152">
        <v>20190119423</v>
      </c>
      <c r="B193" s="3" t="s">
        <v>194</v>
      </c>
      <c r="C193" s="57" t="s">
        <v>290</v>
      </c>
      <c r="D193" s="218">
        <f t="shared" ca="1" si="8"/>
        <v>37</v>
      </c>
      <c r="E193" s="100" t="s">
        <v>1005</v>
      </c>
      <c r="F193" s="188">
        <f t="shared" ca="1" si="9"/>
        <v>5</v>
      </c>
      <c r="G193" s="57" t="s">
        <v>1298</v>
      </c>
      <c r="H193" s="3" t="s">
        <v>1301</v>
      </c>
      <c r="I193" s="3" t="s">
        <v>1298</v>
      </c>
      <c r="J193" s="3" t="s">
        <v>1298</v>
      </c>
      <c r="K193" s="3" t="s">
        <v>1298</v>
      </c>
      <c r="L193" s="3" t="s">
        <v>1298</v>
      </c>
      <c r="M193" s="175">
        <f t="shared" si="10"/>
        <v>1</v>
      </c>
      <c r="N193" s="4" t="s">
        <v>311</v>
      </c>
      <c r="O193" s="4" t="s">
        <v>375</v>
      </c>
      <c r="P193" s="4" t="str">
        <f>IFERROR(VLOOKUP(TRIM(CLEAN(O193)),'JOB GROUPS'!A:B,2,FALSE),"Not Found")</f>
        <v>NM8</v>
      </c>
      <c r="Q193" s="198">
        <f t="shared" ca="1" si="11"/>
        <v>1</v>
      </c>
      <c r="R193" s="180" t="s">
        <v>1255</v>
      </c>
      <c r="S193" s="6" t="s">
        <v>782</v>
      </c>
      <c r="T193" s="5" t="s">
        <v>369</v>
      </c>
      <c r="U193" s="13"/>
      <c r="V193" s="13"/>
      <c r="W193" s="13"/>
      <c r="X193" s="13"/>
      <c r="Y193" s="14"/>
      <c r="Z193" s="14"/>
      <c r="AA193" s="14"/>
      <c r="AB193" s="13"/>
      <c r="AC193" s="13"/>
      <c r="AD193" s="13"/>
      <c r="AE193" s="13"/>
    </row>
    <row r="194" spans="1:31" ht="14.4" customHeight="1" x14ac:dyDescent="0.3">
      <c r="A194" s="151">
        <v>20210646088</v>
      </c>
      <c r="B194" s="42" t="s">
        <v>195</v>
      </c>
      <c r="C194" s="57">
        <v>33032</v>
      </c>
      <c r="D194" s="218">
        <f t="shared" ca="1" si="8"/>
        <v>36</v>
      </c>
      <c r="E194" s="100">
        <v>44415</v>
      </c>
      <c r="F194" s="188">
        <f t="shared" ca="1" si="9"/>
        <v>4</v>
      </c>
      <c r="G194" s="57" t="s">
        <v>1298</v>
      </c>
      <c r="H194" s="3" t="s">
        <v>1298</v>
      </c>
      <c r="I194" s="3" t="s">
        <v>1298</v>
      </c>
      <c r="J194" s="3" t="s">
        <v>1298</v>
      </c>
      <c r="K194" s="3" t="s">
        <v>1310</v>
      </c>
      <c r="L194" s="3" t="s">
        <v>1287</v>
      </c>
      <c r="M194" s="175">
        <f t="shared" si="10"/>
        <v>1</v>
      </c>
      <c r="N194" s="4" t="s">
        <v>311</v>
      </c>
      <c r="O194" s="4" t="s">
        <v>375</v>
      </c>
      <c r="P194" s="4" t="str">
        <f>IFERROR(VLOOKUP(TRIM(CLEAN(O194)),'JOB GROUPS'!A:B,2,FALSE),"Not Found")</f>
        <v>NM8</v>
      </c>
      <c r="Q194" s="198">
        <f t="shared" ca="1" si="11"/>
        <v>4</v>
      </c>
      <c r="R194" s="180" t="s">
        <v>1261</v>
      </c>
      <c r="S194" s="6" t="s">
        <v>783</v>
      </c>
      <c r="T194" s="5" t="s">
        <v>369</v>
      </c>
      <c r="U194" s="13"/>
      <c r="V194" s="13"/>
      <c r="W194" s="13"/>
      <c r="X194" s="13"/>
      <c r="Y194" s="14"/>
      <c r="Z194" s="14"/>
      <c r="AA194" s="14"/>
      <c r="AB194" s="13"/>
      <c r="AC194" s="13"/>
      <c r="AD194" s="13"/>
      <c r="AE194" s="13"/>
    </row>
    <row r="195" spans="1:31" ht="14.4" customHeight="1" x14ac:dyDescent="0.3">
      <c r="A195" s="151">
        <v>20250067355</v>
      </c>
      <c r="B195" s="42" t="s">
        <v>196</v>
      </c>
      <c r="C195" s="57" t="s">
        <v>291</v>
      </c>
      <c r="D195" s="218">
        <f t="shared" ca="1" si="8"/>
        <v>29</v>
      </c>
      <c r="E195" s="100">
        <v>45693</v>
      </c>
      <c r="F195" s="188">
        <f t="shared" ca="1" si="9"/>
        <v>1</v>
      </c>
      <c r="G195" s="57" t="s">
        <v>1298</v>
      </c>
      <c r="H195" s="3" t="s">
        <v>1298</v>
      </c>
      <c r="I195" s="3" t="s">
        <v>1298</v>
      </c>
      <c r="J195" s="3" t="s">
        <v>1298</v>
      </c>
      <c r="K195" s="3" t="s">
        <v>1385</v>
      </c>
      <c r="L195" s="3" t="s">
        <v>1286</v>
      </c>
      <c r="M195" s="175">
        <f t="shared" si="10"/>
        <v>1</v>
      </c>
      <c r="N195" s="4" t="s">
        <v>364</v>
      </c>
      <c r="O195" s="4" t="s">
        <v>375</v>
      </c>
      <c r="P195" s="4" t="str">
        <f>IFERROR(VLOOKUP(TRIM(CLEAN(O195)),'JOB GROUPS'!A:B,2,FALSE),"Not Found")</f>
        <v>NM8</v>
      </c>
      <c r="Q195" s="198">
        <f t="shared" ca="1" si="11"/>
        <v>1</v>
      </c>
      <c r="R195" s="180" t="s">
        <v>1264</v>
      </c>
      <c r="S195" s="6" t="s">
        <v>784</v>
      </c>
      <c r="T195" s="5" t="s">
        <v>368</v>
      </c>
      <c r="U195" s="13"/>
      <c r="V195" s="13"/>
      <c r="W195" s="13"/>
      <c r="X195" s="13"/>
      <c r="Y195" s="14"/>
      <c r="Z195" s="14"/>
      <c r="AA195" s="14"/>
      <c r="AB195" s="13"/>
      <c r="AC195" s="13"/>
      <c r="AD195" s="13"/>
      <c r="AE195" s="13"/>
    </row>
    <row r="196" spans="1:31" ht="14.4" customHeight="1" x14ac:dyDescent="0.3">
      <c r="A196" s="151">
        <v>20106534503</v>
      </c>
      <c r="B196" s="42" t="s">
        <v>197</v>
      </c>
      <c r="C196" s="57" t="s">
        <v>292</v>
      </c>
      <c r="D196" s="218">
        <f t="shared" ref="D196:D218" ca="1" si="12">DATEDIF(C196,TODAY(),"Y")</f>
        <v>46</v>
      </c>
      <c r="E196" s="100">
        <v>40185</v>
      </c>
      <c r="F196" s="188">
        <f t="shared" ref="F196:F218" ca="1" si="13">DATEDIF(E196,TODAY(),"Y")</f>
        <v>16</v>
      </c>
      <c r="G196" s="57">
        <v>38883</v>
      </c>
      <c r="H196" s="3" t="s">
        <v>1313</v>
      </c>
      <c r="I196" s="3" t="s">
        <v>1298</v>
      </c>
      <c r="J196" s="3" t="s">
        <v>1304</v>
      </c>
      <c r="K196" s="3" t="s">
        <v>1328</v>
      </c>
      <c r="L196" s="3" t="s">
        <v>1290</v>
      </c>
      <c r="M196" s="175">
        <f t="shared" ref="M196:M275" si="14">IF(COUNTA(G196:L196)=0,0,1)</f>
        <v>1</v>
      </c>
      <c r="N196" s="4" t="s">
        <v>313</v>
      </c>
      <c r="O196" s="4" t="s">
        <v>377</v>
      </c>
      <c r="P196" s="4" t="str">
        <f>IFERROR(VLOOKUP(TRIM(CLEAN(O196)),'JOB GROUPS'!A:B,2,FALSE),"Not Found")</f>
        <v>NM10</v>
      </c>
      <c r="Q196" s="198">
        <f t="shared" ref="Q196:Q218" ca="1" si="15">DATEDIF(R196,TODAY(),"Y")</f>
        <v>13</v>
      </c>
      <c r="R196" s="180" t="s">
        <v>1204</v>
      </c>
      <c r="S196" s="6" t="s">
        <v>785</v>
      </c>
      <c r="T196" s="5" t="s">
        <v>368</v>
      </c>
      <c r="U196" s="13"/>
      <c r="V196" s="13"/>
      <c r="W196" s="13"/>
      <c r="X196" s="13"/>
      <c r="Y196" s="14"/>
      <c r="Z196" s="14"/>
      <c r="AA196" s="14"/>
      <c r="AB196" s="13"/>
      <c r="AC196" s="13"/>
      <c r="AD196" s="13"/>
      <c r="AE196" s="13"/>
    </row>
    <row r="197" spans="1:31" ht="14.4" customHeight="1" x14ac:dyDescent="0.3">
      <c r="A197" s="151">
        <v>20220598203</v>
      </c>
      <c r="B197" s="42" t="s">
        <v>198</v>
      </c>
      <c r="C197" s="57" t="s">
        <v>293</v>
      </c>
      <c r="D197" s="218">
        <f t="shared" ca="1" si="12"/>
        <v>28</v>
      </c>
      <c r="E197" s="100" t="s">
        <v>1187</v>
      </c>
      <c r="F197" s="188">
        <f t="shared" ca="1" si="13"/>
        <v>4</v>
      </c>
      <c r="G197" s="57" t="s">
        <v>1298</v>
      </c>
      <c r="H197" s="3" t="s">
        <v>1301</v>
      </c>
      <c r="I197" s="3" t="s">
        <v>1298</v>
      </c>
      <c r="J197" s="3" t="s">
        <v>1304</v>
      </c>
      <c r="K197" s="3" t="s">
        <v>1298</v>
      </c>
      <c r="L197" s="3" t="s">
        <v>1298</v>
      </c>
      <c r="M197" s="175">
        <f t="shared" si="14"/>
        <v>1</v>
      </c>
      <c r="N197" s="4" t="s">
        <v>319</v>
      </c>
      <c r="O197" s="2" t="s">
        <v>379</v>
      </c>
      <c r="P197" s="4" t="str">
        <f>IFERROR(VLOOKUP(TRIM(CLEAN(O197)),'JOB GROUPS'!A:B,2,FALSE),"Not Found")</f>
        <v>NM12</v>
      </c>
      <c r="Q197" s="198">
        <f t="shared" ca="1" si="15"/>
        <v>4</v>
      </c>
      <c r="R197" s="180" t="s">
        <v>1187</v>
      </c>
      <c r="S197" s="6" t="s">
        <v>759</v>
      </c>
      <c r="T197" s="5" t="s">
        <v>368</v>
      </c>
      <c r="U197" s="13"/>
      <c r="V197" s="13"/>
      <c r="W197" s="13"/>
      <c r="X197" s="13"/>
      <c r="Y197" s="14"/>
      <c r="Z197" s="14"/>
      <c r="AA197" s="14"/>
      <c r="AB197" s="13"/>
      <c r="AC197" s="13"/>
      <c r="AD197" s="13"/>
      <c r="AE197" s="13"/>
    </row>
    <row r="198" spans="1:31" ht="14.4" customHeight="1" x14ac:dyDescent="0.3">
      <c r="A198" s="151">
        <v>20240300921</v>
      </c>
      <c r="B198" s="42" t="s">
        <v>199</v>
      </c>
      <c r="C198" s="57" t="s">
        <v>294</v>
      </c>
      <c r="D198" s="218">
        <f t="shared" ca="1" si="12"/>
        <v>34</v>
      </c>
      <c r="E198" s="100">
        <v>45302</v>
      </c>
      <c r="F198" s="188">
        <f t="shared" ca="1" si="13"/>
        <v>2</v>
      </c>
      <c r="G198" s="57">
        <v>44225</v>
      </c>
      <c r="H198" s="3" t="s">
        <v>1362</v>
      </c>
      <c r="I198" s="3" t="s">
        <v>1298</v>
      </c>
      <c r="J198" s="3" t="s">
        <v>1305</v>
      </c>
      <c r="K198" s="3" t="s">
        <v>1298</v>
      </c>
      <c r="L198" s="3" t="s">
        <v>1298</v>
      </c>
      <c r="M198" s="175">
        <f t="shared" si="14"/>
        <v>1</v>
      </c>
      <c r="N198" s="4" t="s">
        <v>319</v>
      </c>
      <c r="O198" s="2" t="s">
        <v>379</v>
      </c>
      <c r="P198" s="4" t="str">
        <f>IFERROR(VLOOKUP(TRIM(CLEAN(O198)),'JOB GROUPS'!A:B,2,FALSE),"Not Found")</f>
        <v>NM12</v>
      </c>
      <c r="Q198" s="198">
        <f t="shared" ca="1" si="15"/>
        <v>1</v>
      </c>
      <c r="R198" s="180" t="s">
        <v>1267</v>
      </c>
      <c r="S198" s="6" t="s">
        <v>786</v>
      </c>
      <c r="T198" s="5" t="s">
        <v>368</v>
      </c>
      <c r="U198" s="13"/>
      <c r="V198" s="13"/>
      <c r="W198" s="13"/>
      <c r="X198" s="13"/>
      <c r="Y198" s="14"/>
      <c r="Z198" s="14"/>
      <c r="AA198" s="14"/>
      <c r="AB198" s="13"/>
      <c r="AC198" s="13"/>
      <c r="AD198" s="13"/>
      <c r="AE198" s="13"/>
    </row>
    <row r="199" spans="1:31" ht="15" customHeight="1" thickBot="1" x14ac:dyDescent="0.35">
      <c r="A199" s="151">
        <v>20250067321</v>
      </c>
      <c r="B199" s="42" t="s">
        <v>1429</v>
      </c>
      <c r="C199" s="57">
        <v>36560</v>
      </c>
      <c r="D199" s="218">
        <f t="shared" ca="1" si="12"/>
        <v>26</v>
      </c>
      <c r="E199" s="100">
        <v>45693</v>
      </c>
      <c r="F199" s="188">
        <f t="shared" ca="1" si="13"/>
        <v>1</v>
      </c>
      <c r="G199" s="57">
        <v>45778</v>
      </c>
      <c r="H199" s="3" t="s">
        <v>1301</v>
      </c>
      <c r="I199" s="3" t="s">
        <v>1298</v>
      </c>
      <c r="J199" s="3" t="s">
        <v>1305</v>
      </c>
      <c r="K199" s="3" t="s">
        <v>1298</v>
      </c>
      <c r="L199" s="3" t="s">
        <v>1298</v>
      </c>
      <c r="M199" s="175">
        <f t="shared" si="14"/>
        <v>1</v>
      </c>
      <c r="N199" s="4" t="s">
        <v>319</v>
      </c>
      <c r="O199" s="2" t="s">
        <v>379</v>
      </c>
      <c r="P199" s="4" t="str">
        <f>IFERROR(VLOOKUP(TRIM(CLEAN(O199)),'JOB GROUPS'!A:B,2,FALSE),"Not Found")</f>
        <v>NM12</v>
      </c>
      <c r="Q199" s="198">
        <f t="shared" ca="1" si="15"/>
        <v>1</v>
      </c>
      <c r="R199" s="180" t="s">
        <v>1264</v>
      </c>
      <c r="S199" s="6" t="s">
        <v>787</v>
      </c>
      <c r="T199" s="5" t="s">
        <v>368</v>
      </c>
      <c r="U199" s="13"/>
      <c r="V199" s="13"/>
      <c r="W199" s="13"/>
      <c r="X199" s="13"/>
      <c r="Y199" s="14"/>
      <c r="Z199" s="14"/>
      <c r="AA199" s="14"/>
      <c r="AB199" s="13"/>
      <c r="AC199" s="13"/>
      <c r="AD199" s="13"/>
      <c r="AE199" s="13"/>
    </row>
    <row r="200" spans="1:31" ht="14.4" customHeight="1" x14ac:dyDescent="0.3">
      <c r="A200" s="156">
        <v>20250067313</v>
      </c>
      <c r="B200" s="85" t="s">
        <v>201</v>
      </c>
      <c r="C200" s="62" t="s">
        <v>295</v>
      </c>
      <c r="D200" s="218">
        <f t="shared" ca="1" si="12"/>
        <v>28</v>
      </c>
      <c r="E200" s="105">
        <v>45693</v>
      </c>
      <c r="F200" s="188">
        <f t="shared" ca="1" si="13"/>
        <v>1</v>
      </c>
      <c r="G200" s="172">
        <v>45386</v>
      </c>
      <c r="H200" s="86" t="s">
        <v>1313</v>
      </c>
      <c r="I200" s="86" t="s">
        <v>1298</v>
      </c>
      <c r="J200" s="86" t="s">
        <v>1304</v>
      </c>
      <c r="K200" s="86" t="s">
        <v>1298</v>
      </c>
      <c r="L200" s="86" t="s">
        <v>1298</v>
      </c>
      <c r="M200" s="175">
        <f t="shared" si="14"/>
        <v>1</v>
      </c>
      <c r="N200" s="31" t="s">
        <v>319</v>
      </c>
      <c r="O200" s="21" t="s">
        <v>379</v>
      </c>
      <c r="P200" s="4" t="str">
        <f>IFERROR(VLOOKUP(TRIM(CLEAN(O200)),'JOB GROUPS'!A:B,2,FALSE),"Not Found")</f>
        <v>NM12</v>
      </c>
      <c r="Q200" s="198">
        <f t="shared" ca="1" si="15"/>
        <v>1</v>
      </c>
      <c r="R200" s="180" t="s">
        <v>1264</v>
      </c>
      <c r="S200" s="26" t="s">
        <v>788</v>
      </c>
      <c r="T200" s="32" t="s">
        <v>368</v>
      </c>
      <c r="U200" s="55"/>
      <c r="V200" s="55"/>
      <c r="W200" s="55"/>
      <c r="X200" s="55"/>
      <c r="Y200" s="49"/>
      <c r="Z200" s="49"/>
      <c r="AA200" s="49"/>
      <c r="AB200" s="55"/>
      <c r="AC200" s="55"/>
      <c r="AD200" s="55"/>
      <c r="AE200" s="55"/>
    </row>
    <row r="201" spans="1:31" s="10" customFormat="1" ht="14.4" customHeight="1" x14ac:dyDescent="0.3">
      <c r="A201" s="157"/>
      <c r="B201" s="87" t="s">
        <v>1435</v>
      </c>
      <c r="C201" s="61">
        <v>36833</v>
      </c>
      <c r="D201" s="218">
        <f t="shared" ca="1" si="12"/>
        <v>25</v>
      </c>
      <c r="E201" s="173">
        <v>45962</v>
      </c>
      <c r="F201" s="188">
        <f t="shared" ca="1" si="13"/>
        <v>0</v>
      </c>
      <c r="G201" s="88" t="s">
        <v>1298</v>
      </c>
      <c r="H201" s="88" t="s">
        <v>1301</v>
      </c>
      <c r="I201" s="88" t="s">
        <v>1298</v>
      </c>
      <c r="J201" s="88" t="s">
        <v>1305</v>
      </c>
      <c r="K201" s="88" t="s">
        <v>1298</v>
      </c>
      <c r="L201" s="88" t="s">
        <v>1298</v>
      </c>
      <c r="M201" s="175">
        <f t="shared" si="14"/>
        <v>1</v>
      </c>
      <c r="N201" s="31" t="s">
        <v>319</v>
      </c>
      <c r="O201" s="21" t="s">
        <v>379</v>
      </c>
      <c r="P201" s="4" t="str">
        <f>IFERROR(VLOOKUP(TRIM(CLEAN(O201)),'JOB GROUPS'!A:B,2,FALSE),"Not Found")</f>
        <v>NM12</v>
      </c>
      <c r="Q201" s="198">
        <f t="shared" ca="1" si="15"/>
        <v>0</v>
      </c>
      <c r="R201" s="182">
        <v>45962</v>
      </c>
      <c r="S201" s="6" t="s">
        <v>1436</v>
      </c>
      <c r="T201" s="33"/>
      <c r="U201" s="13"/>
      <c r="V201" s="13"/>
      <c r="W201" s="13"/>
      <c r="X201" s="13"/>
      <c r="Y201" s="50"/>
      <c r="Z201" s="50"/>
      <c r="AA201" s="50"/>
      <c r="AB201" s="13"/>
      <c r="AC201" s="13"/>
      <c r="AD201" s="13"/>
      <c r="AE201" s="13"/>
    </row>
    <row r="202" spans="1:31" ht="14.4" customHeight="1" x14ac:dyDescent="0.3">
      <c r="A202" s="158"/>
      <c r="B202" s="44" t="s">
        <v>1363</v>
      </c>
      <c r="C202" s="60">
        <v>37443</v>
      </c>
      <c r="D202" s="218">
        <f t="shared" ca="1" si="12"/>
        <v>23</v>
      </c>
      <c r="E202" s="104">
        <v>46143</v>
      </c>
      <c r="F202" s="188">
        <f t="shared" ca="1" si="13"/>
        <v>0</v>
      </c>
      <c r="G202" s="27" t="s">
        <v>1298</v>
      </c>
      <c r="H202" s="27" t="s">
        <v>1301</v>
      </c>
      <c r="I202" s="27" t="s">
        <v>1298</v>
      </c>
      <c r="J202" s="27" t="s">
        <v>1304</v>
      </c>
      <c r="K202" s="27" t="s">
        <v>1298</v>
      </c>
      <c r="L202" s="27" t="s">
        <v>1298</v>
      </c>
      <c r="M202" s="175">
        <f t="shared" si="14"/>
        <v>1</v>
      </c>
      <c r="N202" s="31" t="s">
        <v>319</v>
      </c>
      <c r="O202" s="21" t="s">
        <v>379</v>
      </c>
      <c r="P202" s="4" t="str">
        <f>IFERROR(VLOOKUP(TRIM(CLEAN(O202)),'JOB GROUPS'!A:B,2,FALSE),"Not Found")</f>
        <v>NM12</v>
      </c>
      <c r="Q202" s="198">
        <f t="shared" ca="1" si="15"/>
        <v>0</v>
      </c>
      <c r="R202" s="182">
        <v>46143</v>
      </c>
      <c r="S202" t="s">
        <v>1437</v>
      </c>
      <c r="T202" s="35"/>
      <c r="U202" s="56"/>
      <c r="V202" s="56"/>
      <c r="W202" s="56"/>
      <c r="X202" s="56"/>
      <c r="Y202" s="51"/>
      <c r="Z202" s="51"/>
      <c r="AA202" s="51"/>
      <c r="AB202" s="56"/>
      <c r="AC202" s="56"/>
      <c r="AD202" s="56"/>
      <c r="AE202" s="56"/>
    </row>
    <row r="203" spans="1:31" ht="14.4" customHeight="1" x14ac:dyDescent="0.3">
      <c r="A203" s="151"/>
      <c r="B203" s="42" t="s">
        <v>1364</v>
      </c>
      <c r="C203" s="57">
        <v>36529</v>
      </c>
      <c r="D203" s="218">
        <f t="shared" ca="1" si="12"/>
        <v>26</v>
      </c>
      <c r="E203" s="100">
        <v>46113</v>
      </c>
      <c r="F203" s="188">
        <f t="shared" ca="1" si="13"/>
        <v>0</v>
      </c>
      <c r="G203" s="3" t="s">
        <v>1298</v>
      </c>
      <c r="H203" s="3" t="s">
        <v>1301</v>
      </c>
      <c r="I203" s="3" t="s">
        <v>1298</v>
      </c>
      <c r="J203" s="3" t="s">
        <v>1304</v>
      </c>
      <c r="K203" s="3" t="s">
        <v>1298</v>
      </c>
      <c r="L203" s="3" t="s">
        <v>1298</v>
      </c>
      <c r="M203" s="175">
        <f t="shared" si="14"/>
        <v>1</v>
      </c>
      <c r="N203" s="31" t="s">
        <v>319</v>
      </c>
      <c r="O203" s="21" t="s">
        <v>379</v>
      </c>
      <c r="P203" s="4" t="str">
        <f>IFERROR(VLOOKUP(TRIM(CLEAN(O203)),'JOB GROUPS'!A:B,2,FALSE),"Not Found")</f>
        <v>NM12</v>
      </c>
      <c r="Q203" s="198">
        <f t="shared" ca="1" si="15"/>
        <v>0</v>
      </c>
      <c r="R203" s="182">
        <v>46113</v>
      </c>
      <c r="S203" s="6"/>
      <c r="T203" s="5"/>
      <c r="U203" s="13"/>
      <c r="V203" s="13"/>
      <c r="W203" s="13"/>
      <c r="X203" s="13"/>
      <c r="Y203" s="14"/>
      <c r="Z203" s="14"/>
      <c r="AA203" s="14"/>
      <c r="AB203" s="13"/>
      <c r="AC203" s="13"/>
      <c r="AD203" s="13"/>
      <c r="AE203" s="13"/>
    </row>
    <row r="204" spans="1:31" ht="14.4" customHeight="1" x14ac:dyDescent="0.3">
      <c r="A204" s="151"/>
      <c r="B204" s="42" t="s">
        <v>1365</v>
      </c>
      <c r="C204" s="57">
        <v>33071</v>
      </c>
      <c r="D204" s="218">
        <f t="shared" ca="1" si="12"/>
        <v>35</v>
      </c>
      <c r="E204" s="100">
        <v>46157</v>
      </c>
      <c r="F204" s="188">
        <f t="shared" ca="1" si="13"/>
        <v>0</v>
      </c>
      <c r="G204" s="3" t="s">
        <v>1298</v>
      </c>
      <c r="H204" s="3" t="s">
        <v>1301</v>
      </c>
      <c r="I204" s="3" t="s">
        <v>1298</v>
      </c>
      <c r="J204" s="3" t="s">
        <v>1304</v>
      </c>
      <c r="K204" s="3" t="s">
        <v>1298</v>
      </c>
      <c r="L204" s="3" t="s">
        <v>1298</v>
      </c>
      <c r="M204" s="175">
        <f t="shared" si="14"/>
        <v>1</v>
      </c>
      <c r="N204" s="31" t="s">
        <v>319</v>
      </c>
      <c r="O204" s="21" t="s">
        <v>379</v>
      </c>
      <c r="P204" s="4" t="str">
        <f>IFERROR(VLOOKUP(TRIM(CLEAN(O204)),'JOB GROUPS'!A:B,2,FALSE),"Not Found")</f>
        <v>NM12</v>
      </c>
      <c r="Q204" s="198">
        <f t="shared" ca="1" si="15"/>
        <v>0</v>
      </c>
      <c r="R204" s="182">
        <v>46157</v>
      </c>
      <c r="S204" s="6"/>
      <c r="T204" s="5"/>
      <c r="U204" s="13"/>
      <c r="V204" s="13"/>
      <c r="W204" s="13"/>
      <c r="X204" s="13"/>
      <c r="Y204" s="14"/>
      <c r="Z204" s="14"/>
      <c r="AA204" s="14"/>
      <c r="AB204" s="13"/>
      <c r="AC204" s="13"/>
      <c r="AD204" s="13"/>
      <c r="AE204" s="13"/>
    </row>
    <row r="205" spans="1:31" ht="14.4" customHeight="1" x14ac:dyDescent="0.3">
      <c r="A205" s="151"/>
      <c r="B205" s="42" t="s">
        <v>1366</v>
      </c>
      <c r="C205" s="57">
        <v>37317</v>
      </c>
      <c r="D205" s="218">
        <f t="shared" ca="1" si="12"/>
        <v>24</v>
      </c>
      <c r="E205" s="100">
        <v>46143</v>
      </c>
      <c r="F205" s="188">
        <f t="shared" ca="1" si="13"/>
        <v>0</v>
      </c>
      <c r="G205" s="3" t="s">
        <v>1298</v>
      </c>
      <c r="H205" s="3" t="s">
        <v>1301</v>
      </c>
      <c r="I205" s="3" t="s">
        <v>1298</v>
      </c>
      <c r="J205" s="3" t="s">
        <v>1304</v>
      </c>
      <c r="K205" s="3" t="s">
        <v>1298</v>
      </c>
      <c r="L205" s="3" t="s">
        <v>1298</v>
      </c>
      <c r="M205" s="175">
        <f t="shared" si="14"/>
        <v>1</v>
      </c>
      <c r="N205" s="31" t="s">
        <v>319</v>
      </c>
      <c r="O205" s="21" t="s">
        <v>379</v>
      </c>
      <c r="P205" s="4" t="str">
        <f>IFERROR(VLOOKUP(TRIM(CLEAN(O205)),'JOB GROUPS'!A:B,2,FALSE),"Not Found")</f>
        <v>NM12</v>
      </c>
      <c r="Q205" s="198">
        <f t="shared" ca="1" si="15"/>
        <v>0</v>
      </c>
      <c r="R205" s="182">
        <v>46143</v>
      </c>
      <c r="S205" s="6"/>
      <c r="T205" s="5"/>
      <c r="U205" s="13"/>
      <c r="V205" s="13"/>
      <c r="W205" s="13"/>
      <c r="X205" s="13"/>
      <c r="Y205" s="14"/>
      <c r="Z205" s="14"/>
      <c r="AA205" s="14"/>
      <c r="AB205" s="13"/>
      <c r="AC205" s="13"/>
      <c r="AD205" s="13"/>
      <c r="AE205" s="13"/>
    </row>
    <row r="206" spans="1:31" ht="14.4" customHeight="1" x14ac:dyDescent="0.3">
      <c r="A206" s="151"/>
      <c r="B206" s="42" t="s">
        <v>1367</v>
      </c>
      <c r="C206" s="57">
        <v>34532</v>
      </c>
      <c r="D206" s="218">
        <f t="shared" ca="1" si="12"/>
        <v>31</v>
      </c>
      <c r="E206" s="100">
        <v>46143</v>
      </c>
      <c r="F206" s="188">
        <f t="shared" ca="1" si="13"/>
        <v>0</v>
      </c>
      <c r="G206" s="3" t="s">
        <v>1298</v>
      </c>
      <c r="H206" s="3" t="s">
        <v>1301</v>
      </c>
      <c r="I206" s="3" t="s">
        <v>1298</v>
      </c>
      <c r="J206" s="3" t="s">
        <v>1304</v>
      </c>
      <c r="K206" s="3" t="s">
        <v>1298</v>
      </c>
      <c r="L206" s="3" t="s">
        <v>1298</v>
      </c>
      <c r="M206" s="175">
        <f t="shared" si="14"/>
        <v>1</v>
      </c>
      <c r="N206" s="31" t="s">
        <v>319</v>
      </c>
      <c r="O206" s="21" t="s">
        <v>379</v>
      </c>
      <c r="P206" s="4" t="str">
        <f>IFERROR(VLOOKUP(TRIM(CLEAN(O206)),'JOB GROUPS'!A:B,2,FALSE),"Not Found")</f>
        <v>NM12</v>
      </c>
      <c r="Q206" s="198">
        <f t="shared" ca="1" si="15"/>
        <v>0</v>
      </c>
      <c r="R206" s="5">
        <v>46143</v>
      </c>
      <c r="S206" s="6" t="s">
        <v>1368</v>
      </c>
      <c r="T206" s="5"/>
      <c r="U206" s="13"/>
      <c r="V206" s="13"/>
      <c r="W206" s="13"/>
      <c r="X206" s="13"/>
      <c r="Y206" s="14"/>
      <c r="Z206" s="14"/>
      <c r="AA206" s="14"/>
      <c r="AB206" s="13"/>
      <c r="AC206" s="13"/>
      <c r="AD206" s="13"/>
      <c r="AE206" s="13"/>
    </row>
    <row r="207" spans="1:31" ht="14.4" customHeight="1" x14ac:dyDescent="0.3">
      <c r="A207" s="151"/>
      <c r="B207" s="42" t="s">
        <v>1369</v>
      </c>
      <c r="C207" s="57">
        <v>34957</v>
      </c>
      <c r="D207" s="218">
        <f t="shared" ca="1" si="12"/>
        <v>30</v>
      </c>
      <c r="E207" s="100">
        <v>46188</v>
      </c>
      <c r="F207" s="188">
        <f t="shared" ca="1" si="13"/>
        <v>0</v>
      </c>
      <c r="G207" s="3" t="s">
        <v>1298</v>
      </c>
      <c r="H207" s="3" t="s">
        <v>1301</v>
      </c>
      <c r="I207" s="3" t="s">
        <v>1298</v>
      </c>
      <c r="J207" s="3" t="s">
        <v>1305</v>
      </c>
      <c r="K207" s="3" t="s">
        <v>1298</v>
      </c>
      <c r="L207" s="3" t="s">
        <v>1298</v>
      </c>
      <c r="M207" s="175">
        <f t="shared" si="14"/>
        <v>1</v>
      </c>
      <c r="N207" s="31" t="s">
        <v>319</v>
      </c>
      <c r="O207" s="21" t="s">
        <v>379</v>
      </c>
      <c r="P207" s="4" t="str">
        <f>IFERROR(VLOOKUP(TRIM(CLEAN(O207)),'JOB GROUPS'!A:B,2,FALSE),"Not Found")</f>
        <v>NM12</v>
      </c>
      <c r="Q207" s="198">
        <f t="shared" ca="1" si="15"/>
        <v>0</v>
      </c>
      <c r="R207" s="5">
        <v>46188</v>
      </c>
      <c r="S207" s="6" t="s">
        <v>1389</v>
      </c>
      <c r="T207" s="5"/>
      <c r="U207" s="13"/>
      <c r="V207" s="13"/>
      <c r="W207" s="13"/>
      <c r="X207" s="13"/>
      <c r="Y207" s="14"/>
      <c r="Z207" s="14"/>
      <c r="AA207" s="14"/>
      <c r="AB207" s="13"/>
      <c r="AC207" s="13"/>
      <c r="AD207" s="13"/>
      <c r="AE207" s="13"/>
    </row>
    <row r="208" spans="1:31" ht="14.4" customHeight="1" x14ac:dyDescent="0.3">
      <c r="A208" s="151"/>
      <c r="B208" s="42" t="s">
        <v>1370</v>
      </c>
      <c r="C208" s="57">
        <v>35996</v>
      </c>
      <c r="D208" s="218">
        <f t="shared" ca="1" si="12"/>
        <v>27</v>
      </c>
      <c r="E208" s="100">
        <v>46082</v>
      </c>
      <c r="F208" s="188">
        <f t="shared" ca="1" si="13"/>
        <v>0</v>
      </c>
      <c r="G208" s="3" t="s">
        <v>1298</v>
      </c>
      <c r="H208" s="3" t="s">
        <v>1301</v>
      </c>
      <c r="I208" s="3" t="s">
        <v>1298</v>
      </c>
      <c r="J208" s="3" t="s">
        <v>1304</v>
      </c>
      <c r="K208" s="3" t="s">
        <v>1298</v>
      </c>
      <c r="L208" s="3" t="s">
        <v>1298</v>
      </c>
      <c r="M208" s="175">
        <f t="shared" si="14"/>
        <v>1</v>
      </c>
      <c r="N208" s="31" t="s">
        <v>319</v>
      </c>
      <c r="O208" s="21" t="s">
        <v>379</v>
      </c>
      <c r="P208" s="4" t="str">
        <f>IFERROR(VLOOKUP(TRIM(CLEAN(O208)),'JOB GROUPS'!A:B,2,FALSE),"Not Found")</f>
        <v>NM12</v>
      </c>
      <c r="Q208" s="198">
        <f t="shared" ca="1" si="15"/>
        <v>0</v>
      </c>
      <c r="R208" s="5">
        <v>46082</v>
      </c>
      <c r="S208" s="6" t="s">
        <v>1390</v>
      </c>
      <c r="T208" s="5"/>
      <c r="U208" s="13"/>
      <c r="V208" s="13"/>
      <c r="W208" s="13"/>
      <c r="X208" s="13"/>
      <c r="Y208" s="14"/>
      <c r="Z208" s="14"/>
      <c r="AA208" s="14"/>
      <c r="AB208" s="13"/>
      <c r="AC208" s="13"/>
      <c r="AD208" s="13"/>
      <c r="AE208" s="13"/>
    </row>
    <row r="209" spans="1:31" ht="14.4" customHeight="1" x14ac:dyDescent="0.3">
      <c r="A209" s="151"/>
      <c r="B209" s="42" t="s">
        <v>1371</v>
      </c>
      <c r="C209" s="57">
        <v>37554</v>
      </c>
      <c r="D209" s="218">
        <f t="shared" ca="1" si="12"/>
        <v>23</v>
      </c>
      <c r="E209" s="100">
        <v>46082</v>
      </c>
      <c r="F209" s="188">
        <f t="shared" ca="1" si="13"/>
        <v>0</v>
      </c>
      <c r="G209" s="3" t="s">
        <v>1298</v>
      </c>
      <c r="H209" s="3" t="s">
        <v>1301</v>
      </c>
      <c r="I209" s="3" t="s">
        <v>1298</v>
      </c>
      <c r="J209" s="3" t="s">
        <v>1304</v>
      </c>
      <c r="K209" s="3" t="s">
        <v>1298</v>
      </c>
      <c r="L209" s="3" t="s">
        <v>1298</v>
      </c>
      <c r="M209" s="175">
        <f t="shared" si="14"/>
        <v>1</v>
      </c>
      <c r="N209" s="31" t="s">
        <v>319</v>
      </c>
      <c r="O209" s="21" t="s">
        <v>379</v>
      </c>
      <c r="P209" s="4" t="str">
        <f>IFERROR(VLOOKUP(TRIM(CLEAN(O209)),'JOB GROUPS'!A:B,2,FALSE),"Not Found")</f>
        <v>NM12</v>
      </c>
      <c r="Q209" s="198">
        <f t="shared" ca="1" si="15"/>
        <v>0</v>
      </c>
      <c r="R209" s="5">
        <v>46082</v>
      </c>
      <c r="S209" s="6" t="s">
        <v>1391</v>
      </c>
      <c r="T209" s="5"/>
      <c r="U209" s="13"/>
      <c r="V209" s="13"/>
      <c r="W209" s="13"/>
      <c r="X209" s="13"/>
      <c r="Y209" s="14"/>
      <c r="Z209" s="14"/>
      <c r="AA209" s="14"/>
      <c r="AB209" s="13"/>
      <c r="AC209" s="13"/>
      <c r="AD209" s="13"/>
      <c r="AE209" s="13"/>
    </row>
    <row r="210" spans="1:31" ht="14.4" customHeight="1" x14ac:dyDescent="0.3">
      <c r="A210" s="151"/>
      <c r="B210" s="42" t="s">
        <v>1372</v>
      </c>
      <c r="C210" s="57">
        <v>36884</v>
      </c>
      <c r="D210" s="218">
        <f t="shared" ca="1" si="12"/>
        <v>25</v>
      </c>
      <c r="E210" s="100">
        <v>46069</v>
      </c>
      <c r="F210" s="188">
        <f t="shared" ca="1" si="13"/>
        <v>0</v>
      </c>
      <c r="G210" s="3" t="s">
        <v>1298</v>
      </c>
      <c r="H210" s="3" t="s">
        <v>1301</v>
      </c>
      <c r="I210" s="3" t="s">
        <v>1298</v>
      </c>
      <c r="J210" s="3" t="s">
        <v>1304</v>
      </c>
      <c r="K210" s="3" t="s">
        <v>1298</v>
      </c>
      <c r="L210" s="3" t="s">
        <v>1298</v>
      </c>
      <c r="M210" s="175">
        <f t="shared" si="14"/>
        <v>1</v>
      </c>
      <c r="N210" s="31" t="s">
        <v>319</v>
      </c>
      <c r="O210" s="21" t="s">
        <v>379</v>
      </c>
      <c r="P210" s="4" t="str">
        <f>IFERROR(VLOOKUP(TRIM(CLEAN(O210)),'JOB GROUPS'!A:B,2,FALSE),"Not Found")</f>
        <v>NM12</v>
      </c>
      <c r="Q210" s="198">
        <f t="shared" ca="1" si="15"/>
        <v>0</v>
      </c>
      <c r="R210" s="5">
        <v>46069</v>
      </c>
      <c r="S210" s="6" t="s">
        <v>1392</v>
      </c>
      <c r="T210" s="5"/>
      <c r="U210" s="13"/>
      <c r="V210" s="13"/>
      <c r="W210" s="13"/>
      <c r="X210" s="13"/>
      <c r="Y210" s="14"/>
      <c r="Z210" s="14"/>
      <c r="AA210" s="14"/>
      <c r="AB210" s="13"/>
      <c r="AC210" s="13"/>
      <c r="AD210" s="13"/>
      <c r="AE210" s="13"/>
    </row>
    <row r="211" spans="1:31" ht="14.4" customHeight="1" x14ac:dyDescent="0.3">
      <c r="A211" s="151"/>
      <c r="B211" s="42" t="s">
        <v>1373</v>
      </c>
      <c r="C211" s="57">
        <v>36957</v>
      </c>
      <c r="D211" s="218">
        <f t="shared" ca="1" si="12"/>
        <v>25</v>
      </c>
      <c r="E211" s="100">
        <v>46044</v>
      </c>
      <c r="F211" s="188">
        <f t="shared" ca="1" si="13"/>
        <v>0</v>
      </c>
      <c r="G211" s="3" t="s">
        <v>1298</v>
      </c>
      <c r="H211" s="3" t="s">
        <v>1301</v>
      </c>
      <c r="I211" s="3" t="s">
        <v>1298</v>
      </c>
      <c r="J211" s="3" t="s">
        <v>1304</v>
      </c>
      <c r="K211" s="3" t="s">
        <v>1298</v>
      </c>
      <c r="L211" s="3" t="s">
        <v>1298</v>
      </c>
      <c r="M211" s="175">
        <f t="shared" si="14"/>
        <v>1</v>
      </c>
      <c r="N211" s="31" t="s">
        <v>319</v>
      </c>
      <c r="O211" s="21" t="s">
        <v>379</v>
      </c>
      <c r="P211" s="4" t="str">
        <f>IFERROR(VLOOKUP(TRIM(CLEAN(O211)),'JOB GROUPS'!A:B,2,FALSE),"Not Found")</f>
        <v>NM12</v>
      </c>
      <c r="Q211" s="198">
        <f t="shared" ca="1" si="15"/>
        <v>0</v>
      </c>
      <c r="R211" s="5">
        <v>46044</v>
      </c>
      <c r="S211" s="6" t="s">
        <v>1393</v>
      </c>
      <c r="T211" s="5"/>
      <c r="U211" s="13"/>
      <c r="V211" s="13"/>
      <c r="W211" s="13"/>
      <c r="X211" s="13"/>
      <c r="Y211" s="14"/>
      <c r="Z211" s="14"/>
      <c r="AA211" s="14"/>
      <c r="AB211" s="13"/>
      <c r="AC211" s="13"/>
      <c r="AD211" s="13"/>
      <c r="AE211" s="13"/>
    </row>
    <row r="212" spans="1:31" ht="14.4" customHeight="1" x14ac:dyDescent="0.3">
      <c r="A212" s="151"/>
      <c r="B212" s="42" t="s">
        <v>1434</v>
      </c>
      <c r="C212" s="57">
        <v>36510</v>
      </c>
      <c r="D212" s="218">
        <f t="shared" ca="1" si="12"/>
        <v>26</v>
      </c>
      <c r="E212" s="100">
        <v>46054</v>
      </c>
      <c r="F212" s="188">
        <f t="shared" ca="1" si="13"/>
        <v>0</v>
      </c>
      <c r="G212" s="3" t="s">
        <v>1298</v>
      </c>
      <c r="H212" s="3" t="s">
        <v>1301</v>
      </c>
      <c r="I212" s="3" t="s">
        <v>1298</v>
      </c>
      <c r="J212" s="3" t="s">
        <v>1304</v>
      </c>
      <c r="K212" s="3" t="s">
        <v>1298</v>
      </c>
      <c r="L212" s="3" t="s">
        <v>1298</v>
      </c>
      <c r="M212" s="175">
        <f t="shared" si="14"/>
        <v>1</v>
      </c>
      <c r="N212" s="31" t="s">
        <v>319</v>
      </c>
      <c r="O212" s="21" t="s">
        <v>379</v>
      </c>
      <c r="P212" s="4" t="str">
        <f>IFERROR(VLOOKUP(TRIM(CLEAN(O212)),'JOB GROUPS'!A:B,2,FALSE),"Not Found")</f>
        <v>NM12</v>
      </c>
      <c r="Q212" s="198">
        <f t="shared" ca="1" si="15"/>
        <v>0</v>
      </c>
      <c r="R212" s="5">
        <v>46054</v>
      </c>
      <c r="S212" s="6" t="s">
        <v>1394</v>
      </c>
      <c r="T212" s="5"/>
      <c r="U212" s="13"/>
      <c r="V212" s="13"/>
      <c r="W212" s="13"/>
      <c r="X212" s="13"/>
      <c r="Y212" s="14"/>
      <c r="Z212" s="14"/>
      <c r="AA212" s="14"/>
      <c r="AB212" s="13"/>
      <c r="AC212" s="13"/>
      <c r="AD212" s="13"/>
      <c r="AE212" s="13"/>
    </row>
    <row r="213" spans="1:31" ht="14.4" customHeight="1" x14ac:dyDescent="0.3">
      <c r="A213" s="151"/>
      <c r="B213" s="42" t="s">
        <v>1374</v>
      </c>
      <c r="C213" s="57">
        <v>36899</v>
      </c>
      <c r="D213" s="218">
        <f t="shared" ca="1" si="12"/>
        <v>25</v>
      </c>
      <c r="E213" s="100">
        <v>46054</v>
      </c>
      <c r="F213" s="188">
        <f t="shared" ca="1" si="13"/>
        <v>0</v>
      </c>
      <c r="G213" s="3" t="s">
        <v>1298</v>
      </c>
      <c r="H213" s="3" t="s">
        <v>1301</v>
      </c>
      <c r="I213" s="3" t="s">
        <v>1298</v>
      </c>
      <c r="J213" s="3" t="s">
        <v>1304</v>
      </c>
      <c r="K213" s="3" t="s">
        <v>1298</v>
      </c>
      <c r="L213" s="3" t="s">
        <v>1298</v>
      </c>
      <c r="M213" s="175">
        <f t="shared" si="14"/>
        <v>1</v>
      </c>
      <c r="N213" s="31" t="s">
        <v>319</v>
      </c>
      <c r="O213" s="21" t="s">
        <v>379</v>
      </c>
      <c r="P213" s="4" t="str">
        <f>IFERROR(VLOOKUP(TRIM(CLEAN(O213)),'JOB GROUPS'!A:B,2,FALSE),"Not Found")</f>
        <v>NM12</v>
      </c>
      <c r="Q213" s="198">
        <f t="shared" ca="1" si="15"/>
        <v>0</v>
      </c>
      <c r="R213" s="5">
        <v>46054</v>
      </c>
      <c r="S213" s="6" t="s">
        <v>1395</v>
      </c>
      <c r="T213" s="5"/>
      <c r="U213" s="13"/>
      <c r="V213" s="13"/>
      <c r="W213" s="13"/>
      <c r="X213" s="13"/>
      <c r="Y213" s="14"/>
      <c r="Z213" s="14"/>
      <c r="AA213" s="14"/>
      <c r="AB213" s="13"/>
      <c r="AC213" s="13"/>
      <c r="AD213" s="13"/>
      <c r="AE213" s="13"/>
    </row>
    <row r="214" spans="1:31" ht="14.4" customHeight="1" x14ac:dyDescent="0.3">
      <c r="A214" s="151"/>
      <c r="B214" s="42" t="s">
        <v>1375</v>
      </c>
      <c r="C214" s="57">
        <v>37313</v>
      </c>
      <c r="D214" s="218">
        <f t="shared" ca="1" si="12"/>
        <v>24</v>
      </c>
      <c r="E214" s="100">
        <v>46054</v>
      </c>
      <c r="F214" s="188">
        <f t="shared" ca="1" si="13"/>
        <v>0</v>
      </c>
      <c r="G214" s="3" t="s">
        <v>1298</v>
      </c>
      <c r="H214" s="3" t="s">
        <v>1301</v>
      </c>
      <c r="I214" s="3" t="s">
        <v>1298</v>
      </c>
      <c r="J214" s="3" t="s">
        <v>1304</v>
      </c>
      <c r="K214" s="3" t="s">
        <v>1298</v>
      </c>
      <c r="L214" s="3" t="s">
        <v>1298</v>
      </c>
      <c r="M214" s="175">
        <f t="shared" si="14"/>
        <v>1</v>
      </c>
      <c r="N214" s="31" t="s">
        <v>319</v>
      </c>
      <c r="O214" s="21" t="s">
        <v>379</v>
      </c>
      <c r="P214" s="4" t="str">
        <f>IFERROR(VLOOKUP(TRIM(CLEAN(O214)),'JOB GROUPS'!A:B,2,FALSE),"Not Found")</f>
        <v>NM12</v>
      </c>
      <c r="Q214" s="198">
        <f t="shared" ca="1" si="15"/>
        <v>0</v>
      </c>
      <c r="R214" s="176">
        <v>46054</v>
      </c>
      <c r="S214" s="6" t="s">
        <v>1396</v>
      </c>
      <c r="T214" s="5"/>
      <c r="U214" s="13"/>
      <c r="V214" s="13"/>
      <c r="W214" s="13"/>
      <c r="X214" s="13"/>
      <c r="Y214" s="14"/>
      <c r="Z214" s="14"/>
      <c r="AA214" s="14"/>
      <c r="AB214" s="13"/>
      <c r="AC214" s="13"/>
      <c r="AD214" s="13"/>
      <c r="AE214" s="13"/>
    </row>
    <row r="215" spans="1:31" ht="14.4" customHeight="1" x14ac:dyDescent="0.3">
      <c r="A215" s="152"/>
      <c r="B215" s="3" t="s">
        <v>1433</v>
      </c>
      <c r="C215" s="57">
        <v>37516</v>
      </c>
      <c r="D215" s="218">
        <f t="shared" ca="1" si="12"/>
        <v>23</v>
      </c>
      <c r="E215" s="100">
        <v>46023</v>
      </c>
      <c r="F215" s="188">
        <f t="shared" ca="1" si="13"/>
        <v>0</v>
      </c>
      <c r="G215" s="3" t="s">
        <v>1298</v>
      </c>
      <c r="H215" s="3" t="s">
        <v>1301</v>
      </c>
      <c r="I215" s="3" t="s">
        <v>1298</v>
      </c>
      <c r="J215" s="3" t="s">
        <v>1305</v>
      </c>
      <c r="K215" s="3" t="s">
        <v>1298</v>
      </c>
      <c r="L215" s="3" t="s">
        <v>1298</v>
      </c>
      <c r="M215" s="175">
        <f t="shared" si="14"/>
        <v>1</v>
      </c>
      <c r="N215" s="31" t="s">
        <v>319</v>
      </c>
      <c r="O215" s="21" t="s">
        <v>379</v>
      </c>
      <c r="P215" s="4" t="str">
        <f>IFERROR(VLOOKUP(TRIM(CLEAN(O215)),'JOB GROUPS'!A:B,2,FALSE),"Not Found")</f>
        <v>NM12</v>
      </c>
      <c r="Q215" s="198">
        <f t="shared" ca="1" si="15"/>
        <v>0</v>
      </c>
      <c r="R215" s="176">
        <v>46023</v>
      </c>
      <c r="S215" s="6" t="s">
        <v>1397</v>
      </c>
      <c r="T215" s="5"/>
      <c r="U215" s="13"/>
      <c r="V215" s="13"/>
      <c r="W215" s="13"/>
      <c r="X215" s="13"/>
      <c r="Y215" s="14"/>
      <c r="Z215" s="14"/>
      <c r="AA215" s="14"/>
      <c r="AB215" s="13"/>
      <c r="AC215" s="13"/>
      <c r="AD215" s="13"/>
      <c r="AE215" s="13"/>
    </row>
    <row r="216" spans="1:31" ht="14.4" customHeight="1" x14ac:dyDescent="0.3">
      <c r="A216" s="151"/>
      <c r="B216" s="42" t="s">
        <v>1376</v>
      </c>
      <c r="C216" s="57">
        <v>36966</v>
      </c>
      <c r="D216" s="218">
        <f t="shared" ca="1" si="12"/>
        <v>25</v>
      </c>
      <c r="E216" s="100">
        <v>46054</v>
      </c>
      <c r="F216" s="188">
        <f t="shared" ca="1" si="13"/>
        <v>0</v>
      </c>
      <c r="G216" s="3" t="s">
        <v>1298</v>
      </c>
      <c r="H216" s="3" t="s">
        <v>1301</v>
      </c>
      <c r="I216" s="3" t="s">
        <v>1298</v>
      </c>
      <c r="J216" s="3" t="s">
        <v>1304</v>
      </c>
      <c r="K216" s="3" t="s">
        <v>1298</v>
      </c>
      <c r="L216" s="3" t="s">
        <v>1298</v>
      </c>
      <c r="M216" s="175">
        <f t="shared" si="14"/>
        <v>1</v>
      </c>
      <c r="N216" s="31" t="s">
        <v>319</v>
      </c>
      <c r="O216" s="21" t="s">
        <v>379</v>
      </c>
      <c r="P216" s="4" t="str">
        <f>IFERROR(VLOOKUP(TRIM(CLEAN(O216)),'JOB GROUPS'!A:B,2,FALSE),"Not Found")</f>
        <v>NM12</v>
      </c>
      <c r="Q216" s="198">
        <f t="shared" ca="1" si="15"/>
        <v>0</v>
      </c>
      <c r="R216" s="5">
        <v>46054</v>
      </c>
      <c r="S216" s="6" t="s">
        <v>1393</v>
      </c>
      <c r="T216" s="5"/>
      <c r="U216" s="13"/>
      <c r="V216" s="13"/>
      <c r="W216" s="13"/>
      <c r="X216" s="13"/>
      <c r="Y216" s="14"/>
      <c r="Z216" s="14"/>
      <c r="AA216" s="14"/>
      <c r="AB216" s="13"/>
      <c r="AC216" s="13"/>
      <c r="AD216" s="13"/>
      <c r="AE216" s="13"/>
    </row>
    <row r="217" spans="1:31" ht="14.4" customHeight="1" x14ac:dyDescent="0.3">
      <c r="A217" s="151"/>
      <c r="B217" s="42" t="s">
        <v>1428</v>
      </c>
      <c r="C217" s="57">
        <v>30864</v>
      </c>
      <c r="D217" s="218">
        <f t="shared" ca="1" si="12"/>
        <v>41</v>
      </c>
      <c r="E217" s="100">
        <v>46023</v>
      </c>
      <c r="F217" s="188">
        <f t="shared" ca="1" si="13"/>
        <v>0</v>
      </c>
      <c r="G217" s="3" t="s">
        <v>1298</v>
      </c>
      <c r="H217" s="3" t="s">
        <v>1301</v>
      </c>
      <c r="I217" s="3" t="s">
        <v>1298</v>
      </c>
      <c r="J217" s="3" t="s">
        <v>1305</v>
      </c>
      <c r="K217" s="3" t="s">
        <v>1298</v>
      </c>
      <c r="L217" s="3" t="s">
        <v>1298</v>
      </c>
      <c r="M217" s="175">
        <f t="shared" si="14"/>
        <v>1</v>
      </c>
      <c r="N217" s="31" t="s">
        <v>319</v>
      </c>
      <c r="O217" s="21" t="s">
        <v>379</v>
      </c>
      <c r="P217" s="4" t="str">
        <f>IFERROR(VLOOKUP(TRIM(CLEAN(O217)),'JOB GROUPS'!A:B,2,FALSE),"Not Found")</f>
        <v>NM12</v>
      </c>
      <c r="Q217" s="198">
        <f t="shared" ca="1" si="15"/>
        <v>0</v>
      </c>
      <c r="R217" s="5">
        <v>46023</v>
      </c>
      <c r="S217" s="6" t="s">
        <v>1398</v>
      </c>
      <c r="T217" s="5"/>
      <c r="U217" s="13"/>
      <c r="V217" s="13"/>
      <c r="W217" s="13"/>
      <c r="X217" s="13"/>
      <c r="Y217" s="14"/>
      <c r="Z217" s="14"/>
      <c r="AA217" s="14"/>
      <c r="AB217" s="13"/>
      <c r="AC217" s="13"/>
      <c r="AD217" s="13"/>
      <c r="AE217" s="13"/>
    </row>
    <row r="218" spans="1:31" ht="14.4" customHeight="1" x14ac:dyDescent="0.3">
      <c r="A218" s="151"/>
      <c r="B218" s="42" t="s">
        <v>1377</v>
      </c>
      <c r="C218" s="57">
        <v>36051</v>
      </c>
      <c r="D218" s="218">
        <f t="shared" ca="1" si="12"/>
        <v>27</v>
      </c>
      <c r="E218" s="100">
        <v>44958</v>
      </c>
      <c r="F218" s="188">
        <f t="shared" ca="1" si="13"/>
        <v>3</v>
      </c>
      <c r="G218" s="3" t="s">
        <v>1298</v>
      </c>
      <c r="H218" s="3" t="s">
        <v>1301</v>
      </c>
      <c r="I218" s="3" t="s">
        <v>1298</v>
      </c>
      <c r="J218" s="3" t="s">
        <v>1305</v>
      </c>
      <c r="K218" s="3" t="s">
        <v>1298</v>
      </c>
      <c r="L218" s="3" t="s">
        <v>1298</v>
      </c>
      <c r="M218" s="175">
        <f t="shared" si="14"/>
        <v>1</v>
      </c>
      <c r="N218" s="31" t="s">
        <v>319</v>
      </c>
      <c r="O218" s="21" t="s">
        <v>379</v>
      </c>
      <c r="P218" s="4" t="str">
        <f>IFERROR(VLOOKUP(TRIM(CLEAN(O218)),'JOB GROUPS'!A:B,2,FALSE),"Not Found")</f>
        <v>NM12</v>
      </c>
      <c r="Q218" s="198">
        <f t="shared" ca="1" si="15"/>
        <v>3</v>
      </c>
      <c r="R218" s="5">
        <v>44958</v>
      </c>
      <c r="S218" s="6" t="s">
        <v>1399</v>
      </c>
      <c r="T218" s="5"/>
      <c r="U218" s="13"/>
      <c r="V218" s="13"/>
      <c r="W218" s="13"/>
      <c r="X218" s="13"/>
      <c r="Y218" s="14"/>
      <c r="Z218" s="14"/>
      <c r="AA218" s="14"/>
      <c r="AB218" s="13"/>
      <c r="AC218" s="13"/>
      <c r="AD218" s="13"/>
      <c r="AE218" s="13"/>
    </row>
    <row r="219" spans="1:31" ht="14.4" customHeight="1" x14ac:dyDescent="0.3">
      <c r="A219" s="152"/>
      <c r="B219" s="3"/>
      <c r="C219" s="3"/>
      <c r="D219" s="218"/>
      <c r="E219" s="108"/>
      <c r="F219" s="188"/>
      <c r="G219" s="3" t="s">
        <v>1298</v>
      </c>
      <c r="H219" s="3" t="s">
        <v>1298</v>
      </c>
      <c r="I219" s="3" t="s">
        <v>1298</v>
      </c>
      <c r="J219" s="3" t="s">
        <v>1298</v>
      </c>
      <c r="K219" s="3" t="s">
        <v>1298</v>
      </c>
      <c r="L219" s="3" t="s">
        <v>1298</v>
      </c>
      <c r="M219" s="3">
        <f t="shared" si="14"/>
        <v>1</v>
      </c>
      <c r="N219" s="4"/>
      <c r="O219" s="4"/>
      <c r="P219" s="4"/>
      <c r="Q219" s="198"/>
      <c r="R219" s="4"/>
      <c r="S219" s="6"/>
      <c r="T219" s="5"/>
      <c r="U219" s="13"/>
      <c r="V219" s="13"/>
      <c r="W219" s="13"/>
      <c r="X219" s="13"/>
      <c r="Y219" s="14"/>
      <c r="Z219" s="14"/>
      <c r="AA219" s="14"/>
      <c r="AB219" s="13"/>
      <c r="AC219" s="13"/>
      <c r="AD219" s="13"/>
      <c r="AE219" s="13"/>
    </row>
    <row r="220" spans="1:31" ht="14.4" customHeight="1" x14ac:dyDescent="0.3">
      <c r="A220" s="151"/>
      <c r="B220" s="42"/>
      <c r="C220" s="3"/>
      <c r="D220" s="218"/>
      <c r="E220" s="108"/>
      <c r="F220" s="188"/>
      <c r="G220" s="3" t="s">
        <v>1298</v>
      </c>
      <c r="H220" s="3" t="s">
        <v>1298</v>
      </c>
      <c r="I220" s="3" t="s">
        <v>1298</v>
      </c>
      <c r="J220" s="3" t="s">
        <v>1298</v>
      </c>
      <c r="K220" s="3" t="s">
        <v>1298</v>
      </c>
      <c r="L220" s="3" t="s">
        <v>1298</v>
      </c>
      <c r="M220" s="3">
        <f t="shared" si="14"/>
        <v>1</v>
      </c>
      <c r="N220" s="4"/>
      <c r="O220" s="2"/>
      <c r="P220" s="2"/>
      <c r="Q220" s="151"/>
      <c r="R220" s="2"/>
      <c r="S220" s="6"/>
      <c r="T220" s="5"/>
      <c r="U220" s="13"/>
      <c r="V220" s="13"/>
      <c r="W220" s="13"/>
      <c r="X220" s="13"/>
      <c r="Y220" s="14"/>
      <c r="Z220" s="14"/>
      <c r="AA220" s="14"/>
      <c r="AB220" s="13"/>
      <c r="AC220" s="13"/>
      <c r="AD220" s="13"/>
      <c r="AE220" s="13"/>
    </row>
    <row r="221" spans="1:31" ht="14.4" customHeight="1" x14ac:dyDescent="0.3">
      <c r="A221" s="151"/>
      <c r="B221" s="42"/>
      <c r="C221" s="3"/>
      <c r="D221" s="218"/>
      <c r="E221" s="108"/>
      <c r="F221" s="188"/>
      <c r="G221" s="3" t="s">
        <v>1298</v>
      </c>
      <c r="H221" s="3" t="s">
        <v>1298</v>
      </c>
      <c r="I221" s="3" t="s">
        <v>1298</v>
      </c>
      <c r="J221" s="3" t="s">
        <v>1298</v>
      </c>
      <c r="K221" s="3" t="s">
        <v>1298</v>
      </c>
      <c r="L221" s="3" t="s">
        <v>1298</v>
      </c>
      <c r="M221" s="3">
        <f t="shared" si="14"/>
        <v>1</v>
      </c>
      <c r="N221" s="4"/>
      <c r="O221" s="2"/>
      <c r="P221" s="2"/>
      <c r="Q221" s="151"/>
      <c r="R221" s="2"/>
      <c r="S221" s="6"/>
      <c r="T221" s="5"/>
      <c r="U221" s="13"/>
      <c r="V221" s="13"/>
      <c r="W221" s="13"/>
      <c r="X221" s="13"/>
      <c r="Y221" s="14"/>
      <c r="Z221" s="14"/>
      <c r="AA221" s="14"/>
      <c r="AB221" s="13"/>
      <c r="AC221" s="13"/>
      <c r="AD221" s="13"/>
      <c r="AE221" s="13"/>
    </row>
    <row r="222" spans="1:31" ht="14.4" customHeight="1" x14ac:dyDescent="0.3">
      <c r="A222" s="151"/>
      <c r="B222" s="42"/>
      <c r="C222" s="3"/>
      <c r="D222" s="218"/>
      <c r="E222" s="108"/>
      <c r="F222" s="188"/>
      <c r="G222" s="3" t="s">
        <v>1298</v>
      </c>
      <c r="H222" s="3" t="s">
        <v>1298</v>
      </c>
      <c r="I222" s="3" t="s">
        <v>1298</v>
      </c>
      <c r="J222" s="3" t="s">
        <v>1298</v>
      </c>
      <c r="K222" s="3" t="s">
        <v>1298</v>
      </c>
      <c r="L222" s="3" t="s">
        <v>1298</v>
      </c>
      <c r="M222" s="3">
        <f t="shared" si="14"/>
        <v>1</v>
      </c>
      <c r="N222" s="4"/>
      <c r="O222" s="2"/>
      <c r="P222" s="2"/>
      <c r="Q222" s="151"/>
      <c r="R222" s="2"/>
      <c r="S222" s="6"/>
      <c r="T222" s="5"/>
      <c r="U222" s="13"/>
      <c r="V222" s="13"/>
      <c r="W222" s="13"/>
      <c r="X222" s="13"/>
      <c r="Y222" s="14"/>
      <c r="Z222" s="14"/>
      <c r="AA222" s="14"/>
      <c r="AB222" s="13"/>
      <c r="AC222" s="13"/>
      <c r="AD222" s="13"/>
      <c r="AE222" s="13"/>
    </row>
    <row r="223" spans="1:31" ht="14.4" customHeight="1" x14ac:dyDescent="0.3">
      <c r="A223" s="151"/>
      <c r="B223" s="42"/>
      <c r="C223" s="3"/>
      <c r="D223" s="218"/>
      <c r="E223" s="108"/>
      <c r="F223" s="188"/>
      <c r="G223" s="3" t="s">
        <v>1298</v>
      </c>
      <c r="H223" s="3" t="s">
        <v>1298</v>
      </c>
      <c r="I223" s="3" t="s">
        <v>1298</v>
      </c>
      <c r="J223" s="3" t="s">
        <v>1298</v>
      </c>
      <c r="K223" s="3" t="s">
        <v>1298</v>
      </c>
      <c r="L223" s="3" t="s">
        <v>1298</v>
      </c>
      <c r="M223" s="3">
        <f t="shared" si="14"/>
        <v>1</v>
      </c>
      <c r="N223" s="4"/>
      <c r="O223" s="2"/>
      <c r="P223" s="2"/>
      <c r="Q223" s="151"/>
      <c r="R223" s="2"/>
      <c r="S223" s="6"/>
      <c r="T223" s="5"/>
      <c r="U223" s="13"/>
      <c r="V223" s="13"/>
      <c r="W223" s="13"/>
      <c r="X223" s="13"/>
      <c r="Y223" s="14"/>
      <c r="Z223" s="14"/>
      <c r="AA223" s="14"/>
      <c r="AB223" s="13"/>
      <c r="AC223" s="13"/>
      <c r="AD223" s="13"/>
      <c r="AE223" s="13"/>
    </row>
    <row r="224" spans="1:31" ht="14.4" customHeight="1" x14ac:dyDescent="0.3">
      <c r="A224" s="151"/>
      <c r="B224" s="42"/>
      <c r="C224" s="3"/>
      <c r="D224" s="218"/>
      <c r="E224" s="108"/>
      <c r="F224" s="188"/>
      <c r="G224" s="3" t="s">
        <v>1298</v>
      </c>
      <c r="H224" s="3" t="s">
        <v>1298</v>
      </c>
      <c r="I224" s="3" t="s">
        <v>1298</v>
      </c>
      <c r="J224" s="3" t="s">
        <v>1298</v>
      </c>
      <c r="K224" s="3" t="s">
        <v>1298</v>
      </c>
      <c r="L224" s="3" t="s">
        <v>1298</v>
      </c>
      <c r="M224" s="3">
        <f t="shared" si="14"/>
        <v>1</v>
      </c>
      <c r="N224" s="4"/>
      <c r="O224" s="2"/>
      <c r="P224" s="2"/>
      <c r="Q224" s="151"/>
      <c r="R224" s="2"/>
      <c r="S224" s="6"/>
      <c r="T224" s="5"/>
      <c r="U224" s="13"/>
      <c r="V224" s="13"/>
      <c r="W224" s="13"/>
      <c r="X224" s="13"/>
      <c r="Y224" s="14"/>
      <c r="Z224" s="14"/>
      <c r="AA224" s="14"/>
      <c r="AB224" s="13"/>
      <c r="AC224" s="13"/>
      <c r="AD224" s="13"/>
      <c r="AE224" s="13"/>
    </row>
    <row r="225" spans="1:31" ht="14.4" customHeight="1" x14ac:dyDescent="0.3">
      <c r="A225" s="151"/>
      <c r="B225" s="42"/>
      <c r="C225" s="3"/>
      <c r="D225" s="218"/>
      <c r="E225" s="108"/>
      <c r="F225" s="188"/>
      <c r="G225" s="3" t="s">
        <v>1298</v>
      </c>
      <c r="H225" s="3" t="s">
        <v>1298</v>
      </c>
      <c r="I225" s="3" t="s">
        <v>1298</v>
      </c>
      <c r="J225" s="3" t="s">
        <v>1298</v>
      </c>
      <c r="K225" s="3" t="s">
        <v>1298</v>
      </c>
      <c r="L225" s="3" t="s">
        <v>1298</v>
      </c>
      <c r="M225" s="3">
        <f t="shared" si="14"/>
        <v>1</v>
      </c>
      <c r="N225" s="4"/>
      <c r="O225" s="2"/>
      <c r="P225" s="2"/>
      <c r="Q225" s="151"/>
      <c r="R225" s="2"/>
      <c r="S225" s="6"/>
      <c r="T225" s="5"/>
      <c r="U225" s="13"/>
      <c r="V225" s="13"/>
      <c r="W225" s="13"/>
      <c r="X225" s="13"/>
      <c r="Y225" s="14"/>
      <c r="Z225" s="14"/>
      <c r="AA225" s="14"/>
      <c r="AB225" s="13"/>
      <c r="AC225" s="13"/>
      <c r="AD225" s="13"/>
      <c r="AE225" s="13"/>
    </row>
    <row r="226" spans="1:31" ht="14.4" customHeight="1" x14ac:dyDescent="0.3">
      <c r="A226" s="151"/>
      <c r="B226" s="42"/>
      <c r="C226" s="3"/>
      <c r="D226" s="218"/>
      <c r="E226" s="108"/>
      <c r="F226" s="188"/>
      <c r="G226" s="3" t="s">
        <v>1298</v>
      </c>
      <c r="H226" s="3" t="s">
        <v>1298</v>
      </c>
      <c r="I226" s="3" t="s">
        <v>1298</v>
      </c>
      <c r="J226" s="3" t="s">
        <v>1298</v>
      </c>
      <c r="K226" s="3" t="s">
        <v>1298</v>
      </c>
      <c r="L226" s="3" t="s">
        <v>1298</v>
      </c>
      <c r="M226" s="3">
        <f t="shared" si="14"/>
        <v>1</v>
      </c>
      <c r="N226" s="4"/>
      <c r="O226" s="2"/>
      <c r="P226" s="2"/>
      <c r="Q226" s="151"/>
      <c r="R226" s="2"/>
      <c r="S226" s="6"/>
      <c r="T226" s="5"/>
      <c r="U226" s="13"/>
      <c r="V226" s="13"/>
      <c r="W226" s="13"/>
      <c r="X226" s="13"/>
      <c r="Y226" s="14"/>
      <c r="Z226" s="14"/>
      <c r="AA226" s="14"/>
      <c r="AB226" s="13"/>
      <c r="AC226" s="13"/>
      <c r="AD226" s="13"/>
      <c r="AE226" s="13"/>
    </row>
    <row r="227" spans="1:31" ht="14.4" customHeight="1" x14ac:dyDescent="0.3">
      <c r="A227" s="151"/>
      <c r="B227" s="42"/>
      <c r="C227" s="3"/>
      <c r="D227" s="218"/>
      <c r="E227" s="108"/>
      <c r="F227" s="188"/>
      <c r="G227" s="3" t="s">
        <v>1298</v>
      </c>
      <c r="H227" s="3" t="s">
        <v>1298</v>
      </c>
      <c r="I227" s="3" t="s">
        <v>1298</v>
      </c>
      <c r="J227" s="3" t="s">
        <v>1298</v>
      </c>
      <c r="K227" s="3" t="s">
        <v>1298</v>
      </c>
      <c r="L227" s="3" t="s">
        <v>1298</v>
      </c>
      <c r="M227" s="3">
        <f t="shared" si="14"/>
        <v>1</v>
      </c>
      <c r="N227" s="4"/>
      <c r="O227" s="2"/>
      <c r="P227" s="2"/>
      <c r="Q227" s="151"/>
      <c r="R227" s="2"/>
      <c r="S227" s="6"/>
      <c r="T227" s="5"/>
      <c r="U227" s="13"/>
      <c r="V227" s="13"/>
      <c r="W227" s="13"/>
      <c r="X227" s="13"/>
      <c r="Y227" s="14"/>
      <c r="Z227" s="14"/>
      <c r="AA227" s="14"/>
      <c r="AB227" s="13"/>
      <c r="AC227" s="13"/>
      <c r="AD227" s="13"/>
      <c r="AE227" s="13"/>
    </row>
    <row r="228" spans="1:31" ht="14.4" customHeight="1" x14ac:dyDescent="0.3">
      <c r="A228" s="151"/>
      <c r="B228" s="42"/>
      <c r="C228" s="3"/>
      <c r="D228" s="218"/>
      <c r="E228" s="108"/>
      <c r="F228" s="188"/>
      <c r="G228" s="3" t="s">
        <v>1298</v>
      </c>
      <c r="H228" s="3" t="s">
        <v>1298</v>
      </c>
      <c r="I228" s="3" t="s">
        <v>1298</v>
      </c>
      <c r="J228" s="3" t="s">
        <v>1298</v>
      </c>
      <c r="K228" s="3" t="s">
        <v>1298</v>
      </c>
      <c r="L228" s="3" t="s">
        <v>1298</v>
      </c>
      <c r="M228" s="3">
        <f t="shared" si="14"/>
        <v>1</v>
      </c>
      <c r="N228" s="4"/>
      <c r="O228" s="2"/>
      <c r="P228" s="2"/>
      <c r="Q228" s="151"/>
      <c r="R228" s="2"/>
      <c r="S228" s="6"/>
      <c r="T228" s="5"/>
      <c r="U228" s="13"/>
      <c r="V228" s="13"/>
      <c r="W228" s="13"/>
      <c r="X228" s="13"/>
      <c r="Y228" s="14"/>
      <c r="Z228" s="14"/>
      <c r="AA228" s="14"/>
      <c r="AB228" s="13"/>
      <c r="AC228" s="13"/>
      <c r="AD228" s="13"/>
      <c r="AE228" s="13"/>
    </row>
    <row r="229" spans="1:31" ht="14.4" customHeight="1" x14ac:dyDescent="0.3">
      <c r="A229" s="154"/>
      <c r="B229" s="43"/>
      <c r="C229" s="22"/>
      <c r="D229" s="219"/>
      <c r="E229" s="109"/>
      <c r="F229" s="189"/>
      <c r="G229" s="22" t="s">
        <v>1298</v>
      </c>
      <c r="H229" s="22" t="s">
        <v>1298</v>
      </c>
      <c r="I229" s="22" t="s">
        <v>1298</v>
      </c>
      <c r="J229" s="22" t="s">
        <v>1298</v>
      </c>
      <c r="K229" s="22" t="s">
        <v>1298</v>
      </c>
      <c r="L229" s="22" t="s">
        <v>1298</v>
      </c>
      <c r="M229" s="22">
        <f t="shared" si="14"/>
        <v>1</v>
      </c>
      <c r="N229" s="31"/>
      <c r="O229" s="21"/>
      <c r="P229" s="21"/>
      <c r="Q229" s="154"/>
      <c r="R229" s="21"/>
      <c r="S229" s="24"/>
      <c r="T229" s="23"/>
      <c r="U229" s="54"/>
      <c r="V229" s="54"/>
      <c r="W229" s="54"/>
      <c r="X229" s="54"/>
      <c r="Y229" s="46"/>
      <c r="Z229" s="46"/>
      <c r="AA229" s="46"/>
      <c r="AB229" s="54"/>
      <c r="AC229" s="54"/>
      <c r="AD229" s="54"/>
      <c r="AE229" s="54"/>
    </row>
    <row r="230" spans="1:31" s="10" customFormat="1" ht="15" customHeight="1" thickBot="1" x14ac:dyDescent="0.35">
      <c r="A230" s="151"/>
      <c r="B230" s="2"/>
      <c r="C230" s="88"/>
      <c r="D230" s="221"/>
      <c r="E230" s="106"/>
      <c r="F230" s="190"/>
      <c r="G230" s="88" t="s">
        <v>1298</v>
      </c>
      <c r="H230" s="88" t="s">
        <v>1298</v>
      </c>
      <c r="I230" s="88" t="s">
        <v>1298</v>
      </c>
      <c r="J230" s="88" t="s">
        <v>1298</v>
      </c>
      <c r="K230" s="88" t="s">
        <v>1298</v>
      </c>
      <c r="L230" s="88" t="s">
        <v>1298</v>
      </c>
      <c r="M230" s="88">
        <f t="shared" si="14"/>
        <v>1</v>
      </c>
      <c r="N230" s="65"/>
      <c r="O230" s="2"/>
      <c r="P230" s="2"/>
      <c r="Q230" s="151"/>
      <c r="R230" s="2"/>
      <c r="S230" s="6"/>
      <c r="T230" s="37"/>
      <c r="U230" s="13"/>
      <c r="V230" s="13"/>
      <c r="W230" s="13"/>
      <c r="X230" s="13"/>
      <c r="Y230" s="52"/>
      <c r="Z230" s="52"/>
      <c r="AA230" s="52"/>
      <c r="AB230" s="13"/>
      <c r="AC230" s="13"/>
      <c r="AD230" s="13"/>
      <c r="AE230" s="13"/>
    </row>
    <row r="231" spans="1:31" ht="15" customHeight="1" thickBot="1" x14ac:dyDescent="0.35">
      <c r="A231" s="158"/>
      <c r="B231" s="19"/>
      <c r="C231" s="89"/>
      <c r="D231" s="222"/>
      <c r="E231" s="110"/>
      <c r="F231" s="191"/>
      <c r="G231" s="89" t="s">
        <v>1298</v>
      </c>
      <c r="H231" s="89" t="s">
        <v>1298</v>
      </c>
      <c r="I231" s="89" t="s">
        <v>1298</v>
      </c>
      <c r="J231" s="89" t="s">
        <v>1298</v>
      </c>
      <c r="K231" s="89" t="s">
        <v>1298</v>
      </c>
      <c r="L231" s="89" t="s">
        <v>1298</v>
      </c>
      <c r="M231" s="89">
        <f t="shared" si="14"/>
        <v>1</v>
      </c>
      <c r="N231" s="65"/>
      <c r="O231" s="2"/>
      <c r="P231" s="63"/>
      <c r="Q231" s="199"/>
      <c r="R231" s="19"/>
      <c r="S231" s="26"/>
      <c r="T231" s="38"/>
      <c r="U231" s="55"/>
      <c r="V231" s="55"/>
      <c r="W231" s="55"/>
      <c r="X231" s="55"/>
      <c r="Y231" s="49"/>
      <c r="Z231" s="49"/>
      <c r="AA231" s="49"/>
      <c r="AB231" s="55"/>
      <c r="AC231" s="55"/>
      <c r="AD231" s="55"/>
      <c r="AE231" s="55"/>
    </row>
    <row r="232" spans="1:31" ht="14.4" customHeight="1" x14ac:dyDescent="0.3">
      <c r="A232" s="151"/>
      <c r="B232" s="42"/>
      <c r="C232" s="3"/>
      <c r="D232" s="218"/>
      <c r="E232" s="108"/>
      <c r="F232" s="188"/>
      <c r="G232" s="3" t="s">
        <v>1298</v>
      </c>
      <c r="H232" s="3" t="s">
        <v>1298</v>
      </c>
      <c r="I232" s="3" t="s">
        <v>1298</v>
      </c>
      <c r="J232" s="3" t="s">
        <v>1298</v>
      </c>
      <c r="K232" s="3" t="s">
        <v>1298</v>
      </c>
      <c r="L232" s="3" t="s">
        <v>1298</v>
      </c>
      <c r="M232" s="3">
        <f t="shared" si="14"/>
        <v>1</v>
      </c>
      <c r="N232" s="4"/>
      <c r="O232" s="2"/>
      <c r="P232" s="2"/>
      <c r="Q232" s="151"/>
      <c r="R232" s="2"/>
      <c r="S232" s="6"/>
      <c r="T232" s="5"/>
      <c r="U232" s="13"/>
      <c r="V232" s="13"/>
      <c r="W232" s="13"/>
      <c r="X232" s="13"/>
      <c r="Y232" s="14"/>
      <c r="Z232" s="14"/>
      <c r="AA232" s="14"/>
      <c r="AB232" s="13"/>
      <c r="AC232" s="13"/>
      <c r="AD232" s="13"/>
      <c r="AE232" s="13"/>
    </row>
    <row r="233" spans="1:31" ht="14.4" customHeight="1" x14ac:dyDescent="0.3">
      <c r="A233" s="151"/>
      <c r="B233" s="42"/>
      <c r="C233" s="3"/>
      <c r="D233" s="218"/>
      <c r="E233" s="108"/>
      <c r="F233" s="188"/>
      <c r="G233" s="3" t="s">
        <v>1298</v>
      </c>
      <c r="H233" s="3" t="s">
        <v>1298</v>
      </c>
      <c r="I233" s="3" t="s">
        <v>1298</v>
      </c>
      <c r="J233" s="3" t="s">
        <v>1298</v>
      </c>
      <c r="K233" s="3" t="s">
        <v>1298</v>
      </c>
      <c r="L233" s="3" t="s">
        <v>1298</v>
      </c>
      <c r="M233" s="3">
        <f t="shared" si="14"/>
        <v>1</v>
      </c>
      <c r="N233" s="4"/>
      <c r="O233" s="2"/>
      <c r="P233" s="2"/>
      <c r="Q233" s="151"/>
      <c r="R233" s="2"/>
      <c r="S233" s="6"/>
      <c r="T233" s="5"/>
      <c r="U233" s="13"/>
      <c r="V233" s="13"/>
      <c r="W233" s="13"/>
      <c r="X233" s="13"/>
      <c r="Y233" s="14"/>
      <c r="Z233" s="14"/>
      <c r="AA233" s="14"/>
      <c r="AB233" s="13"/>
      <c r="AC233" s="13"/>
      <c r="AD233" s="13"/>
      <c r="AE233" s="13"/>
    </row>
    <row r="234" spans="1:31" ht="14.4" customHeight="1" x14ac:dyDescent="0.3">
      <c r="A234" s="152"/>
      <c r="B234" s="3"/>
      <c r="C234" s="3"/>
      <c r="D234" s="218"/>
      <c r="E234" s="108"/>
      <c r="F234" s="188"/>
      <c r="G234" s="3" t="s">
        <v>1298</v>
      </c>
      <c r="H234" s="3" t="s">
        <v>1298</v>
      </c>
      <c r="I234" s="3" t="s">
        <v>1298</v>
      </c>
      <c r="J234" s="3" t="s">
        <v>1298</v>
      </c>
      <c r="K234" s="3" t="s">
        <v>1298</v>
      </c>
      <c r="L234" s="3" t="s">
        <v>1298</v>
      </c>
      <c r="M234" s="3">
        <f t="shared" si="14"/>
        <v>1</v>
      </c>
      <c r="N234" s="4"/>
      <c r="O234" s="4"/>
      <c r="P234" s="4"/>
      <c r="Q234" s="198"/>
      <c r="R234" s="4"/>
      <c r="S234" s="6"/>
      <c r="T234" s="5"/>
      <c r="U234" s="13"/>
      <c r="V234" s="13"/>
      <c r="W234" s="13"/>
      <c r="X234" s="13"/>
      <c r="Y234" s="14"/>
      <c r="Z234" s="14"/>
      <c r="AA234" s="14"/>
      <c r="AB234" s="13"/>
      <c r="AC234" s="13"/>
      <c r="AD234" s="13"/>
      <c r="AE234" s="13"/>
    </row>
    <row r="235" spans="1:31" ht="14.4" customHeight="1" x14ac:dyDescent="0.3">
      <c r="A235" s="151"/>
      <c r="B235" s="42"/>
      <c r="C235" s="3"/>
      <c r="D235" s="218"/>
      <c r="E235" s="108"/>
      <c r="F235" s="188"/>
      <c r="G235" s="3" t="s">
        <v>1298</v>
      </c>
      <c r="H235" s="3" t="s">
        <v>1298</v>
      </c>
      <c r="I235" s="3" t="s">
        <v>1298</v>
      </c>
      <c r="J235" s="3" t="s">
        <v>1298</v>
      </c>
      <c r="K235" s="3" t="s">
        <v>1298</v>
      </c>
      <c r="L235" s="3" t="s">
        <v>1298</v>
      </c>
      <c r="M235" s="3">
        <f t="shared" si="14"/>
        <v>1</v>
      </c>
      <c r="N235" s="4"/>
      <c r="O235" s="4"/>
      <c r="P235" s="4"/>
      <c r="Q235" s="198"/>
      <c r="R235" s="4"/>
      <c r="S235" s="6"/>
      <c r="T235" s="5"/>
      <c r="U235" s="13"/>
      <c r="V235" s="13"/>
      <c r="W235" s="13"/>
      <c r="X235" s="13"/>
      <c r="Y235" s="14"/>
      <c r="Z235" s="14"/>
      <c r="AA235" s="14"/>
      <c r="AB235" s="13"/>
      <c r="AC235" s="13"/>
      <c r="AD235" s="13"/>
      <c r="AE235" s="13"/>
    </row>
    <row r="236" spans="1:31" ht="14.4" customHeight="1" x14ac:dyDescent="0.3">
      <c r="A236" s="151"/>
      <c r="B236" s="42"/>
      <c r="C236" s="3"/>
      <c r="D236" s="218"/>
      <c r="E236" s="108"/>
      <c r="F236" s="188"/>
      <c r="G236" s="3" t="s">
        <v>1298</v>
      </c>
      <c r="H236" s="3" t="s">
        <v>1298</v>
      </c>
      <c r="I236" s="3" t="s">
        <v>1298</v>
      </c>
      <c r="J236" s="3" t="s">
        <v>1298</v>
      </c>
      <c r="K236" s="3" t="s">
        <v>1298</v>
      </c>
      <c r="L236" s="3" t="s">
        <v>1298</v>
      </c>
      <c r="M236" s="3">
        <f t="shared" si="14"/>
        <v>1</v>
      </c>
      <c r="N236" s="4"/>
      <c r="O236" s="4"/>
      <c r="P236" s="4"/>
      <c r="Q236" s="198"/>
      <c r="R236" s="4"/>
      <c r="S236" s="6"/>
      <c r="T236" s="5"/>
      <c r="U236" s="13"/>
      <c r="V236" s="13"/>
      <c r="W236" s="13"/>
      <c r="X236" s="13"/>
      <c r="Y236" s="14"/>
      <c r="Z236" s="14"/>
      <c r="AA236" s="14"/>
      <c r="AB236" s="13"/>
      <c r="AC236" s="13"/>
      <c r="AD236" s="13"/>
      <c r="AE236" s="13"/>
    </row>
    <row r="237" spans="1:31" ht="14.4" customHeight="1" x14ac:dyDescent="0.3">
      <c r="A237" s="151"/>
      <c r="B237" s="42"/>
      <c r="C237" s="3"/>
      <c r="D237" s="218"/>
      <c r="E237" s="108"/>
      <c r="F237" s="188"/>
      <c r="G237" s="3" t="s">
        <v>1298</v>
      </c>
      <c r="H237" s="3" t="s">
        <v>1298</v>
      </c>
      <c r="I237" s="3" t="s">
        <v>1298</v>
      </c>
      <c r="J237" s="3" t="s">
        <v>1298</v>
      </c>
      <c r="K237" s="3" t="s">
        <v>1298</v>
      </c>
      <c r="L237" s="3" t="s">
        <v>1298</v>
      </c>
      <c r="M237" s="3">
        <f t="shared" si="14"/>
        <v>1</v>
      </c>
      <c r="N237" s="4"/>
      <c r="O237" s="4"/>
      <c r="P237" s="4"/>
      <c r="Q237" s="198"/>
      <c r="R237" s="4"/>
      <c r="S237" s="6"/>
      <c r="T237" s="5"/>
      <c r="U237" s="13"/>
      <c r="V237" s="13"/>
      <c r="W237" s="13"/>
      <c r="X237" s="13"/>
      <c r="Y237" s="14"/>
      <c r="Z237" s="14"/>
      <c r="AA237" s="14"/>
      <c r="AB237" s="13"/>
      <c r="AC237" s="13"/>
      <c r="AD237" s="13"/>
      <c r="AE237" s="13"/>
    </row>
    <row r="238" spans="1:31" ht="14.4" customHeight="1" x14ac:dyDescent="0.3">
      <c r="A238" s="152"/>
      <c r="B238" s="3"/>
      <c r="C238" s="3"/>
      <c r="D238" s="218"/>
      <c r="E238" s="108"/>
      <c r="F238" s="188"/>
      <c r="G238" s="3" t="s">
        <v>1298</v>
      </c>
      <c r="H238" s="3" t="s">
        <v>1298</v>
      </c>
      <c r="I238" s="3" t="s">
        <v>1298</v>
      </c>
      <c r="J238" s="3" t="s">
        <v>1298</v>
      </c>
      <c r="K238" s="3" t="s">
        <v>1298</v>
      </c>
      <c r="L238" s="3" t="s">
        <v>1298</v>
      </c>
      <c r="M238" s="3">
        <f t="shared" si="14"/>
        <v>1</v>
      </c>
      <c r="N238" s="4"/>
      <c r="O238" s="4"/>
      <c r="P238" s="4"/>
      <c r="Q238" s="198"/>
      <c r="R238" s="4"/>
      <c r="S238" s="6"/>
      <c r="T238" s="5"/>
      <c r="U238" s="13"/>
      <c r="V238" s="13"/>
      <c r="W238" s="13"/>
      <c r="X238" s="13"/>
      <c r="Y238" s="14"/>
      <c r="Z238" s="14"/>
      <c r="AA238" s="14"/>
      <c r="AB238" s="13"/>
      <c r="AC238" s="13"/>
      <c r="AD238" s="13"/>
      <c r="AE238" s="13"/>
    </row>
    <row r="239" spans="1:31" ht="14.4" customHeight="1" x14ac:dyDescent="0.3">
      <c r="A239" s="151"/>
      <c r="B239" s="42"/>
      <c r="C239" s="3"/>
      <c r="D239" s="218"/>
      <c r="E239" s="108"/>
      <c r="F239" s="188"/>
      <c r="G239" s="3" t="s">
        <v>1298</v>
      </c>
      <c r="H239" s="3" t="s">
        <v>1298</v>
      </c>
      <c r="I239" s="3" t="s">
        <v>1298</v>
      </c>
      <c r="J239" s="3" t="s">
        <v>1298</v>
      </c>
      <c r="K239" s="3" t="s">
        <v>1298</v>
      </c>
      <c r="L239" s="3" t="s">
        <v>1298</v>
      </c>
      <c r="M239" s="3">
        <f t="shared" si="14"/>
        <v>1</v>
      </c>
      <c r="N239" s="4"/>
      <c r="O239" s="4"/>
      <c r="P239" s="4"/>
      <c r="Q239" s="198"/>
      <c r="R239" s="4"/>
      <c r="S239" s="6"/>
      <c r="T239" s="5"/>
      <c r="U239" s="13"/>
      <c r="V239" s="13"/>
      <c r="W239" s="13"/>
      <c r="X239" s="13"/>
      <c r="Y239" s="14"/>
      <c r="Z239" s="14"/>
      <c r="AA239" s="14"/>
      <c r="AB239" s="13"/>
      <c r="AC239" s="13"/>
      <c r="AD239" s="13"/>
      <c r="AE239" s="13"/>
    </row>
    <row r="240" spans="1:31" ht="14.4" customHeight="1" x14ac:dyDescent="0.3">
      <c r="A240" s="151"/>
      <c r="B240" s="42"/>
      <c r="C240" s="3"/>
      <c r="D240" s="218"/>
      <c r="E240" s="108"/>
      <c r="F240" s="188"/>
      <c r="G240" s="3" t="s">
        <v>1298</v>
      </c>
      <c r="H240" s="3" t="s">
        <v>1298</v>
      </c>
      <c r="I240" s="3" t="s">
        <v>1298</v>
      </c>
      <c r="J240" s="3" t="s">
        <v>1298</v>
      </c>
      <c r="K240" s="3" t="s">
        <v>1298</v>
      </c>
      <c r="L240" s="3" t="s">
        <v>1298</v>
      </c>
      <c r="M240" s="3">
        <f t="shared" si="14"/>
        <v>1</v>
      </c>
      <c r="N240" s="4"/>
      <c r="O240" s="4"/>
      <c r="P240" s="4"/>
      <c r="Q240" s="198"/>
      <c r="R240" s="4"/>
      <c r="S240" s="6"/>
      <c r="T240" s="5"/>
      <c r="U240" s="13"/>
      <c r="V240" s="13"/>
      <c r="W240" s="13"/>
      <c r="X240" s="13"/>
      <c r="Y240" s="14"/>
      <c r="Z240" s="14"/>
      <c r="AA240" s="14"/>
      <c r="AB240" s="13"/>
      <c r="AC240" s="13"/>
      <c r="AD240" s="13"/>
      <c r="AE240" s="13"/>
    </row>
    <row r="241" spans="1:31" ht="14.4" customHeight="1" x14ac:dyDescent="0.3">
      <c r="A241" s="151"/>
      <c r="B241" s="42"/>
      <c r="C241" s="3"/>
      <c r="D241" s="218"/>
      <c r="E241" s="108"/>
      <c r="F241" s="188"/>
      <c r="G241" s="3" t="s">
        <v>1298</v>
      </c>
      <c r="H241" s="3" t="s">
        <v>1298</v>
      </c>
      <c r="I241" s="3" t="s">
        <v>1298</v>
      </c>
      <c r="J241" s="3" t="s">
        <v>1298</v>
      </c>
      <c r="K241" s="3" t="s">
        <v>1298</v>
      </c>
      <c r="L241" s="3" t="s">
        <v>1298</v>
      </c>
      <c r="M241" s="3">
        <f t="shared" si="14"/>
        <v>1</v>
      </c>
      <c r="N241" s="4"/>
      <c r="O241" s="4"/>
      <c r="P241" s="4"/>
      <c r="Q241" s="198"/>
      <c r="R241" s="4"/>
      <c r="S241" s="6"/>
      <c r="T241" s="5"/>
      <c r="U241" s="13"/>
      <c r="V241" s="13"/>
      <c r="W241" s="13"/>
      <c r="X241" s="13"/>
      <c r="Y241" s="14"/>
      <c r="Z241" s="14"/>
      <c r="AA241" s="14"/>
      <c r="AB241" s="13"/>
      <c r="AC241" s="13"/>
      <c r="AD241" s="13"/>
      <c r="AE241" s="13"/>
    </row>
    <row r="242" spans="1:31" ht="14.4" customHeight="1" x14ac:dyDescent="0.3">
      <c r="A242" s="152"/>
      <c r="B242" s="3"/>
      <c r="C242" s="3"/>
      <c r="D242" s="218"/>
      <c r="E242" s="108"/>
      <c r="F242" s="188"/>
      <c r="G242" s="3" t="s">
        <v>1298</v>
      </c>
      <c r="H242" s="3" t="s">
        <v>1298</v>
      </c>
      <c r="I242" s="3" t="s">
        <v>1298</v>
      </c>
      <c r="J242" s="3" t="s">
        <v>1298</v>
      </c>
      <c r="K242" s="3" t="s">
        <v>1298</v>
      </c>
      <c r="L242" s="3" t="s">
        <v>1298</v>
      </c>
      <c r="M242" s="3">
        <f t="shared" si="14"/>
        <v>1</v>
      </c>
      <c r="N242" s="4"/>
      <c r="O242" s="4"/>
      <c r="P242" s="4"/>
      <c r="Q242" s="198"/>
      <c r="R242" s="4"/>
      <c r="S242" s="6"/>
      <c r="T242" s="5"/>
      <c r="U242" s="13"/>
      <c r="V242" s="13"/>
      <c r="W242" s="13"/>
      <c r="X242" s="13"/>
      <c r="Y242" s="14"/>
      <c r="Z242" s="14"/>
      <c r="AA242" s="14"/>
      <c r="AB242" s="13"/>
      <c r="AC242" s="13"/>
      <c r="AD242" s="13"/>
      <c r="AE242" s="13"/>
    </row>
    <row r="243" spans="1:31" ht="14.4" customHeight="1" x14ac:dyDescent="0.3">
      <c r="A243" s="152"/>
      <c r="B243" s="3"/>
      <c r="C243" s="3"/>
      <c r="D243" s="218"/>
      <c r="E243" s="108"/>
      <c r="F243" s="188"/>
      <c r="G243" s="3" t="s">
        <v>1298</v>
      </c>
      <c r="H243" s="3" t="s">
        <v>1298</v>
      </c>
      <c r="I243" s="3" t="s">
        <v>1298</v>
      </c>
      <c r="J243" s="3" t="s">
        <v>1298</v>
      </c>
      <c r="K243" s="3" t="s">
        <v>1298</v>
      </c>
      <c r="L243" s="3" t="s">
        <v>1298</v>
      </c>
      <c r="M243" s="3">
        <f t="shared" si="14"/>
        <v>1</v>
      </c>
      <c r="N243" s="4"/>
      <c r="O243" s="4"/>
      <c r="P243" s="4"/>
      <c r="Q243" s="198"/>
      <c r="R243" s="4"/>
      <c r="S243" s="6"/>
      <c r="T243" s="5"/>
      <c r="U243" s="13"/>
      <c r="V243" s="13"/>
      <c r="W243" s="13"/>
      <c r="X243" s="13"/>
      <c r="Y243" s="14"/>
      <c r="Z243" s="14"/>
      <c r="AA243" s="14"/>
      <c r="AB243" s="13"/>
      <c r="AC243" s="13"/>
      <c r="AD243" s="13"/>
      <c r="AE243" s="13"/>
    </row>
    <row r="244" spans="1:31" ht="14.4" customHeight="1" x14ac:dyDescent="0.3">
      <c r="A244" s="151"/>
      <c r="B244" s="42"/>
      <c r="C244" s="3"/>
      <c r="D244" s="218"/>
      <c r="E244" s="108"/>
      <c r="F244" s="188"/>
      <c r="G244" s="3" t="s">
        <v>1298</v>
      </c>
      <c r="H244" s="3" t="s">
        <v>1298</v>
      </c>
      <c r="I244" s="3" t="s">
        <v>1298</v>
      </c>
      <c r="J244" s="3" t="s">
        <v>1298</v>
      </c>
      <c r="K244" s="3" t="s">
        <v>1298</v>
      </c>
      <c r="L244" s="3" t="s">
        <v>1298</v>
      </c>
      <c r="M244" s="3">
        <f t="shared" si="14"/>
        <v>1</v>
      </c>
      <c r="N244" s="4"/>
      <c r="O244" s="4"/>
      <c r="P244" s="4"/>
      <c r="Q244" s="198"/>
      <c r="R244" s="4"/>
      <c r="S244" s="6"/>
      <c r="T244" s="5"/>
      <c r="U244" s="13"/>
      <c r="V244" s="13"/>
      <c r="W244" s="13"/>
      <c r="X244" s="13"/>
      <c r="Y244" s="14"/>
      <c r="Z244" s="14"/>
      <c r="AA244" s="14"/>
      <c r="AB244" s="13"/>
      <c r="AC244" s="13"/>
      <c r="AD244" s="13"/>
      <c r="AE244" s="13"/>
    </row>
    <row r="245" spans="1:31" ht="14.4" customHeight="1" x14ac:dyDescent="0.3">
      <c r="A245" s="151"/>
      <c r="B245" s="42"/>
      <c r="C245" s="3"/>
      <c r="D245" s="218"/>
      <c r="E245" s="108"/>
      <c r="F245" s="188"/>
      <c r="G245" s="3" t="s">
        <v>1298</v>
      </c>
      <c r="H245" s="3" t="s">
        <v>1298</v>
      </c>
      <c r="I245" s="3" t="s">
        <v>1298</v>
      </c>
      <c r="J245" s="3" t="s">
        <v>1298</v>
      </c>
      <c r="K245" s="3" t="s">
        <v>1298</v>
      </c>
      <c r="L245" s="3" t="s">
        <v>1298</v>
      </c>
      <c r="M245" s="3">
        <f t="shared" si="14"/>
        <v>1</v>
      </c>
      <c r="N245" s="4"/>
      <c r="O245" s="4"/>
      <c r="P245" s="4"/>
      <c r="Q245" s="198"/>
      <c r="R245" s="4"/>
      <c r="S245" s="6"/>
      <c r="T245" s="5"/>
      <c r="U245" s="13"/>
      <c r="V245" s="13"/>
      <c r="W245" s="13"/>
      <c r="X245" s="13"/>
      <c r="Y245" s="14"/>
      <c r="Z245" s="14"/>
      <c r="AA245" s="14"/>
      <c r="AB245" s="13"/>
      <c r="AC245" s="13"/>
      <c r="AD245" s="13"/>
      <c r="AE245" s="13"/>
    </row>
    <row r="246" spans="1:31" ht="14.4" customHeight="1" x14ac:dyDescent="0.3">
      <c r="A246" s="151"/>
      <c r="B246" s="42"/>
      <c r="C246" s="3"/>
      <c r="D246" s="218"/>
      <c r="E246" s="108"/>
      <c r="F246" s="188"/>
      <c r="G246" s="3" t="s">
        <v>1298</v>
      </c>
      <c r="H246" s="3" t="s">
        <v>1298</v>
      </c>
      <c r="I246" s="3" t="s">
        <v>1298</v>
      </c>
      <c r="J246" s="3" t="s">
        <v>1298</v>
      </c>
      <c r="K246" s="3" t="s">
        <v>1298</v>
      </c>
      <c r="L246" s="3" t="s">
        <v>1298</v>
      </c>
      <c r="M246" s="3">
        <f t="shared" si="14"/>
        <v>1</v>
      </c>
      <c r="N246" s="4"/>
      <c r="O246" s="4"/>
      <c r="P246" s="4"/>
      <c r="Q246" s="198"/>
      <c r="R246" s="4"/>
      <c r="S246" s="6"/>
      <c r="T246" s="5"/>
      <c r="U246" s="13"/>
      <c r="V246" s="13"/>
      <c r="W246" s="13"/>
      <c r="X246" s="13"/>
      <c r="Y246" s="14"/>
      <c r="Z246" s="14"/>
      <c r="AA246" s="14"/>
      <c r="AB246" s="13"/>
      <c r="AC246" s="13"/>
      <c r="AD246" s="13"/>
      <c r="AE246" s="13"/>
    </row>
    <row r="247" spans="1:31" ht="14.4" customHeight="1" x14ac:dyDescent="0.3">
      <c r="A247" s="151"/>
      <c r="B247" s="42"/>
      <c r="C247" s="3"/>
      <c r="D247" s="218"/>
      <c r="E247" s="108"/>
      <c r="F247" s="188"/>
      <c r="G247" s="3" t="s">
        <v>1298</v>
      </c>
      <c r="H247" s="3" t="s">
        <v>1298</v>
      </c>
      <c r="I247" s="3" t="s">
        <v>1298</v>
      </c>
      <c r="J247" s="3" t="s">
        <v>1298</v>
      </c>
      <c r="K247" s="3" t="s">
        <v>1298</v>
      </c>
      <c r="L247" s="3" t="s">
        <v>1298</v>
      </c>
      <c r="M247" s="3">
        <f t="shared" si="14"/>
        <v>1</v>
      </c>
      <c r="N247" s="4"/>
      <c r="O247" s="4"/>
      <c r="P247" s="4"/>
      <c r="Q247" s="198"/>
      <c r="R247" s="4"/>
      <c r="S247" s="6"/>
      <c r="T247" s="5"/>
      <c r="U247" s="13"/>
      <c r="V247" s="13"/>
      <c r="W247" s="13"/>
      <c r="X247" s="13"/>
      <c r="Y247" s="14"/>
      <c r="Z247" s="14"/>
      <c r="AA247" s="14"/>
      <c r="AB247" s="13"/>
      <c r="AC247" s="13"/>
      <c r="AD247" s="13"/>
      <c r="AE247" s="13"/>
    </row>
    <row r="248" spans="1:31" ht="14.4" customHeight="1" x14ac:dyDescent="0.3">
      <c r="A248" s="151"/>
      <c r="B248" s="42"/>
      <c r="C248" s="3"/>
      <c r="D248" s="218"/>
      <c r="E248" s="108"/>
      <c r="F248" s="188"/>
      <c r="G248" s="3" t="s">
        <v>1298</v>
      </c>
      <c r="H248" s="3" t="s">
        <v>1298</v>
      </c>
      <c r="I248" s="3" t="s">
        <v>1298</v>
      </c>
      <c r="J248" s="3" t="s">
        <v>1298</v>
      </c>
      <c r="K248" s="3" t="s">
        <v>1298</v>
      </c>
      <c r="L248" s="3" t="s">
        <v>1298</v>
      </c>
      <c r="M248" s="3">
        <f t="shared" si="14"/>
        <v>1</v>
      </c>
      <c r="N248" s="4"/>
      <c r="O248" s="4"/>
      <c r="P248" s="4"/>
      <c r="Q248" s="198"/>
      <c r="R248" s="4"/>
      <c r="S248" s="6"/>
      <c r="T248" s="5"/>
      <c r="U248" s="13"/>
      <c r="V248" s="13"/>
      <c r="W248" s="13"/>
      <c r="X248" s="13"/>
      <c r="Y248" s="14"/>
      <c r="Z248" s="14"/>
      <c r="AA248" s="14"/>
      <c r="AB248" s="13"/>
      <c r="AC248" s="13"/>
      <c r="AD248" s="13"/>
      <c r="AE248" s="13"/>
    </row>
    <row r="249" spans="1:31" ht="14.4" customHeight="1" x14ac:dyDescent="0.3">
      <c r="A249" s="151"/>
      <c r="B249" s="42"/>
      <c r="C249" s="3"/>
      <c r="D249" s="218"/>
      <c r="E249" s="108"/>
      <c r="F249" s="188"/>
      <c r="G249" s="3" t="s">
        <v>1298</v>
      </c>
      <c r="H249" s="3" t="s">
        <v>1298</v>
      </c>
      <c r="I249" s="3" t="s">
        <v>1298</v>
      </c>
      <c r="J249" s="3" t="s">
        <v>1298</v>
      </c>
      <c r="K249" s="3" t="s">
        <v>1298</v>
      </c>
      <c r="L249" s="3" t="s">
        <v>1298</v>
      </c>
      <c r="M249" s="3">
        <f t="shared" si="14"/>
        <v>1</v>
      </c>
      <c r="N249" s="5"/>
      <c r="O249" s="2"/>
      <c r="P249" s="2"/>
      <c r="Q249" s="151"/>
      <c r="R249" s="2"/>
      <c r="S249" s="6"/>
      <c r="T249" s="5"/>
      <c r="U249" s="13"/>
      <c r="V249" s="13"/>
      <c r="W249" s="13"/>
      <c r="X249" s="13"/>
      <c r="Y249" s="14"/>
      <c r="Z249" s="14"/>
      <c r="AA249" s="14"/>
      <c r="AB249" s="13"/>
      <c r="AC249" s="13"/>
      <c r="AD249" s="13"/>
      <c r="AE249" s="13"/>
    </row>
    <row r="250" spans="1:31" ht="14.4" customHeight="1" x14ac:dyDescent="0.3">
      <c r="A250" s="152"/>
      <c r="B250" s="3"/>
      <c r="C250" s="3"/>
      <c r="D250" s="218"/>
      <c r="E250" s="108"/>
      <c r="F250" s="188"/>
      <c r="G250" s="3" t="s">
        <v>1298</v>
      </c>
      <c r="H250" s="3" t="s">
        <v>1298</v>
      </c>
      <c r="I250" s="3" t="s">
        <v>1298</v>
      </c>
      <c r="J250" s="3" t="s">
        <v>1298</v>
      </c>
      <c r="K250" s="3" t="s">
        <v>1298</v>
      </c>
      <c r="L250" s="3" t="s">
        <v>1298</v>
      </c>
      <c r="M250" s="3">
        <f t="shared" si="14"/>
        <v>1</v>
      </c>
      <c r="N250" s="4"/>
      <c r="O250" s="4"/>
      <c r="P250" s="4"/>
      <c r="Q250" s="198"/>
      <c r="R250" s="4"/>
      <c r="S250" s="6"/>
      <c r="T250" s="5"/>
      <c r="U250" s="13"/>
      <c r="V250" s="13"/>
      <c r="W250" s="13"/>
      <c r="X250" s="13"/>
      <c r="Y250" s="14"/>
      <c r="Z250" s="14"/>
      <c r="AA250" s="14"/>
      <c r="AB250" s="13"/>
      <c r="AC250" s="13"/>
      <c r="AD250" s="13"/>
      <c r="AE250" s="13"/>
    </row>
    <row r="251" spans="1:31" ht="14.4" customHeight="1" x14ac:dyDescent="0.3">
      <c r="A251" s="152"/>
      <c r="B251" s="3"/>
      <c r="C251" s="3"/>
      <c r="D251" s="218"/>
      <c r="E251" s="108"/>
      <c r="F251" s="188"/>
      <c r="G251" s="3" t="s">
        <v>1298</v>
      </c>
      <c r="H251" s="3" t="s">
        <v>1298</v>
      </c>
      <c r="I251" s="3" t="s">
        <v>1298</v>
      </c>
      <c r="J251" s="3" t="s">
        <v>1298</v>
      </c>
      <c r="K251" s="3" t="s">
        <v>1298</v>
      </c>
      <c r="L251" s="3" t="s">
        <v>1298</v>
      </c>
      <c r="M251" s="3">
        <f t="shared" si="14"/>
        <v>1</v>
      </c>
      <c r="N251" s="4"/>
      <c r="O251" s="4"/>
      <c r="P251" s="4"/>
      <c r="Q251" s="198"/>
      <c r="R251" s="4"/>
      <c r="S251" s="6"/>
      <c r="T251" s="5"/>
      <c r="U251" s="13"/>
      <c r="V251" s="13"/>
      <c r="W251" s="13"/>
      <c r="X251" s="13"/>
      <c r="Y251" s="14"/>
      <c r="Z251" s="14"/>
      <c r="AA251" s="14"/>
      <c r="AB251" s="13"/>
      <c r="AC251" s="13"/>
      <c r="AD251" s="13"/>
      <c r="AE251" s="13"/>
    </row>
    <row r="252" spans="1:31" ht="14.4" customHeight="1" x14ac:dyDescent="0.3">
      <c r="A252" s="151"/>
      <c r="B252" s="42"/>
      <c r="C252" s="3"/>
      <c r="D252" s="218"/>
      <c r="E252" s="108"/>
      <c r="F252" s="188"/>
      <c r="G252" s="3" t="s">
        <v>1298</v>
      </c>
      <c r="H252" s="3" t="s">
        <v>1298</v>
      </c>
      <c r="I252" s="3" t="s">
        <v>1298</v>
      </c>
      <c r="J252" s="3" t="s">
        <v>1298</v>
      </c>
      <c r="K252" s="3" t="s">
        <v>1298</v>
      </c>
      <c r="L252" s="3" t="s">
        <v>1298</v>
      </c>
      <c r="M252" s="3">
        <f t="shared" si="14"/>
        <v>1</v>
      </c>
      <c r="N252" s="4"/>
      <c r="O252" s="4"/>
      <c r="P252" s="4"/>
      <c r="Q252" s="198"/>
      <c r="R252" s="4"/>
      <c r="S252" s="6"/>
      <c r="T252" s="5"/>
      <c r="U252" s="13"/>
      <c r="V252" s="13"/>
      <c r="W252" s="13"/>
      <c r="X252" s="13"/>
      <c r="Y252" s="14"/>
      <c r="Z252" s="14"/>
      <c r="AA252" s="14"/>
      <c r="AB252" s="13"/>
      <c r="AC252" s="13"/>
      <c r="AD252" s="13"/>
      <c r="AE252" s="13"/>
    </row>
    <row r="253" spans="1:31" ht="14.4" customHeight="1" x14ac:dyDescent="0.3">
      <c r="A253" s="152"/>
      <c r="B253" s="3"/>
      <c r="C253" s="3"/>
      <c r="D253" s="218"/>
      <c r="E253" s="108"/>
      <c r="F253" s="188"/>
      <c r="G253" s="3" t="s">
        <v>1298</v>
      </c>
      <c r="H253" s="3" t="s">
        <v>1298</v>
      </c>
      <c r="I253" s="3" t="s">
        <v>1298</v>
      </c>
      <c r="J253" s="3" t="s">
        <v>1298</v>
      </c>
      <c r="K253" s="3" t="s">
        <v>1298</v>
      </c>
      <c r="L253" s="3" t="s">
        <v>1298</v>
      </c>
      <c r="M253" s="3">
        <f t="shared" si="14"/>
        <v>1</v>
      </c>
      <c r="N253" s="5"/>
      <c r="O253" s="4"/>
      <c r="P253" s="4"/>
      <c r="Q253" s="198"/>
      <c r="R253" s="4"/>
      <c r="S253" s="6"/>
      <c r="T253" s="5"/>
      <c r="U253" s="13"/>
      <c r="V253" s="13"/>
      <c r="W253" s="13"/>
      <c r="X253" s="13"/>
      <c r="Y253" s="14"/>
      <c r="Z253" s="14"/>
      <c r="AA253" s="14"/>
      <c r="AB253" s="13"/>
      <c r="AC253" s="13"/>
      <c r="AD253" s="13"/>
      <c r="AE253" s="13"/>
    </row>
    <row r="254" spans="1:31" ht="14.4" customHeight="1" x14ac:dyDescent="0.3">
      <c r="A254" s="152"/>
      <c r="B254" s="3"/>
      <c r="C254" s="3"/>
      <c r="D254" s="218"/>
      <c r="E254" s="108"/>
      <c r="F254" s="188"/>
      <c r="G254" s="3" t="s">
        <v>1298</v>
      </c>
      <c r="H254" s="3" t="s">
        <v>1298</v>
      </c>
      <c r="I254" s="3" t="s">
        <v>1298</v>
      </c>
      <c r="J254" s="3" t="s">
        <v>1298</v>
      </c>
      <c r="K254" s="3" t="s">
        <v>1298</v>
      </c>
      <c r="L254" s="3" t="s">
        <v>1298</v>
      </c>
      <c r="M254" s="3">
        <f t="shared" si="14"/>
        <v>1</v>
      </c>
      <c r="N254" s="5"/>
      <c r="O254" s="4"/>
      <c r="P254" s="4"/>
      <c r="Q254" s="198"/>
      <c r="R254" s="4"/>
      <c r="S254" s="6"/>
      <c r="T254" s="5"/>
      <c r="U254" s="13"/>
      <c r="V254" s="13"/>
      <c r="W254" s="13"/>
      <c r="X254" s="13"/>
      <c r="Y254" s="14"/>
      <c r="Z254" s="14"/>
      <c r="AA254" s="14"/>
      <c r="AB254" s="13"/>
      <c r="AC254" s="13"/>
      <c r="AD254" s="13"/>
      <c r="AE254" s="13"/>
    </row>
    <row r="255" spans="1:31" ht="14.4" customHeight="1" x14ac:dyDescent="0.3">
      <c r="A255" s="152"/>
      <c r="B255" s="3"/>
      <c r="C255" s="3"/>
      <c r="D255" s="218"/>
      <c r="E255" s="108"/>
      <c r="F255" s="188"/>
      <c r="G255" s="3" t="s">
        <v>1298</v>
      </c>
      <c r="H255" s="3" t="s">
        <v>1298</v>
      </c>
      <c r="I255" s="3" t="s">
        <v>1298</v>
      </c>
      <c r="J255" s="3" t="s">
        <v>1298</v>
      </c>
      <c r="K255" s="3" t="s">
        <v>1298</v>
      </c>
      <c r="L255" s="3" t="s">
        <v>1298</v>
      </c>
      <c r="M255" s="3">
        <f t="shared" si="14"/>
        <v>1</v>
      </c>
      <c r="N255" s="5"/>
      <c r="O255" s="4"/>
      <c r="P255" s="4"/>
      <c r="Q255" s="198"/>
      <c r="R255" s="4"/>
      <c r="S255" s="6"/>
      <c r="T255" s="5"/>
      <c r="U255" s="13"/>
      <c r="V255" s="13"/>
      <c r="W255" s="13"/>
      <c r="X255" s="13"/>
      <c r="Y255" s="14"/>
      <c r="Z255" s="14"/>
      <c r="AA255" s="14"/>
      <c r="AB255" s="13"/>
      <c r="AC255" s="13"/>
      <c r="AD255" s="13"/>
      <c r="AE255" s="13"/>
    </row>
    <row r="256" spans="1:31" ht="14.4" customHeight="1" x14ac:dyDescent="0.3">
      <c r="A256" s="152"/>
      <c r="B256" s="3"/>
      <c r="C256" s="3"/>
      <c r="D256" s="218"/>
      <c r="E256" s="108"/>
      <c r="F256" s="188"/>
      <c r="G256" s="3" t="s">
        <v>1298</v>
      </c>
      <c r="H256" s="3" t="s">
        <v>1298</v>
      </c>
      <c r="I256" s="3" t="s">
        <v>1298</v>
      </c>
      <c r="J256" s="3" t="s">
        <v>1298</v>
      </c>
      <c r="K256" s="3" t="s">
        <v>1298</v>
      </c>
      <c r="L256" s="3" t="s">
        <v>1298</v>
      </c>
      <c r="M256" s="3">
        <f t="shared" si="14"/>
        <v>1</v>
      </c>
      <c r="N256" s="5"/>
      <c r="O256" s="4"/>
      <c r="P256" s="4"/>
      <c r="Q256" s="198"/>
      <c r="R256" s="4"/>
      <c r="S256" s="6"/>
      <c r="T256" s="5"/>
      <c r="U256" s="13"/>
      <c r="V256" s="13"/>
      <c r="W256" s="13"/>
      <c r="X256" s="13"/>
      <c r="Y256" s="14"/>
      <c r="Z256" s="14"/>
      <c r="AA256" s="14"/>
      <c r="AB256" s="13"/>
      <c r="AC256" s="13"/>
      <c r="AD256" s="13"/>
      <c r="AE256" s="13"/>
    </row>
    <row r="257" spans="1:50" ht="14.4" customHeight="1" x14ac:dyDescent="0.3">
      <c r="A257" s="151"/>
      <c r="B257" s="42"/>
      <c r="C257" s="3"/>
      <c r="D257" s="218"/>
      <c r="E257" s="108"/>
      <c r="F257" s="188"/>
      <c r="G257" s="3" t="s">
        <v>1298</v>
      </c>
      <c r="H257" s="3" t="s">
        <v>1298</v>
      </c>
      <c r="I257" s="3" t="s">
        <v>1298</v>
      </c>
      <c r="J257" s="3" t="s">
        <v>1298</v>
      </c>
      <c r="K257" s="3" t="s">
        <v>1298</v>
      </c>
      <c r="L257" s="3" t="s">
        <v>1298</v>
      </c>
      <c r="M257" s="3">
        <f t="shared" si="14"/>
        <v>1</v>
      </c>
      <c r="N257" s="5"/>
      <c r="O257" s="4"/>
      <c r="P257" s="4"/>
      <c r="Q257" s="198"/>
      <c r="R257" s="4"/>
      <c r="S257" s="6"/>
      <c r="T257" s="5"/>
      <c r="U257" s="13"/>
      <c r="V257" s="13"/>
      <c r="W257" s="13"/>
      <c r="X257" s="13"/>
      <c r="Y257" s="14"/>
      <c r="Z257" s="14"/>
      <c r="AA257" s="14"/>
      <c r="AB257" s="13"/>
      <c r="AC257" s="13"/>
      <c r="AD257" s="13"/>
      <c r="AE257" s="13"/>
    </row>
    <row r="258" spans="1:50" ht="14.4" customHeight="1" x14ac:dyDescent="0.3">
      <c r="A258" s="151"/>
      <c r="B258" s="42"/>
      <c r="C258" s="3"/>
      <c r="D258" s="218"/>
      <c r="E258" s="108"/>
      <c r="F258" s="188"/>
      <c r="G258" s="3" t="s">
        <v>1298</v>
      </c>
      <c r="H258" s="3" t="s">
        <v>1298</v>
      </c>
      <c r="I258" s="3" t="s">
        <v>1298</v>
      </c>
      <c r="J258" s="3" t="s">
        <v>1298</v>
      </c>
      <c r="K258" s="3" t="s">
        <v>1298</v>
      </c>
      <c r="L258" s="3" t="s">
        <v>1298</v>
      </c>
      <c r="M258" s="3">
        <f t="shared" si="14"/>
        <v>1</v>
      </c>
      <c r="N258" s="5"/>
      <c r="O258" s="4"/>
      <c r="P258" s="4"/>
      <c r="Q258" s="198"/>
      <c r="R258" s="4"/>
      <c r="S258" s="6"/>
      <c r="T258" s="5"/>
      <c r="U258" s="13"/>
      <c r="V258" s="13"/>
      <c r="W258" s="13"/>
      <c r="X258" s="13"/>
      <c r="Y258" s="14"/>
      <c r="Z258" s="14"/>
      <c r="AA258" s="14"/>
      <c r="AB258" s="13"/>
      <c r="AC258" s="13"/>
      <c r="AD258" s="13"/>
      <c r="AE258" s="13"/>
    </row>
    <row r="259" spans="1:50" ht="14.4" customHeight="1" x14ac:dyDescent="0.3">
      <c r="A259" s="152"/>
      <c r="B259" s="3"/>
      <c r="C259" s="3"/>
      <c r="D259" s="218"/>
      <c r="E259" s="108"/>
      <c r="F259" s="188"/>
      <c r="G259" s="3" t="s">
        <v>1298</v>
      </c>
      <c r="H259" s="3" t="s">
        <v>1298</v>
      </c>
      <c r="I259" s="3" t="s">
        <v>1298</v>
      </c>
      <c r="J259" s="3" t="s">
        <v>1298</v>
      </c>
      <c r="K259" s="3" t="s">
        <v>1298</v>
      </c>
      <c r="L259" s="3" t="s">
        <v>1298</v>
      </c>
      <c r="M259" s="3">
        <f t="shared" si="14"/>
        <v>1</v>
      </c>
      <c r="N259" s="5"/>
      <c r="O259" s="4"/>
      <c r="P259" s="4"/>
      <c r="Q259" s="198"/>
      <c r="R259" s="4"/>
      <c r="S259" s="6"/>
      <c r="T259" s="5"/>
      <c r="U259" s="13"/>
      <c r="V259" s="13"/>
      <c r="W259" s="13"/>
      <c r="X259" s="13"/>
      <c r="Y259" s="14"/>
      <c r="Z259" s="14"/>
      <c r="AA259" s="14"/>
      <c r="AB259" s="13"/>
      <c r="AC259" s="13"/>
      <c r="AD259" s="13"/>
      <c r="AE259" s="13"/>
    </row>
    <row r="260" spans="1:50" ht="14.4" customHeight="1" x14ac:dyDescent="0.3">
      <c r="A260" s="151"/>
      <c r="B260" s="42"/>
      <c r="C260" s="3"/>
      <c r="D260" s="218"/>
      <c r="E260" s="108"/>
      <c r="F260" s="188"/>
      <c r="G260" s="3" t="s">
        <v>1298</v>
      </c>
      <c r="H260" s="3" t="s">
        <v>1298</v>
      </c>
      <c r="I260" s="3" t="s">
        <v>1298</v>
      </c>
      <c r="J260" s="3" t="s">
        <v>1298</v>
      </c>
      <c r="K260" s="3" t="s">
        <v>1298</v>
      </c>
      <c r="L260" s="3" t="s">
        <v>1298</v>
      </c>
      <c r="M260" s="3">
        <f t="shared" si="14"/>
        <v>1</v>
      </c>
      <c r="N260" s="5"/>
      <c r="O260" s="2"/>
      <c r="P260" s="2"/>
      <c r="Q260" s="151"/>
      <c r="R260" s="2"/>
      <c r="S260" s="6"/>
      <c r="T260" s="5"/>
      <c r="U260" s="13"/>
      <c r="V260" s="13"/>
      <c r="W260" s="13"/>
      <c r="X260" s="13"/>
      <c r="Y260" s="14"/>
      <c r="Z260" s="14"/>
      <c r="AA260" s="14"/>
      <c r="AB260" s="13"/>
      <c r="AC260" s="13"/>
      <c r="AD260" s="13"/>
      <c r="AE260" s="13"/>
    </row>
    <row r="261" spans="1:50" ht="14.4" customHeight="1" x14ac:dyDescent="0.3">
      <c r="A261" s="151"/>
      <c r="B261" s="42"/>
      <c r="C261" s="3"/>
      <c r="D261" s="218"/>
      <c r="E261" s="108"/>
      <c r="F261" s="188"/>
      <c r="G261" s="3" t="s">
        <v>1298</v>
      </c>
      <c r="H261" s="3" t="s">
        <v>1298</v>
      </c>
      <c r="I261" s="3" t="s">
        <v>1298</v>
      </c>
      <c r="J261" s="3" t="s">
        <v>1298</v>
      </c>
      <c r="K261" s="3" t="s">
        <v>1298</v>
      </c>
      <c r="L261" s="3" t="s">
        <v>1298</v>
      </c>
      <c r="M261" s="3">
        <f t="shared" si="14"/>
        <v>1</v>
      </c>
      <c r="N261" s="5"/>
      <c r="O261" s="2"/>
      <c r="P261" s="2"/>
      <c r="Q261" s="151"/>
      <c r="R261" s="2"/>
      <c r="S261" s="6"/>
      <c r="T261" s="5"/>
      <c r="U261" s="13"/>
      <c r="V261" s="13"/>
      <c r="W261" s="13"/>
      <c r="X261" s="13"/>
      <c r="Y261" s="14"/>
      <c r="Z261" s="14"/>
      <c r="AA261" s="14"/>
      <c r="AB261" s="13"/>
      <c r="AC261" s="13"/>
      <c r="AD261" s="13"/>
      <c r="AE261" s="13"/>
    </row>
    <row r="262" spans="1:50" ht="14.4" customHeight="1" x14ac:dyDescent="0.3">
      <c r="A262" s="151"/>
      <c r="B262" s="42"/>
      <c r="C262" s="3"/>
      <c r="D262" s="218"/>
      <c r="E262" s="108"/>
      <c r="F262" s="188"/>
      <c r="G262" s="3" t="s">
        <v>1298</v>
      </c>
      <c r="H262" s="3" t="s">
        <v>1298</v>
      </c>
      <c r="I262" s="3" t="s">
        <v>1298</v>
      </c>
      <c r="J262" s="3" t="s">
        <v>1298</v>
      </c>
      <c r="K262" s="3" t="s">
        <v>1298</v>
      </c>
      <c r="L262" s="3" t="s">
        <v>1298</v>
      </c>
      <c r="M262" s="3">
        <f t="shared" si="14"/>
        <v>1</v>
      </c>
      <c r="N262" s="5"/>
      <c r="O262" s="2"/>
      <c r="P262" s="2"/>
      <c r="Q262" s="151"/>
      <c r="R262" s="2"/>
      <c r="S262" s="6"/>
      <c r="T262" s="5"/>
      <c r="U262" s="13"/>
      <c r="V262" s="13"/>
      <c r="W262" s="13"/>
      <c r="X262" s="13"/>
      <c r="Y262" s="14"/>
      <c r="Z262" s="14"/>
      <c r="AA262" s="14"/>
      <c r="AB262" s="13"/>
      <c r="AC262" s="13"/>
      <c r="AD262" s="13"/>
      <c r="AE262" s="13"/>
    </row>
    <row r="263" spans="1:50" ht="14.4" customHeight="1" x14ac:dyDescent="0.3">
      <c r="A263" s="151"/>
      <c r="B263" s="42"/>
      <c r="C263" s="3"/>
      <c r="D263" s="218"/>
      <c r="E263" s="108"/>
      <c r="F263" s="188"/>
      <c r="G263" s="3" t="s">
        <v>1298</v>
      </c>
      <c r="H263" s="3" t="s">
        <v>1298</v>
      </c>
      <c r="I263" s="3" t="s">
        <v>1298</v>
      </c>
      <c r="J263" s="3" t="s">
        <v>1298</v>
      </c>
      <c r="K263" s="3" t="s">
        <v>1298</v>
      </c>
      <c r="L263" s="3" t="s">
        <v>1298</v>
      </c>
      <c r="M263" s="3">
        <f t="shared" si="14"/>
        <v>1</v>
      </c>
      <c r="N263" s="5"/>
      <c r="O263" s="2"/>
      <c r="P263" s="2"/>
      <c r="Q263" s="151"/>
      <c r="R263" s="2"/>
      <c r="S263" s="6"/>
      <c r="T263" s="5"/>
      <c r="U263" s="13"/>
      <c r="V263" s="13"/>
      <c r="W263" s="13"/>
      <c r="X263" s="13"/>
      <c r="Y263" s="14"/>
      <c r="Z263" s="14"/>
      <c r="AA263" s="14"/>
      <c r="AB263" s="13"/>
      <c r="AC263" s="13"/>
      <c r="AD263" s="13"/>
      <c r="AE263" s="13"/>
    </row>
    <row r="264" spans="1:50" ht="14.4" customHeight="1" x14ac:dyDescent="0.3">
      <c r="A264" s="151"/>
      <c r="B264" s="42"/>
      <c r="C264" s="3"/>
      <c r="D264" s="218"/>
      <c r="E264" s="108"/>
      <c r="F264" s="188"/>
      <c r="G264" s="3" t="s">
        <v>1298</v>
      </c>
      <c r="H264" s="3" t="s">
        <v>1298</v>
      </c>
      <c r="I264" s="3" t="s">
        <v>1298</v>
      </c>
      <c r="J264" s="3" t="s">
        <v>1298</v>
      </c>
      <c r="K264" s="3" t="s">
        <v>1298</v>
      </c>
      <c r="L264" s="3" t="s">
        <v>1298</v>
      </c>
      <c r="M264" s="3">
        <f t="shared" si="14"/>
        <v>1</v>
      </c>
      <c r="N264" s="5"/>
      <c r="O264" s="2"/>
      <c r="P264" s="2"/>
      <c r="Q264" s="151"/>
      <c r="R264" s="2"/>
      <c r="S264" s="6"/>
      <c r="T264" s="5"/>
      <c r="U264" s="13"/>
      <c r="V264" s="13"/>
      <c r="W264" s="13"/>
      <c r="X264" s="13"/>
      <c r="Y264" s="14"/>
      <c r="Z264" s="14"/>
      <c r="AA264" s="14"/>
      <c r="AB264" s="13"/>
      <c r="AC264" s="13"/>
      <c r="AD264" s="13"/>
      <c r="AE264" s="13"/>
    </row>
    <row r="265" spans="1:50" s="11" customFormat="1" ht="14.4" customHeight="1" x14ac:dyDescent="0.3">
      <c r="A265" s="151"/>
      <c r="B265" s="42"/>
      <c r="C265" s="3"/>
      <c r="D265" s="218"/>
      <c r="E265" s="108"/>
      <c r="F265" s="188"/>
      <c r="G265" s="3" t="s">
        <v>1298</v>
      </c>
      <c r="H265" s="3" t="s">
        <v>1298</v>
      </c>
      <c r="I265" s="3" t="s">
        <v>1298</v>
      </c>
      <c r="J265" s="3" t="s">
        <v>1298</v>
      </c>
      <c r="K265" s="3" t="s">
        <v>1298</v>
      </c>
      <c r="L265" s="3" t="s">
        <v>1298</v>
      </c>
      <c r="M265" s="3">
        <f t="shared" si="14"/>
        <v>1</v>
      </c>
      <c r="N265" s="5"/>
      <c r="O265" s="2"/>
      <c r="P265" s="2"/>
      <c r="Q265" s="151"/>
      <c r="R265" s="2"/>
      <c r="S265" s="6"/>
      <c r="T265" s="5"/>
      <c r="U265" s="13"/>
      <c r="V265" s="13"/>
      <c r="W265" s="13"/>
      <c r="X265" s="13"/>
      <c r="Y265" s="14"/>
      <c r="Z265" s="14"/>
      <c r="AA265" s="14"/>
      <c r="AB265" s="13"/>
      <c r="AC265" s="13"/>
      <c r="AD265" s="13"/>
      <c r="AE265" s="13"/>
      <c r="AF265" s="1"/>
      <c r="AG265" s="1"/>
      <c r="AH265" s="1"/>
      <c r="AI265" s="1"/>
      <c r="AJ265" s="1"/>
      <c r="AK265" s="1"/>
      <c r="AL265" s="1"/>
      <c r="AM265" s="1"/>
      <c r="AN265" s="1"/>
      <c r="AO265" s="1"/>
      <c r="AP265" s="1"/>
      <c r="AQ265" s="1"/>
      <c r="AR265" s="1"/>
      <c r="AS265" s="1"/>
    </row>
    <row r="266" spans="1:50" ht="14.4" customHeight="1" x14ac:dyDescent="0.3">
      <c r="A266" s="151"/>
      <c r="B266" s="42"/>
      <c r="C266" s="3"/>
      <c r="D266" s="218"/>
      <c r="E266" s="108"/>
      <c r="F266" s="188"/>
      <c r="G266" s="3" t="s">
        <v>1298</v>
      </c>
      <c r="H266" s="3" t="s">
        <v>1298</v>
      </c>
      <c r="I266" s="3" t="s">
        <v>1298</v>
      </c>
      <c r="J266" s="3" t="s">
        <v>1298</v>
      </c>
      <c r="K266" s="3" t="s">
        <v>1298</v>
      </c>
      <c r="L266" s="3" t="s">
        <v>1298</v>
      </c>
      <c r="M266" s="3">
        <f t="shared" si="14"/>
        <v>1</v>
      </c>
      <c r="N266" s="5"/>
      <c r="O266" s="2"/>
      <c r="P266" s="2"/>
      <c r="Q266" s="151"/>
      <c r="R266" s="2"/>
      <c r="S266" s="6"/>
      <c r="T266" s="5"/>
      <c r="U266" s="13"/>
      <c r="V266" s="13"/>
      <c r="W266" s="13"/>
      <c r="X266" s="13"/>
      <c r="Y266" s="14"/>
      <c r="Z266" s="14"/>
      <c r="AA266" s="14"/>
      <c r="AB266" s="13"/>
      <c r="AC266" s="13"/>
      <c r="AD266" s="13"/>
      <c r="AE266" s="13"/>
    </row>
    <row r="267" spans="1:50" s="11" customFormat="1" ht="14.4" customHeight="1" x14ac:dyDescent="0.3">
      <c r="A267" s="151"/>
      <c r="B267" s="42"/>
      <c r="C267" s="3"/>
      <c r="D267" s="218"/>
      <c r="E267" s="108"/>
      <c r="F267" s="188"/>
      <c r="G267" s="3" t="s">
        <v>1298</v>
      </c>
      <c r="H267" s="3" t="s">
        <v>1298</v>
      </c>
      <c r="I267" s="3" t="s">
        <v>1298</v>
      </c>
      <c r="J267" s="3" t="s">
        <v>1298</v>
      </c>
      <c r="K267" s="3" t="s">
        <v>1298</v>
      </c>
      <c r="L267" s="3" t="s">
        <v>1298</v>
      </c>
      <c r="M267" s="3">
        <f t="shared" si="14"/>
        <v>1</v>
      </c>
      <c r="N267" s="4"/>
      <c r="O267" s="2"/>
      <c r="P267" s="2"/>
      <c r="Q267" s="151"/>
      <c r="R267" s="2"/>
      <c r="S267" s="6"/>
      <c r="T267" s="5"/>
      <c r="U267" s="13"/>
      <c r="V267" s="13"/>
      <c r="W267" s="13"/>
      <c r="X267" s="13"/>
      <c r="Y267" s="14"/>
      <c r="Z267" s="14"/>
      <c r="AA267" s="14"/>
      <c r="AB267" s="13"/>
      <c r="AC267" s="13"/>
      <c r="AD267" s="13"/>
      <c r="AE267" s="13"/>
      <c r="AF267" s="1"/>
      <c r="AG267" s="1"/>
      <c r="AH267" s="1"/>
      <c r="AI267" s="1"/>
      <c r="AJ267" s="1"/>
      <c r="AK267" s="1"/>
      <c r="AL267" s="1"/>
      <c r="AM267" s="1"/>
      <c r="AN267" s="1"/>
      <c r="AO267" s="1"/>
      <c r="AP267" s="1"/>
      <c r="AQ267" s="1"/>
      <c r="AR267" s="1"/>
      <c r="AS267" s="1"/>
      <c r="AT267" s="1"/>
      <c r="AU267" s="1"/>
      <c r="AV267" s="1"/>
      <c r="AW267" s="1"/>
      <c r="AX267" s="1"/>
    </row>
    <row r="268" spans="1:50" ht="14.4" customHeight="1" x14ac:dyDescent="0.3">
      <c r="A268" s="151"/>
      <c r="B268" s="42"/>
      <c r="C268" s="3"/>
      <c r="D268" s="218"/>
      <c r="E268" s="108"/>
      <c r="F268" s="188"/>
      <c r="G268" s="3" t="s">
        <v>1298</v>
      </c>
      <c r="H268" s="3" t="s">
        <v>1298</v>
      </c>
      <c r="I268" s="3" t="s">
        <v>1298</v>
      </c>
      <c r="J268" s="3" t="s">
        <v>1298</v>
      </c>
      <c r="K268" s="3" t="s">
        <v>1298</v>
      </c>
      <c r="L268" s="3" t="s">
        <v>1298</v>
      </c>
      <c r="M268" s="3">
        <f t="shared" si="14"/>
        <v>1</v>
      </c>
      <c r="N268" s="5"/>
      <c r="O268" s="2"/>
      <c r="P268" s="2"/>
      <c r="Q268" s="151"/>
      <c r="R268" s="2"/>
      <c r="S268" s="6"/>
      <c r="T268" s="5"/>
      <c r="U268" s="13"/>
      <c r="V268" s="13"/>
      <c r="W268" s="13"/>
      <c r="X268" s="13"/>
      <c r="Y268" s="14"/>
      <c r="Z268" s="14"/>
      <c r="AA268" s="14"/>
      <c r="AB268" s="13"/>
      <c r="AC268" s="13"/>
      <c r="AD268" s="13"/>
      <c r="AE268" s="13"/>
    </row>
    <row r="269" spans="1:50" ht="14.4" customHeight="1" x14ac:dyDescent="0.3">
      <c r="A269" s="151"/>
      <c r="B269" s="42"/>
      <c r="C269" s="3"/>
      <c r="D269" s="218"/>
      <c r="E269" s="108"/>
      <c r="F269" s="188"/>
      <c r="G269" s="3" t="s">
        <v>1298</v>
      </c>
      <c r="H269" s="3" t="s">
        <v>1298</v>
      </c>
      <c r="I269" s="3" t="s">
        <v>1298</v>
      </c>
      <c r="J269" s="3" t="s">
        <v>1298</v>
      </c>
      <c r="K269" s="3" t="s">
        <v>1298</v>
      </c>
      <c r="L269" s="3" t="s">
        <v>1298</v>
      </c>
      <c r="M269" s="3">
        <f t="shared" si="14"/>
        <v>1</v>
      </c>
      <c r="N269" s="5"/>
      <c r="O269" s="2"/>
      <c r="P269" s="2"/>
      <c r="Q269" s="151"/>
      <c r="R269" s="2"/>
      <c r="S269" s="6"/>
      <c r="T269" s="5"/>
      <c r="U269" s="13"/>
      <c r="V269" s="13"/>
      <c r="W269" s="13"/>
      <c r="X269" s="13"/>
      <c r="Y269" s="14"/>
      <c r="Z269" s="14"/>
      <c r="AA269" s="14"/>
      <c r="AB269" s="13"/>
      <c r="AC269" s="13"/>
      <c r="AD269" s="13"/>
      <c r="AE269" s="13"/>
    </row>
    <row r="270" spans="1:50" ht="14.4" customHeight="1" x14ac:dyDescent="0.3">
      <c r="A270" s="151"/>
      <c r="B270" s="42"/>
      <c r="C270" s="3"/>
      <c r="D270" s="218"/>
      <c r="E270" s="108"/>
      <c r="F270" s="188"/>
      <c r="G270" s="3" t="s">
        <v>1298</v>
      </c>
      <c r="H270" s="3" t="s">
        <v>1298</v>
      </c>
      <c r="I270" s="3" t="s">
        <v>1298</v>
      </c>
      <c r="J270" s="3" t="s">
        <v>1298</v>
      </c>
      <c r="K270" s="3" t="s">
        <v>1298</v>
      </c>
      <c r="L270" s="3" t="s">
        <v>1298</v>
      </c>
      <c r="M270" s="3">
        <f t="shared" si="14"/>
        <v>1</v>
      </c>
      <c r="N270" s="5"/>
      <c r="O270" s="2"/>
      <c r="P270" s="2"/>
      <c r="Q270" s="151"/>
      <c r="R270" s="2"/>
      <c r="S270" s="6"/>
      <c r="T270" s="5"/>
      <c r="U270" s="13"/>
      <c r="V270" s="13"/>
      <c r="W270" s="13"/>
      <c r="X270" s="13"/>
      <c r="Y270" s="14"/>
      <c r="Z270" s="14"/>
      <c r="AA270" s="14"/>
      <c r="AB270" s="13"/>
      <c r="AC270" s="13"/>
      <c r="AD270" s="13"/>
      <c r="AE270" s="13"/>
    </row>
    <row r="271" spans="1:50" ht="14.4" customHeight="1" x14ac:dyDescent="0.3">
      <c r="A271" s="154"/>
      <c r="B271" s="43"/>
      <c r="C271" s="22"/>
      <c r="D271" s="219"/>
      <c r="E271" s="109"/>
      <c r="F271" s="189"/>
      <c r="G271" s="22" t="s">
        <v>1298</v>
      </c>
      <c r="H271" s="22" t="s">
        <v>1298</v>
      </c>
      <c r="I271" s="22" t="s">
        <v>1298</v>
      </c>
      <c r="J271" s="22" t="s">
        <v>1298</v>
      </c>
      <c r="K271" s="22" t="s">
        <v>1298</v>
      </c>
      <c r="L271" s="22" t="s">
        <v>1298</v>
      </c>
      <c r="M271" s="22">
        <f t="shared" si="14"/>
        <v>1</v>
      </c>
      <c r="N271" s="23"/>
      <c r="O271" s="31"/>
      <c r="P271" s="31"/>
      <c r="Q271" s="200"/>
      <c r="R271" s="31"/>
      <c r="S271" s="24"/>
      <c r="T271" s="23"/>
      <c r="U271" s="54"/>
      <c r="V271" s="54"/>
      <c r="W271" s="54"/>
      <c r="X271" s="54"/>
      <c r="Y271" s="46"/>
      <c r="Z271" s="46"/>
      <c r="AA271" s="46"/>
      <c r="AB271" s="54"/>
      <c r="AC271" s="54"/>
      <c r="AD271" s="54"/>
      <c r="AE271" s="54"/>
    </row>
    <row r="272" spans="1:50" s="10" customFormat="1" ht="14.4" customHeight="1" x14ac:dyDescent="0.3">
      <c r="A272" s="151"/>
      <c r="B272" s="2"/>
      <c r="C272" s="90"/>
      <c r="D272" s="223"/>
      <c r="E272" s="111"/>
      <c r="F272" s="192"/>
      <c r="G272" s="90" t="s">
        <v>1298</v>
      </c>
      <c r="H272" s="90" t="s">
        <v>1298</v>
      </c>
      <c r="I272" s="90" t="s">
        <v>1298</v>
      </c>
      <c r="J272" s="90" t="s">
        <v>1298</v>
      </c>
      <c r="K272" s="90" t="s">
        <v>1298</v>
      </c>
      <c r="L272" s="90" t="s">
        <v>1298</v>
      </c>
      <c r="M272" s="90">
        <f t="shared" si="14"/>
        <v>1</v>
      </c>
      <c r="N272" s="5"/>
      <c r="O272" s="4"/>
      <c r="P272" s="4"/>
      <c r="Q272" s="198"/>
      <c r="R272" s="4"/>
      <c r="S272" s="6"/>
      <c r="T272" s="37"/>
      <c r="U272" s="13"/>
      <c r="V272" s="13"/>
      <c r="W272" s="13"/>
      <c r="X272" s="13"/>
      <c r="Y272" s="52"/>
      <c r="Z272" s="52"/>
      <c r="AA272" s="52"/>
      <c r="AB272" s="13"/>
      <c r="AC272" s="13"/>
      <c r="AD272" s="13"/>
      <c r="AE272" s="13"/>
    </row>
    <row r="273" spans="1:31" s="40" customFormat="1" ht="14.4" customHeight="1" x14ac:dyDescent="0.3">
      <c r="A273" s="159"/>
      <c r="B273" s="91"/>
      <c r="C273" s="92"/>
      <c r="D273" s="224"/>
      <c r="E273" s="112"/>
      <c r="F273" s="193"/>
      <c r="G273" s="92" t="s">
        <v>1298</v>
      </c>
      <c r="H273" s="92" t="s">
        <v>1298</v>
      </c>
      <c r="I273" s="92" t="s">
        <v>1298</v>
      </c>
      <c r="J273" s="92" t="s">
        <v>1298</v>
      </c>
      <c r="K273" s="92" t="s">
        <v>1298</v>
      </c>
      <c r="L273" s="92" t="s">
        <v>1298</v>
      </c>
      <c r="M273" s="92">
        <f t="shared" si="14"/>
        <v>1</v>
      </c>
      <c r="N273" s="35"/>
      <c r="O273" s="39"/>
      <c r="P273" s="39"/>
      <c r="Q273" s="201"/>
      <c r="R273" s="39"/>
      <c r="S273" s="36"/>
      <c r="T273" s="93"/>
      <c r="U273" s="56"/>
      <c r="V273" s="56"/>
      <c r="W273" s="56"/>
      <c r="X273" s="56"/>
      <c r="Y273" s="94"/>
      <c r="Z273" s="94"/>
      <c r="AA273" s="94"/>
      <c r="AB273" s="56"/>
      <c r="AC273" s="56"/>
      <c r="AD273" s="56"/>
      <c r="AE273" s="56"/>
    </row>
    <row r="274" spans="1:31" ht="14.4" customHeight="1" x14ac:dyDescent="0.3">
      <c r="A274" s="154"/>
      <c r="B274" s="43"/>
      <c r="C274" s="3"/>
      <c r="D274" s="219"/>
      <c r="E274" s="109"/>
      <c r="F274" s="189"/>
      <c r="G274" s="22" t="s">
        <v>1298</v>
      </c>
      <c r="H274" s="22" t="s">
        <v>1298</v>
      </c>
      <c r="I274" s="22" t="s">
        <v>1298</v>
      </c>
      <c r="J274" s="22" t="s">
        <v>1298</v>
      </c>
      <c r="K274" s="22" t="s">
        <v>1298</v>
      </c>
      <c r="L274" s="22" t="s">
        <v>1298</v>
      </c>
      <c r="M274" s="22">
        <f t="shared" si="14"/>
        <v>1</v>
      </c>
      <c r="N274" s="23"/>
      <c r="O274" s="21"/>
      <c r="P274" s="21"/>
      <c r="Q274" s="154"/>
      <c r="R274" s="21"/>
      <c r="S274" s="24"/>
      <c r="T274" s="23"/>
      <c r="U274" s="54"/>
      <c r="V274" s="54"/>
      <c r="W274" s="54"/>
      <c r="X274" s="54"/>
      <c r="Y274" s="46"/>
      <c r="Z274" s="46"/>
      <c r="AA274" s="46"/>
      <c r="AB274" s="54"/>
      <c r="AC274" s="54"/>
      <c r="AD274" s="54"/>
      <c r="AE274" s="54"/>
    </row>
    <row r="275" spans="1:31" ht="14.4" customHeight="1" x14ac:dyDescent="0.3">
      <c r="A275" s="160"/>
      <c r="C275" s="41"/>
      <c r="D275" s="225"/>
      <c r="E275" s="113"/>
      <c r="F275" s="194"/>
      <c r="G275" s="41" t="s">
        <v>1298</v>
      </c>
      <c r="H275" s="41" t="s">
        <v>1298</v>
      </c>
      <c r="I275" s="41" t="s">
        <v>1298</v>
      </c>
      <c r="J275" s="41" t="s">
        <v>1298</v>
      </c>
      <c r="K275" s="41" t="s">
        <v>1298</v>
      </c>
      <c r="L275" s="41" t="s">
        <v>1298</v>
      </c>
      <c r="M275" s="41">
        <f t="shared" si="14"/>
        <v>1</v>
      </c>
      <c r="N275" s="7"/>
      <c r="O275" s="10"/>
      <c r="P275" s="10"/>
      <c r="Q275" s="160"/>
      <c r="R275" s="10"/>
      <c r="S275" s="6"/>
      <c r="T275" s="29"/>
      <c r="U275" s="13"/>
      <c r="V275" s="13"/>
      <c r="W275" s="13"/>
      <c r="X275" s="13"/>
      <c r="Y275" s="47"/>
      <c r="Z275" s="47"/>
      <c r="AA275" s="47"/>
      <c r="AB275" s="13"/>
      <c r="AC275" s="13"/>
      <c r="AD275" s="13"/>
      <c r="AE275" s="13"/>
    </row>
    <row r="276" spans="1:31" ht="14.4" customHeight="1" x14ac:dyDescent="0.3">
      <c r="A276" s="158"/>
      <c r="B276" s="44"/>
      <c r="C276" s="3"/>
      <c r="D276" s="220"/>
      <c r="E276" s="107"/>
      <c r="F276" s="195"/>
      <c r="G276" s="27" t="s">
        <v>1298</v>
      </c>
      <c r="H276" s="27" t="s">
        <v>1298</v>
      </c>
      <c r="I276" s="27" t="s">
        <v>1298</v>
      </c>
      <c r="J276" s="27" t="s">
        <v>1298</v>
      </c>
      <c r="K276" s="27" t="s">
        <v>1298</v>
      </c>
      <c r="L276" s="27" t="s">
        <v>1298</v>
      </c>
      <c r="M276" s="27"/>
      <c r="N276" s="35"/>
      <c r="O276" s="34"/>
      <c r="P276" s="34"/>
      <c r="Q276" s="158"/>
      <c r="R276" s="34"/>
      <c r="S276" s="36"/>
      <c r="T276" s="35"/>
      <c r="U276" s="56"/>
      <c r="V276" s="56"/>
      <c r="W276" s="56"/>
      <c r="X276" s="56"/>
      <c r="Y276" s="51"/>
      <c r="Z276" s="51"/>
      <c r="AA276" s="51"/>
      <c r="AB276" s="56"/>
      <c r="AC276" s="56"/>
      <c r="AD276" s="56"/>
      <c r="AE276" s="56"/>
    </row>
    <row r="277" spans="1:31" ht="14.4" customHeight="1" x14ac:dyDescent="0.3">
      <c r="A277" s="151"/>
      <c r="B277" s="42"/>
      <c r="C277" s="3"/>
      <c r="D277" s="218"/>
      <c r="E277" s="108"/>
      <c r="F277" s="188"/>
      <c r="G277" s="3" t="s">
        <v>1298</v>
      </c>
      <c r="H277" s="3" t="s">
        <v>1298</v>
      </c>
      <c r="I277" s="3" t="s">
        <v>1298</v>
      </c>
      <c r="J277" s="3" t="s">
        <v>1298</v>
      </c>
      <c r="K277" s="3" t="s">
        <v>1298</v>
      </c>
      <c r="L277" s="3" t="s">
        <v>1298</v>
      </c>
      <c r="M277" s="3"/>
      <c r="N277" s="5"/>
      <c r="O277" s="2"/>
      <c r="P277" s="2"/>
      <c r="Q277" s="151"/>
      <c r="R277" s="2"/>
      <c r="S277" s="6"/>
      <c r="T277" s="5"/>
      <c r="U277" s="13"/>
      <c r="V277" s="13"/>
      <c r="W277" s="13"/>
      <c r="X277" s="13"/>
      <c r="Y277" s="14"/>
      <c r="Z277" s="14"/>
      <c r="AA277" s="14"/>
      <c r="AB277" s="13"/>
      <c r="AC277" s="13"/>
      <c r="AD277" s="13"/>
      <c r="AE277" s="13"/>
    </row>
    <row r="278" spans="1:31" ht="14.4" customHeight="1" x14ac:dyDescent="0.3">
      <c r="A278" s="151"/>
      <c r="B278" s="42"/>
      <c r="C278" s="3"/>
      <c r="D278" s="218"/>
      <c r="E278" s="108"/>
      <c r="F278" s="188"/>
      <c r="G278" s="3" t="s">
        <v>1298</v>
      </c>
      <c r="H278" s="3" t="s">
        <v>1298</v>
      </c>
      <c r="I278" s="3" t="s">
        <v>1298</v>
      </c>
      <c r="J278" s="3" t="s">
        <v>1298</v>
      </c>
      <c r="K278" s="3" t="s">
        <v>1298</v>
      </c>
      <c r="L278" s="3" t="s">
        <v>1298</v>
      </c>
      <c r="M278" s="3"/>
      <c r="N278" s="5"/>
      <c r="O278" s="2"/>
      <c r="P278" s="2"/>
      <c r="Q278" s="151"/>
      <c r="R278" s="2"/>
      <c r="S278" s="6"/>
      <c r="T278" s="5"/>
      <c r="U278" s="13"/>
      <c r="V278" s="13"/>
      <c r="W278" s="13"/>
      <c r="X278" s="13"/>
      <c r="Y278" s="14"/>
      <c r="Z278" s="14"/>
      <c r="AA278" s="14"/>
      <c r="AB278" s="13"/>
      <c r="AC278" s="13"/>
      <c r="AD278" s="13"/>
      <c r="AE278" s="13"/>
    </row>
    <row r="279" spans="1:31" ht="14.4" customHeight="1" x14ac:dyDescent="0.3">
      <c r="A279" s="151"/>
      <c r="B279" s="42"/>
      <c r="C279" s="3"/>
      <c r="D279" s="218"/>
      <c r="E279" s="108"/>
      <c r="F279" s="188"/>
      <c r="G279" s="3" t="s">
        <v>1298</v>
      </c>
      <c r="H279" s="3" t="s">
        <v>1298</v>
      </c>
      <c r="I279" s="3" t="s">
        <v>1298</v>
      </c>
      <c r="J279" s="3" t="s">
        <v>1298</v>
      </c>
      <c r="K279" s="3" t="s">
        <v>1298</v>
      </c>
      <c r="L279" s="3" t="s">
        <v>1298</v>
      </c>
      <c r="M279" s="3"/>
      <c r="N279" s="5"/>
      <c r="O279" s="2"/>
      <c r="P279" s="2"/>
      <c r="Q279" s="151"/>
      <c r="R279" s="2"/>
      <c r="S279" s="6"/>
      <c r="T279" s="5"/>
      <c r="U279" s="13"/>
      <c r="V279" s="13"/>
      <c r="W279" s="13"/>
      <c r="X279" s="13"/>
      <c r="Y279" s="14"/>
      <c r="Z279" s="14"/>
      <c r="AA279" s="14"/>
      <c r="AB279" s="13"/>
      <c r="AC279" s="13"/>
      <c r="AD279" s="13"/>
      <c r="AE279" s="13"/>
    </row>
    <row r="280" spans="1:31" ht="14.4" customHeight="1" x14ac:dyDescent="0.3">
      <c r="A280" s="151"/>
      <c r="B280" s="42"/>
      <c r="C280" s="3"/>
      <c r="D280" s="218"/>
      <c r="E280" s="108"/>
      <c r="F280" s="188"/>
      <c r="G280" s="3" t="s">
        <v>1298</v>
      </c>
      <c r="H280" s="3" t="s">
        <v>1298</v>
      </c>
      <c r="I280" s="3" t="s">
        <v>1298</v>
      </c>
      <c r="J280" s="3" t="s">
        <v>1298</v>
      </c>
      <c r="K280" s="3" t="s">
        <v>1298</v>
      </c>
      <c r="L280" s="3" t="s">
        <v>1298</v>
      </c>
      <c r="M280" s="3"/>
      <c r="N280" s="5"/>
      <c r="O280" s="2"/>
      <c r="P280" s="2"/>
      <c r="Q280" s="151"/>
      <c r="R280" s="2"/>
      <c r="S280" s="6"/>
      <c r="T280" s="5"/>
      <c r="U280" s="13"/>
      <c r="V280" s="13"/>
      <c r="W280" s="13"/>
      <c r="X280" s="13"/>
      <c r="Y280" s="14"/>
      <c r="Z280" s="14"/>
      <c r="AA280" s="14"/>
      <c r="AB280" s="13"/>
      <c r="AC280" s="13"/>
      <c r="AD280" s="13"/>
      <c r="AE280" s="13"/>
    </row>
    <row r="281" spans="1:31" ht="14.4" customHeight="1" x14ac:dyDescent="0.3">
      <c r="A281" s="152"/>
      <c r="B281" s="3"/>
      <c r="C281" s="3"/>
      <c r="D281" s="218"/>
      <c r="E281" s="108"/>
      <c r="F281" s="188"/>
      <c r="G281" s="3" t="s">
        <v>1298</v>
      </c>
      <c r="H281" s="3" t="s">
        <v>1298</v>
      </c>
      <c r="I281" s="3" t="s">
        <v>1298</v>
      </c>
      <c r="J281" s="3" t="s">
        <v>1298</v>
      </c>
      <c r="K281" s="3" t="s">
        <v>1298</v>
      </c>
      <c r="L281" s="3" t="s">
        <v>1298</v>
      </c>
      <c r="M281" s="3"/>
      <c r="N281" s="4"/>
      <c r="O281" s="4"/>
      <c r="P281" s="4"/>
      <c r="Q281" s="198"/>
      <c r="R281" s="4"/>
      <c r="S281" s="6"/>
      <c r="T281" s="5"/>
      <c r="U281" s="13"/>
      <c r="V281" s="13"/>
      <c r="W281" s="13"/>
      <c r="X281" s="13"/>
      <c r="Y281" s="14"/>
      <c r="Z281" s="14"/>
      <c r="AA281" s="14"/>
      <c r="AB281" s="13"/>
      <c r="AC281" s="13"/>
      <c r="AD281" s="13"/>
      <c r="AE281" s="13"/>
    </row>
    <row r="282" spans="1:31" ht="14.4" customHeight="1" x14ac:dyDescent="0.3">
      <c r="A282" s="151"/>
      <c r="B282" s="42"/>
      <c r="C282" s="3"/>
      <c r="D282" s="218"/>
      <c r="E282" s="108"/>
      <c r="F282" s="188"/>
      <c r="G282" s="3" t="s">
        <v>1298</v>
      </c>
      <c r="H282" s="3" t="s">
        <v>1298</v>
      </c>
      <c r="I282" s="3" t="s">
        <v>1298</v>
      </c>
      <c r="J282" s="3" t="s">
        <v>1298</v>
      </c>
      <c r="K282" s="3" t="s">
        <v>1298</v>
      </c>
      <c r="L282" s="3" t="s">
        <v>1298</v>
      </c>
      <c r="M282" s="3"/>
      <c r="N282" s="4"/>
      <c r="O282" s="4"/>
      <c r="P282" s="4"/>
      <c r="Q282" s="198"/>
      <c r="R282" s="4"/>
      <c r="S282" s="6"/>
      <c r="T282" s="5"/>
      <c r="U282" s="13"/>
      <c r="V282" s="13"/>
      <c r="W282" s="13"/>
      <c r="X282" s="13"/>
      <c r="Y282" s="14"/>
      <c r="Z282" s="14"/>
      <c r="AA282" s="14"/>
      <c r="AB282" s="13"/>
      <c r="AC282" s="13"/>
      <c r="AD282" s="13"/>
      <c r="AE282" s="13"/>
    </row>
    <row r="283" spans="1:31" ht="14.4" customHeight="1" x14ac:dyDescent="0.3">
      <c r="A283" s="151"/>
      <c r="B283" s="42"/>
      <c r="C283" s="3"/>
      <c r="D283" s="218"/>
      <c r="E283" s="108"/>
      <c r="F283" s="188"/>
      <c r="G283" s="3" t="s">
        <v>1298</v>
      </c>
      <c r="H283" s="3" t="s">
        <v>1298</v>
      </c>
      <c r="I283" s="3" t="s">
        <v>1298</v>
      </c>
      <c r="J283" s="3" t="s">
        <v>1298</v>
      </c>
      <c r="K283" s="3" t="s">
        <v>1298</v>
      </c>
      <c r="L283" s="3" t="s">
        <v>1298</v>
      </c>
      <c r="M283" s="3"/>
      <c r="N283" s="4"/>
      <c r="O283" s="4"/>
      <c r="P283" s="4"/>
      <c r="Q283" s="198"/>
      <c r="R283" s="4"/>
      <c r="S283" s="6"/>
      <c r="T283" s="5"/>
      <c r="U283" s="13"/>
      <c r="V283" s="13"/>
      <c r="W283" s="13"/>
      <c r="X283" s="13"/>
      <c r="Y283" s="14"/>
      <c r="Z283" s="14"/>
      <c r="AA283" s="14"/>
      <c r="AB283" s="13"/>
      <c r="AC283" s="13"/>
      <c r="AD283" s="13"/>
      <c r="AE283" s="13"/>
    </row>
    <row r="284" spans="1:31" ht="14.4" customHeight="1" x14ac:dyDescent="0.3">
      <c r="A284" s="151"/>
      <c r="B284" s="42"/>
      <c r="C284" s="3"/>
      <c r="D284" s="218"/>
      <c r="E284" s="108"/>
      <c r="F284" s="188"/>
      <c r="G284" s="3" t="s">
        <v>1298</v>
      </c>
      <c r="H284" s="3" t="s">
        <v>1298</v>
      </c>
      <c r="I284" s="3" t="s">
        <v>1298</v>
      </c>
      <c r="J284" s="3" t="s">
        <v>1298</v>
      </c>
      <c r="K284" s="3" t="s">
        <v>1298</v>
      </c>
      <c r="L284" s="3" t="s">
        <v>1298</v>
      </c>
      <c r="M284" s="3"/>
      <c r="N284" s="4"/>
      <c r="O284" s="4"/>
      <c r="P284" s="4"/>
      <c r="Q284" s="198"/>
      <c r="R284" s="4"/>
      <c r="S284" s="6"/>
      <c r="T284" s="5"/>
      <c r="U284" s="13"/>
      <c r="V284" s="13"/>
      <c r="W284" s="13"/>
      <c r="X284" s="13"/>
      <c r="Y284" s="14"/>
      <c r="Z284" s="14"/>
      <c r="AA284" s="14"/>
      <c r="AB284" s="13"/>
      <c r="AC284" s="13"/>
      <c r="AD284" s="13"/>
      <c r="AE284" s="13"/>
    </row>
    <row r="285" spans="1:31" ht="14.4" customHeight="1" x14ac:dyDescent="0.3">
      <c r="A285" s="151"/>
      <c r="B285" s="42"/>
      <c r="C285" s="3"/>
      <c r="D285" s="218"/>
      <c r="E285" s="108"/>
      <c r="F285" s="188"/>
      <c r="G285" s="3" t="s">
        <v>1298</v>
      </c>
      <c r="H285" s="3" t="s">
        <v>1298</v>
      </c>
      <c r="I285" s="3" t="s">
        <v>1298</v>
      </c>
      <c r="J285" s="3" t="s">
        <v>1298</v>
      </c>
      <c r="K285" s="3" t="s">
        <v>1298</v>
      </c>
      <c r="L285" s="3" t="s">
        <v>1298</v>
      </c>
      <c r="M285" s="3"/>
      <c r="N285" s="4"/>
      <c r="O285" s="4"/>
      <c r="P285" s="4"/>
      <c r="Q285" s="198"/>
      <c r="R285" s="4"/>
      <c r="S285" s="6"/>
      <c r="T285" s="5"/>
      <c r="U285" s="13"/>
      <c r="V285" s="13"/>
      <c r="W285" s="13"/>
      <c r="X285" s="13"/>
      <c r="Y285" s="14"/>
      <c r="Z285" s="14"/>
      <c r="AA285" s="14"/>
      <c r="AB285" s="13"/>
      <c r="AC285" s="13"/>
      <c r="AD285" s="13"/>
      <c r="AE285" s="13"/>
    </row>
    <row r="286" spans="1:31" ht="14.4" customHeight="1" x14ac:dyDescent="0.3">
      <c r="A286" s="151"/>
      <c r="B286" s="42"/>
      <c r="C286" s="3"/>
      <c r="D286" s="218"/>
      <c r="E286" s="108"/>
      <c r="F286" s="188"/>
      <c r="G286" s="3" t="s">
        <v>1298</v>
      </c>
      <c r="H286" s="3" t="s">
        <v>1298</v>
      </c>
      <c r="I286" s="3" t="s">
        <v>1298</v>
      </c>
      <c r="J286" s="3" t="s">
        <v>1298</v>
      </c>
      <c r="K286" s="3" t="s">
        <v>1298</v>
      </c>
      <c r="L286" s="3" t="s">
        <v>1298</v>
      </c>
      <c r="M286" s="3"/>
      <c r="N286" s="4"/>
      <c r="O286" s="4"/>
      <c r="P286" s="4"/>
      <c r="Q286" s="198"/>
      <c r="R286" s="4"/>
      <c r="S286" s="6"/>
      <c r="T286" s="5"/>
      <c r="U286" s="13"/>
      <c r="V286" s="13"/>
      <c r="W286" s="13"/>
      <c r="X286" s="13"/>
      <c r="Y286" s="14"/>
      <c r="Z286" s="14"/>
      <c r="AA286" s="14"/>
      <c r="AB286" s="13"/>
      <c r="AC286" s="13"/>
      <c r="AD286" s="13"/>
      <c r="AE286" s="13"/>
    </row>
    <row r="287" spans="1:31" ht="14.4" customHeight="1" x14ac:dyDescent="0.3">
      <c r="A287" s="151"/>
      <c r="B287" s="42"/>
      <c r="C287" s="3"/>
      <c r="D287" s="218"/>
      <c r="E287" s="108"/>
      <c r="F287" s="188"/>
      <c r="G287" s="3" t="s">
        <v>1298</v>
      </c>
      <c r="H287" s="3" t="s">
        <v>1298</v>
      </c>
      <c r="I287" s="3" t="s">
        <v>1298</v>
      </c>
      <c r="J287" s="3" t="s">
        <v>1298</v>
      </c>
      <c r="K287" s="3" t="s">
        <v>1298</v>
      </c>
      <c r="L287" s="3" t="s">
        <v>1298</v>
      </c>
      <c r="M287" s="3"/>
      <c r="N287" s="5"/>
      <c r="O287" s="4"/>
      <c r="P287" s="4"/>
      <c r="Q287" s="198"/>
      <c r="R287" s="4"/>
      <c r="S287" s="6"/>
      <c r="T287" s="5"/>
      <c r="U287" s="13"/>
      <c r="V287" s="13"/>
      <c r="W287" s="13"/>
      <c r="X287" s="13"/>
      <c r="Y287" s="14"/>
      <c r="Z287" s="14"/>
      <c r="AA287" s="14"/>
      <c r="AB287" s="13"/>
      <c r="AC287" s="13"/>
      <c r="AD287" s="13"/>
      <c r="AE287" s="13"/>
    </row>
    <row r="288" spans="1:31" ht="14.4" customHeight="1" x14ac:dyDescent="0.3">
      <c r="A288" s="151"/>
      <c r="B288" s="42"/>
      <c r="C288" s="3"/>
      <c r="D288" s="218"/>
      <c r="E288" s="108"/>
      <c r="F288" s="188"/>
      <c r="G288" s="3" t="s">
        <v>1298</v>
      </c>
      <c r="H288" s="3" t="s">
        <v>1298</v>
      </c>
      <c r="I288" s="3" t="s">
        <v>1298</v>
      </c>
      <c r="J288" s="3" t="s">
        <v>1298</v>
      </c>
      <c r="K288" s="3" t="s">
        <v>1298</v>
      </c>
      <c r="L288" s="3" t="s">
        <v>1298</v>
      </c>
      <c r="M288" s="3"/>
      <c r="N288" s="5"/>
      <c r="O288" s="2"/>
      <c r="P288" s="2"/>
      <c r="Q288" s="151"/>
      <c r="R288" s="2"/>
      <c r="S288" s="6"/>
      <c r="T288" s="5"/>
      <c r="U288" s="13"/>
      <c r="V288" s="13"/>
      <c r="W288" s="13"/>
      <c r="X288" s="13"/>
      <c r="Y288" s="14"/>
      <c r="Z288" s="14"/>
      <c r="AA288" s="14"/>
      <c r="AB288" s="13"/>
      <c r="AC288" s="13"/>
      <c r="AD288" s="13"/>
      <c r="AE288" s="13"/>
    </row>
    <row r="289" spans="1:31" ht="14.4" customHeight="1" x14ac:dyDescent="0.3">
      <c r="A289" s="151"/>
      <c r="B289" s="42"/>
      <c r="C289" s="3"/>
      <c r="D289" s="218"/>
      <c r="E289" s="108"/>
      <c r="F289" s="188"/>
      <c r="G289" s="3" t="s">
        <v>1298</v>
      </c>
      <c r="H289" s="3" t="s">
        <v>1298</v>
      </c>
      <c r="I289" s="3" t="s">
        <v>1298</v>
      </c>
      <c r="J289" s="3" t="s">
        <v>1298</v>
      </c>
      <c r="K289" s="3" t="s">
        <v>1298</v>
      </c>
      <c r="L289" s="3" t="s">
        <v>1298</v>
      </c>
      <c r="M289" s="3"/>
      <c r="N289" s="5"/>
      <c r="O289" s="2"/>
      <c r="P289" s="2"/>
      <c r="Q289" s="151"/>
      <c r="R289" s="2"/>
      <c r="S289" s="6"/>
      <c r="T289" s="5"/>
      <c r="U289" s="13"/>
      <c r="V289" s="13"/>
      <c r="W289" s="13"/>
      <c r="X289" s="13"/>
      <c r="Y289" s="14"/>
      <c r="Z289" s="14"/>
      <c r="AA289" s="14"/>
      <c r="AB289" s="13"/>
      <c r="AC289" s="13"/>
      <c r="AD289" s="13"/>
      <c r="AE289" s="13"/>
    </row>
    <row r="290" spans="1:31" ht="15" customHeight="1" thickBot="1" x14ac:dyDescent="0.35">
      <c r="A290" s="151"/>
      <c r="B290" s="42"/>
      <c r="C290" s="3"/>
      <c r="D290" s="218"/>
      <c r="E290" s="108"/>
      <c r="F290" s="188"/>
      <c r="G290" s="3" t="s">
        <v>1298</v>
      </c>
      <c r="H290" s="3" t="s">
        <v>1298</v>
      </c>
      <c r="I290" s="3" t="s">
        <v>1298</v>
      </c>
      <c r="J290" s="3" t="s">
        <v>1298</v>
      </c>
      <c r="K290" s="3" t="s">
        <v>1298</v>
      </c>
      <c r="L290" s="3" t="s">
        <v>1298</v>
      </c>
      <c r="M290" s="3"/>
      <c r="N290" s="5"/>
      <c r="O290" s="2"/>
      <c r="P290" s="2"/>
      <c r="Q290" s="151"/>
      <c r="R290" s="2"/>
      <c r="S290" s="6"/>
      <c r="T290" s="5"/>
      <c r="U290" s="13"/>
      <c r="V290" s="13"/>
      <c r="W290" s="13"/>
      <c r="X290" s="13"/>
      <c r="Y290" s="14"/>
      <c r="Z290" s="14"/>
      <c r="AA290" s="14"/>
      <c r="AB290" s="13"/>
      <c r="AC290" s="13"/>
      <c r="AD290" s="13"/>
      <c r="AE290" s="13"/>
    </row>
    <row r="291" spans="1:31" ht="14.4" customHeight="1" x14ac:dyDescent="0.3">
      <c r="A291" s="161"/>
      <c r="C291" s="64"/>
      <c r="D291" s="226"/>
      <c r="E291" s="114"/>
      <c r="F291" s="196"/>
      <c r="G291" s="64" t="s">
        <v>1298</v>
      </c>
      <c r="H291" s="64" t="s">
        <v>1298</v>
      </c>
      <c r="I291" s="64" t="s">
        <v>1298</v>
      </c>
      <c r="J291" s="64" t="s">
        <v>1298</v>
      </c>
      <c r="K291" s="64" t="s">
        <v>1298</v>
      </c>
      <c r="L291" s="64" t="s">
        <v>1298</v>
      </c>
      <c r="M291" s="64"/>
      <c r="N291" s="66"/>
      <c r="O291" s="66"/>
      <c r="P291" s="66"/>
      <c r="Q291" s="202"/>
      <c r="R291" s="66"/>
      <c r="S291" s="26"/>
      <c r="T291" s="32"/>
      <c r="U291" s="55"/>
      <c r="V291" s="55"/>
      <c r="W291" s="55"/>
      <c r="X291" s="55"/>
      <c r="Y291" s="49"/>
      <c r="Z291" s="49"/>
      <c r="AA291" s="49"/>
      <c r="AB291" s="55"/>
      <c r="AC291" s="55"/>
      <c r="AD291" s="55"/>
      <c r="AE291" s="55"/>
    </row>
    <row r="292" spans="1:31" s="10" customFormat="1" ht="14.4" customHeight="1" x14ac:dyDescent="0.3">
      <c r="A292" s="151"/>
      <c r="B292" s="2"/>
      <c r="C292" s="65"/>
      <c r="D292" s="227"/>
      <c r="E292" s="115"/>
      <c r="F292" s="197"/>
      <c r="G292" s="65" t="s">
        <v>1298</v>
      </c>
      <c r="H292" s="65" t="s">
        <v>1298</v>
      </c>
      <c r="I292" s="65" t="s">
        <v>1298</v>
      </c>
      <c r="J292" s="65" t="s">
        <v>1298</v>
      </c>
      <c r="K292" s="65" t="s">
        <v>1298</v>
      </c>
      <c r="L292" s="65" t="s">
        <v>1298</v>
      </c>
      <c r="M292" s="65"/>
      <c r="N292" s="67"/>
      <c r="O292" s="67"/>
      <c r="P292" s="67"/>
      <c r="Q292" s="203"/>
      <c r="R292" s="67"/>
      <c r="S292" s="6"/>
      <c r="T292" s="5"/>
      <c r="U292" s="13"/>
      <c r="V292" s="13"/>
      <c r="W292" s="13"/>
      <c r="X292" s="13"/>
      <c r="Y292" s="14"/>
      <c r="Z292" s="14"/>
      <c r="AA292" s="14"/>
      <c r="AB292" s="13"/>
      <c r="AC292" s="13"/>
      <c r="AD292" s="13"/>
      <c r="AE292" s="13"/>
    </row>
    <row r="293" spans="1:31" x14ac:dyDescent="0.3">
      <c r="G293" s="1" t="s">
        <v>1298</v>
      </c>
      <c r="H293" s="1" t="s">
        <v>1298</v>
      </c>
      <c r="I293" s="1" t="s">
        <v>1298</v>
      </c>
      <c r="J293" s="1" t="s">
        <v>1298</v>
      </c>
      <c r="K293" s="1" t="s">
        <v>1298</v>
      </c>
      <c r="L293" s="1" t="s">
        <v>1298</v>
      </c>
    </row>
    <row r="294" spans="1:31" x14ac:dyDescent="0.3">
      <c r="G294" s="1" t="s">
        <v>1298</v>
      </c>
      <c r="H294" s="1" t="s">
        <v>1298</v>
      </c>
      <c r="I294" s="1" t="s">
        <v>1298</v>
      </c>
      <c r="J294" s="1" t="s">
        <v>1298</v>
      </c>
      <c r="K294" s="1" t="s">
        <v>1298</v>
      </c>
      <c r="L294" s="1" t="s">
        <v>1298</v>
      </c>
    </row>
    <row r="295" spans="1:31" x14ac:dyDescent="0.3">
      <c r="G295" s="1" t="s">
        <v>1298</v>
      </c>
      <c r="H295" s="1" t="s">
        <v>1298</v>
      </c>
      <c r="I295" s="1" t="s">
        <v>1298</v>
      </c>
      <c r="J295" s="1" t="s">
        <v>1298</v>
      </c>
      <c r="K295" s="1" t="s">
        <v>1298</v>
      </c>
      <c r="L295" s="1" t="s">
        <v>1298</v>
      </c>
    </row>
    <row r="296" spans="1:31" x14ac:dyDescent="0.3">
      <c r="G296" s="1" t="s">
        <v>1298</v>
      </c>
      <c r="H296" s="1" t="s">
        <v>1298</v>
      </c>
      <c r="I296" s="1" t="s">
        <v>1298</v>
      </c>
      <c r="J296" s="1" t="s">
        <v>1298</v>
      </c>
      <c r="K296" s="1" t="s">
        <v>1298</v>
      </c>
      <c r="L296" s="1" t="s">
        <v>1298</v>
      </c>
    </row>
    <row r="297" spans="1:31" x14ac:dyDescent="0.3">
      <c r="G297" s="1" t="s">
        <v>1298</v>
      </c>
      <c r="H297" s="1" t="s">
        <v>1298</v>
      </c>
      <c r="I297" s="1" t="s">
        <v>1298</v>
      </c>
      <c r="J297" s="1" t="s">
        <v>1298</v>
      </c>
      <c r="K297" s="1" t="s">
        <v>1298</v>
      </c>
      <c r="L297" s="1" t="s">
        <v>1298</v>
      </c>
    </row>
    <row r="298" spans="1:31" x14ac:dyDescent="0.3">
      <c r="G298" s="1" t="s">
        <v>1298</v>
      </c>
      <c r="H298" s="1" t="s">
        <v>1298</v>
      </c>
      <c r="I298" s="1" t="s">
        <v>1298</v>
      </c>
      <c r="J298" s="1" t="s">
        <v>1298</v>
      </c>
      <c r="K298" s="1" t="s">
        <v>1298</v>
      </c>
      <c r="L298" s="1" t="s">
        <v>1298</v>
      </c>
    </row>
    <row r="299" spans="1:31" x14ac:dyDescent="0.3">
      <c r="G299" s="1" t="s">
        <v>1298</v>
      </c>
      <c r="H299" s="1" t="s">
        <v>1298</v>
      </c>
      <c r="I299" s="1" t="s">
        <v>1298</v>
      </c>
      <c r="J299" s="1" t="s">
        <v>1298</v>
      </c>
      <c r="K299" s="1" t="s">
        <v>1298</v>
      </c>
      <c r="L299" s="1" t="s">
        <v>1298</v>
      </c>
    </row>
    <row r="300" spans="1:31" x14ac:dyDescent="0.3">
      <c r="G300" s="1" t="s">
        <v>1298</v>
      </c>
      <c r="H300" s="1" t="s">
        <v>1298</v>
      </c>
      <c r="I300" s="1" t="s">
        <v>1298</v>
      </c>
      <c r="J300" s="1" t="s">
        <v>1298</v>
      </c>
      <c r="K300" s="1" t="s">
        <v>1298</v>
      </c>
      <c r="L300" s="1" t="s">
        <v>1298</v>
      </c>
    </row>
    <row r="301" spans="1:31" x14ac:dyDescent="0.3">
      <c r="G301" s="1" t="s">
        <v>1298</v>
      </c>
      <c r="H301" s="1" t="s">
        <v>1298</v>
      </c>
      <c r="I301" s="1" t="s">
        <v>1298</v>
      </c>
      <c r="J301" s="1" t="s">
        <v>1298</v>
      </c>
      <c r="K301" s="1" t="s">
        <v>1298</v>
      </c>
      <c r="L301" s="1" t="s">
        <v>1298</v>
      </c>
    </row>
    <row r="302" spans="1:31" x14ac:dyDescent="0.3">
      <c r="G302" s="1" t="s">
        <v>1298</v>
      </c>
      <c r="H302" s="1" t="s">
        <v>1298</v>
      </c>
      <c r="I302" s="1" t="s">
        <v>1298</v>
      </c>
      <c r="J302" s="1" t="s">
        <v>1298</v>
      </c>
      <c r="K302" s="1" t="s">
        <v>1298</v>
      </c>
      <c r="L302" s="1" t="s">
        <v>1298</v>
      </c>
    </row>
    <row r="303" spans="1:31" ht="14.4" customHeight="1" x14ac:dyDescent="0.3">
      <c r="G303" s="1" t="s">
        <v>1298</v>
      </c>
      <c r="H303" s="1" t="s">
        <v>1298</v>
      </c>
      <c r="I303" s="1" t="s">
        <v>1298</v>
      </c>
      <c r="J303" s="1" t="s">
        <v>1298</v>
      </c>
      <c r="K303" s="1" t="s">
        <v>1298</v>
      </c>
      <c r="L303" s="1" t="s">
        <v>1298</v>
      </c>
      <c r="N303" s="30"/>
    </row>
  </sheetData>
  <mergeCells count="2">
    <mergeCell ref="H1:J1"/>
    <mergeCell ref="K1:L1"/>
  </mergeCells>
  <pageMargins left="0.7" right="0.7" top="0.75" bottom="0.75" header="0.3" footer="0.3"/>
  <pageSetup scale="10" orientation="landscape" r:id="rId1"/>
  <rowBreaks count="5" manualBreakCount="5">
    <brk id="34" max="16383" man="1"/>
    <brk id="108" max="16383" man="1"/>
    <brk id="148" max="16383" man="1"/>
    <brk id="188" max="16383" man="1"/>
    <brk id="228"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
  <sheetViews>
    <sheetView topLeftCell="A11" workbookViewId="0">
      <selection activeCell="H28" sqref="H28:H36"/>
    </sheetView>
  </sheetViews>
  <sheetFormatPr defaultRowHeight="14.4"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
  <sheetViews>
    <sheetView zoomScale="161" workbookViewId="0"/>
  </sheetViews>
  <sheetFormatPr defaultRowHeight="14.4" x14ac:dyDescent="0.3"/>
  <cols>
    <col min="1" max="1" width="14.109375" bestFit="1" customWidth="1"/>
    <col min="2" max="2" width="16" bestFit="1" customWidth="1"/>
  </cols>
  <sheetData>
    <row r="1" spans="1:2" x14ac:dyDescent="0.3">
      <c r="A1" s="169" t="s">
        <v>1278</v>
      </c>
      <c r="B1" s="169" t="s">
        <v>1279</v>
      </c>
    </row>
    <row r="2" spans="1:2" x14ac:dyDescent="0.3">
      <c r="A2" t="s">
        <v>1293</v>
      </c>
      <c r="B2" t="s">
        <v>1280</v>
      </c>
    </row>
    <row r="3" spans="1:2" x14ac:dyDescent="0.3">
      <c r="A3" t="s">
        <v>383</v>
      </c>
      <c r="B3" t="s">
        <v>1281</v>
      </c>
    </row>
    <row r="4" spans="1:2" x14ac:dyDescent="0.3">
      <c r="A4" t="s">
        <v>382</v>
      </c>
      <c r="B4" t="s">
        <v>1282</v>
      </c>
    </row>
    <row r="5" spans="1:2" x14ac:dyDescent="0.3">
      <c r="A5" t="s">
        <v>373</v>
      </c>
      <c r="B5" t="s">
        <v>1283</v>
      </c>
    </row>
    <row r="6" spans="1:2" x14ac:dyDescent="0.3">
      <c r="A6" t="s">
        <v>380</v>
      </c>
      <c r="B6" t="s">
        <v>1284</v>
      </c>
    </row>
    <row r="7" spans="1:2" x14ac:dyDescent="0.3">
      <c r="A7" t="s">
        <v>372</v>
      </c>
      <c r="B7" t="s">
        <v>1285</v>
      </c>
    </row>
    <row r="8" spans="1:2" x14ac:dyDescent="0.3">
      <c r="A8" t="s">
        <v>374</v>
      </c>
      <c r="B8" t="s">
        <v>1286</v>
      </c>
    </row>
    <row r="9" spans="1:2" x14ac:dyDescent="0.3">
      <c r="A9" t="s">
        <v>375</v>
      </c>
      <c r="B9" t="s">
        <v>1287</v>
      </c>
    </row>
    <row r="10" spans="1:2" x14ac:dyDescent="0.3">
      <c r="A10" t="s">
        <v>376</v>
      </c>
      <c r="B10" t="s">
        <v>1288</v>
      </c>
    </row>
    <row r="11" spans="1:2" x14ac:dyDescent="0.3">
      <c r="A11" t="s">
        <v>377</v>
      </c>
      <c r="B11" t="s">
        <v>1289</v>
      </c>
    </row>
    <row r="12" spans="1:2" x14ac:dyDescent="0.3">
      <c r="A12" t="s">
        <v>378</v>
      </c>
      <c r="B12" t="s">
        <v>1290</v>
      </c>
    </row>
    <row r="13" spans="1:2" x14ac:dyDescent="0.3">
      <c r="A13" t="s">
        <v>379</v>
      </c>
      <c r="B13" t="s">
        <v>1291</v>
      </c>
    </row>
    <row r="14" spans="1:2" x14ac:dyDescent="0.3">
      <c r="A14" t="s">
        <v>381</v>
      </c>
      <c r="B14" t="s">
        <v>1277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89999084444715716"/>
  </sheetPr>
  <dimension ref="A1:I128"/>
  <sheetViews>
    <sheetView topLeftCell="A5" workbookViewId="0">
      <selection activeCell="C22" sqref="C22"/>
    </sheetView>
  </sheetViews>
  <sheetFormatPr defaultRowHeight="14.4" x14ac:dyDescent="0.3"/>
  <cols>
    <col min="1" max="1" width="8.88671875" style="70"/>
    <col min="2" max="2" width="11.44140625" style="70" bestFit="1" customWidth="1"/>
    <col min="3" max="3" width="70.109375" style="70" bestFit="1" customWidth="1"/>
    <col min="4" max="4" width="16.109375" style="70" bestFit="1" customWidth="1"/>
    <col min="5" max="5" width="60.77734375" style="70" bestFit="1" customWidth="1"/>
    <col min="6" max="6" width="77.88671875" style="70" bestFit="1" customWidth="1"/>
    <col min="7" max="7" width="12.6640625" style="70" bestFit="1" customWidth="1"/>
    <col min="8" max="8" width="31.21875" style="70" bestFit="1" customWidth="1"/>
    <col min="9" max="9" width="7.21875" style="70" bestFit="1" customWidth="1"/>
    <col min="10" max="16384" width="8.88671875" style="70"/>
  </cols>
  <sheetData>
    <row r="1" spans="1:9" s="68" customFormat="1" x14ac:dyDescent="0.3">
      <c r="A1" s="68" t="s">
        <v>388</v>
      </c>
      <c r="B1" s="68" t="s">
        <v>388</v>
      </c>
      <c r="C1" s="68" t="s">
        <v>389</v>
      </c>
      <c r="D1" s="68" t="s">
        <v>390</v>
      </c>
      <c r="E1" s="68" t="s">
        <v>391</v>
      </c>
      <c r="F1" s="68" t="s">
        <v>392</v>
      </c>
      <c r="G1" s="68" t="s">
        <v>393</v>
      </c>
      <c r="H1" s="68" t="s">
        <v>394</v>
      </c>
      <c r="I1" s="68" t="s">
        <v>395</v>
      </c>
    </row>
    <row r="2" spans="1:9" x14ac:dyDescent="0.3">
      <c r="A2" s="69">
        <v>1</v>
      </c>
      <c r="B2" s="69" t="s">
        <v>396</v>
      </c>
      <c r="C2" s="69" t="s">
        <v>397</v>
      </c>
      <c r="D2" s="69" t="s">
        <v>398</v>
      </c>
      <c r="E2" s="69" t="s">
        <v>399</v>
      </c>
      <c r="F2" s="69">
        <v>30</v>
      </c>
      <c r="G2" s="69" t="s">
        <v>400</v>
      </c>
      <c r="H2" s="69" t="s">
        <v>401</v>
      </c>
      <c r="I2" s="69">
        <v>100</v>
      </c>
    </row>
    <row r="3" spans="1:9" x14ac:dyDescent="0.3">
      <c r="A3" s="71">
        <v>2</v>
      </c>
      <c r="B3" s="71" t="s">
        <v>402</v>
      </c>
      <c r="C3" s="71" t="s">
        <v>403</v>
      </c>
      <c r="D3" s="71" t="s">
        <v>404</v>
      </c>
      <c r="E3" s="71" t="s">
        <v>399</v>
      </c>
      <c r="F3" s="71">
        <v>20</v>
      </c>
      <c r="G3" s="71" t="s">
        <v>405</v>
      </c>
      <c r="H3" s="71" t="s">
        <v>401</v>
      </c>
      <c r="I3" s="71">
        <v>80</v>
      </c>
    </row>
    <row r="4" spans="1:9" x14ac:dyDescent="0.3">
      <c r="A4" s="71">
        <v>2</v>
      </c>
      <c r="B4" s="71" t="s">
        <v>402</v>
      </c>
      <c r="C4" s="71" t="s">
        <v>406</v>
      </c>
      <c r="D4" s="71" t="s">
        <v>407</v>
      </c>
      <c r="E4" s="71" t="s">
        <v>399</v>
      </c>
      <c r="F4" s="71">
        <v>20</v>
      </c>
      <c r="G4" s="71" t="s">
        <v>405</v>
      </c>
      <c r="H4" s="71" t="s">
        <v>401</v>
      </c>
      <c r="I4" s="71">
        <v>80</v>
      </c>
    </row>
    <row r="5" spans="1:9" x14ac:dyDescent="0.3">
      <c r="A5" s="71">
        <v>2</v>
      </c>
      <c r="B5" s="71" t="s">
        <v>402</v>
      </c>
      <c r="C5" s="71" t="s">
        <v>408</v>
      </c>
      <c r="D5" s="71" t="s">
        <v>409</v>
      </c>
      <c r="E5" s="71" t="s">
        <v>399</v>
      </c>
      <c r="F5" s="71">
        <v>15</v>
      </c>
      <c r="G5" s="71" t="s">
        <v>405</v>
      </c>
      <c r="H5" s="71" t="s">
        <v>401</v>
      </c>
      <c r="I5" s="71">
        <v>80</v>
      </c>
    </row>
    <row r="6" spans="1:9" x14ac:dyDescent="0.3">
      <c r="A6" s="71">
        <v>2</v>
      </c>
      <c r="B6" s="71" t="s">
        <v>402</v>
      </c>
      <c r="C6" s="71" t="s">
        <v>410</v>
      </c>
      <c r="D6" s="71" t="s">
        <v>411</v>
      </c>
      <c r="E6" s="71" t="s">
        <v>412</v>
      </c>
      <c r="F6" s="71" t="s">
        <v>413</v>
      </c>
      <c r="G6" s="71" t="s">
        <v>414</v>
      </c>
      <c r="H6" s="71" t="s">
        <v>401</v>
      </c>
      <c r="I6" s="71" t="s">
        <v>415</v>
      </c>
    </row>
    <row r="7" spans="1:9" x14ac:dyDescent="0.3">
      <c r="A7" s="72">
        <v>2</v>
      </c>
      <c r="B7" s="72" t="s">
        <v>402</v>
      </c>
      <c r="C7" s="72" t="s">
        <v>416</v>
      </c>
      <c r="D7" s="72" t="s">
        <v>417</v>
      </c>
      <c r="E7" s="72" t="s">
        <v>399</v>
      </c>
      <c r="F7" s="72">
        <v>20</v>
      </c>
      <c r="G7" s="72" t="s">
        <v>405</v>
      </c>
      <c r="H7" s="72" t="s">
        <v>401</v>
      </c>
      <c r="I7" s="72">
        <v>80</v>
      </c>
    </row>
    <row r="8" spans="1:9" x14ac:dyDescent="0.3">
      <c r="A8" s="72">
        <v>2</v>
      </c>
      <c r="B8" s="72" t="s">
        <v>402</v>
      </c>
      <c r="C8" s="72" t="s">
        <v>418</v>
      </c>
      <c r="D8" s="72" t="s">
        <v>419</v>
      </c>
      <c r="E8" s="72" t="s">
        <v>420</v>
      </c>
      <c r="F8" s="72" t="s">
        <v>421</v>
      </c>
      <c r="G8" s="72" t="s">
        <v>405</v>
      </c>
      <c r="H8" s="72" t="s">
        <v>401</v>
      </c>
      <c r="I8" s="72" t="s">
        <v>415</v>
      </c>
    </row>
    <row r="9" spans="1:9" x14ac:dyDescent="0.3">
      <c r="A9" s="72">
        <v>2</v>
      </c>
      <c r="B9" s="72" t="s">
        <v>402</v>
      </c>
      <c r="C9" s="72" t="s">
        <v>422</v>
      </c>
      <c r="D9" s="72" t="s">
        <v>423</v>
      </c>
      <c r="E9" s="72" t="s">
        <v>420</v>
      </c>
      <c r="F9" s="72" t="s">
        <v>424</v>
      </c>
      <c r="G9" s="72" t="s">
        <v>425</v>
      </c>
      <c r="H9" s="72" t="s">
        <v>426</v>
      </c>
      <c r="I9" s="72" t="s">
        <v>415</v>
      </c>
    </row>
    <row r="10" spans="1:9" x14ac:dyDescent="0.3">
      <c r="A10" s="73">
        <v>3</v>
      </c>
      <c r="B10" s="73" t="s">
        <v>427</v>
      </c>
      <c r="C10" s="73" t="s">
        <v>428</v>
      </c>
      <c r="D10" s="73" t="s">
        <v>429</v>
      </c>
      <c r="E10" s="73" t="s">
        <v>399</v>
      </c>
      <c r="F10" s="73">
        <v>15</v>
      </c>
      <c r="G10" s="73" t="s">
        <v>430</v>
      </c>
      <c r="H10" s="73" t="s">
        <v>401</v>
      </c>
      <c r="I10" s="73" t="s">
        <v>415</v>
      </c>
    </row>
    <row r="11" spans="1:9" x14ac:dyDescent="0.3">
      <c r="A11" s="73">
        <v>3</v>
      </c>
      <c r="B11" s="73" t="s">
        <v>427</v>
      </c>
      <c r="C11" s="73" t="s">
        <v>431</v>
      </c>
      <c r="D11" s="73" t="s">
        <v>432</v>
      </c>
      <c r="E11" s="73" t="s">
        <v>399</v>
      </c>
      <c r="F11" s="73">
        <v>15</v>
      </c>
      <c r="G11" s="73" t="s">
        <v>430</v>
      </c>
      <c r="H11" s="73" t="s">
        <v>401</v>
      </c>
      <c r="I11" s="73" t="s">
        <v>415</v>
      </c>
    </row>
    <row r="12" spans="1:9" x14ac:dyDescent="0.3">
      <c r="A12" s="73">
        <v>3</v>
      </c>
      <c r="B12" s="73" t="s">
        <v>427</v>
      </c>
      <c r="C12" s="73" t="s">
        <v>433</v>
      </c>
      <c r="D12" s="73" t="s">
        <v>434</v>
      </c>
      <c r="E12" s="73" t="s">
        <v>399</v>
      </c>
      <c r="F12" s="73">
        <v>15</v>
      </c>
      <c r="G12" s="73" t="s">
        <v>430</v>
      </c>
      <c r="H12" s="73" t="s">
        <v>401</v>
      </c>
      <c r="I12" s="73" t="s">
        <v>415</v>
      </c>
    </row>
    <row r="13" spans="1:9" x14ac:dyDescent="0.3">
      <c r="A13" s="73">
        <v>3</v>
      </c>
      <c r="B13" s="73" t="s">
        <v>427</v>
      </c>
      <c r="C13" s="73" t="s">
        <v>435</v>
      </c>
      <c r="D13" s="73" t="s">
        <v>436</v>
      </c>
      <c r="E13" s="73" t="s">
        <v>399</v>
      </c>
      <c r="F13" s="73">
        <v>15</v>
      </c>
      <c r="G13" s="73" t="s">
        <v>430</v>
      </c>
      <c r="H13" s="73" t="s">
        <v>401</v>
      </c>
      <c r="I13" s="73" t="s">
        <v>415</v>
      </c>
    </row>
    <row r="14" spans="1:9" x14ac:dyDescent="0.3">
      <c r="A14" s="73">
        <v>3</v>
      </c>
      <c r="B14" s="73" t="s">
        <v>427</v>
      </c>
      <c r="C14" s="73" t="s">
        <v>437</v>
      </c>
      <c r="D14" s="73" t="s">
        <v>438</v>
      </c>
      <c r="E14" s="73" t="s">
        <v>399</v>
      </c>
      <c r="F14" s="73">
        <v>15</v>
      </c>
      <c r="G14" s="73" t="s">
        <v>430</v>
      </c>
      <c r="H14" s="73" t="s">
        <v>401</v>
      </c>
      <c r="I14" s="73" t="s">
        <v>415</v>
      </c>
    </row>
    <row r="15" spans="1:9" x14ac:dyDescent="0.3">
      <c r="A15" s="73">
        <v>3</v>
      </c>
      <c r="B15" s="73" t="s">
        <v>427</v>
      </c>
      <c r="C15" s="73" t="s">
        <v>439</v>
      </c>
      <c r="D15" s="73" t="s">
        <v>440</v>
      </c>
      <c r="E15" s="73" t="s">
        <v>399</v>
      </c>
      <c r="F15" s="73">
        <v>15</v>
      </c>
      <c r="G15" s="73" t="s">
        <v>430</v>
      </c>
      <c r="H15" s="73" t="s">
        <v>401</v>
      </c>
      <c r="I15" s="73" t="s">
        <v>415</v>
      </c>
    </row>
    <row r="16" spans="1:9" x14ac:dyDescent="0.3">
      <c r="A16" s="73">
        <v>3</v>
      </c>
      <c r="B16" s="73" t="s">
        <v>427</v>
      </c>
      <c r="C16" s="73" t="s">
        <v>441</v>
      </c>
      <c r="D16" s="73" t="s">
        <v>442</v>
      </c>
      <c r="E16" s="73" t="s">
        <v>399</v>
      </c>
      <c r="F16" s="73">
        <v>15</v>
      </c>
      <c r="G16" s="73" t="s">
        <v>430</v>
      </c>
      <c r="H16" s="73" t="s">
        <v>401</v>
      </c>
      <c r="I16" s="73" t="s">
        <v>415</v>
      </c>
    </row>
    <row r="17" spans="1:9" x14ac:dyDescent="0.3">
      <c r="A17" s="73">
        <v>3</v>
      </c>
      <c r="B17" s="73" t="s">
        <v>427</v>
      </c>
      <c r="C17" s="73" t="s">
        <v>443</v>
      </c>
      <c r="D17" s="73" t="s">
        <v>444</v>
      </c>
      <c r="E17" s="73" t="s">
        <v>399</v>
      </c>
      <c r="F17" s="73">
        <v>15</v>
      </c>
      <c r="G17" s="73" t="s">
        <v>430</v>
      </c>
      <c r="H17" s="73" t="s">
        <v>401</v>
      </c>
      <c r="I17" s="73" t="s">
        <v>415</v>
      </c>
    </row>
    <row r="18" spans="1:9" x14ac:dyDescent="0.3">
      <c r="A18" s="73">
        <v>3</v>
      </c>
      <c r="B18" s="73" t="s">
        <v>427</v>
      </c>
      <c r="C18" s="73" t="s">
        <v>445</v>
      </c>
      <c r="D18" s="73" t="s">
        <v>446</v>
      </c>
      <c r="E18" s="73" t="s">
        <v>399</v>
      </c>
      <c r="F18" s="73">
        <v>15</v>
      </c>
      <c r="G18" s="73" t="s">
        <v>430</v>
      </c>
      <c r="H18" s="73" t="s">
        <v>401</v>
      </c>
      <c r="I18" s="73" t="s">
        <v>415</v>
      </c>
    </row>
    <row r="19" spans="1:9" x14ac:dyDescent="0.3">
      <c r="A19" s="73">
        <v>3</v>
      </c>
      <c r="B19" s="73" t="s">
        <v>427</v>
      </c>
      <c r="C19" s="73" t="s">
        <v>447</v>
      </c>
      <c r="D19" s="73" t="s">
        <v>448</v>
      </c>
      <c r="E19" s="73" t="s">
        <v>399</v>
      </c>
      <c r="F19" s="73">
        <v>15</v>
      </c>
      <c r="G19" s="73" t="s">
        <v>430</v>
      </c>
      <c r="H19" s="73" t="s">
        <v>401</v>
      </c>
      <c r="I19" s="73" t="s">
        <v>415</v>
      </c>
    </row>
    <row r="20" spans="1:9" x14ac:dyDescent="0.3">
      <c r="A20" s="73">
        <v>3</v>
      </c>
      <c r="B20" s="73" t="s">
        <v>427</v>
      </c>
      <c r="C20" s="73" t="s">
        <v>449</v>
      </c>
      <c r="D20" s="73" t="s">
        <v>450</v>
      </c>
      <c r="E20" s="73" t="s">
        <v>399</v>
      </c>
      <c r="F20" s="73">
        <v>15</v>
      </c>
      <c r="G20" s="73" t="s">
        <v>430</v>
      </c>
      <c r="H20" s="73" t="s">
        <v>401</v>
      </c>
      <c r="I20" s="73" t="s">
        <v>415</v>
      </c>
    </row>
    <row r="21" spans="1:9" x14ac:dyDescent="0.3">
      <c r="A21" s="73">
        <v>3</v>
      </c>
      <c r="B21" s="73" t="s">
        <v>427</v>
      </c>
      <c r="C21" s="73" t="s">
        <v>451</v>
      </c>
      <c r="D21" s="73" t="s">
        <v>452</v>
      </c>
      <c r="E21" s="73" t="s">
        <v>399</v>
      </c>
      <c r="F21" s="73">
        <v>15</v>
      </c>
      <c r="G21" s="73" t="s">
        <v>430</v>
      </c>
      <c r="H21" s="73" t="s">
        <v>426</v>
      </c>
      <c r="I21" s="73">
        <v>50</v>
      </c>
    </row>
    <row r="22" spans="1:9" x14ac:dyDescent="0.3">
      <c r="A22" s="73">
        <v>3</v>
      </c>
      <c r="B22" s="73" t="s">
        <v>427</v>
      </c>
      <c r="C22" s="73" t="s">
        <v>453</v>
      </c>
      <c r="D22" s="73" t="s">
        <v>419</v>
      </c>
      <c r="E22" s="73" t="s">
        <v>420</v>
      </c>
      <c r="F22" s="73" t="s">
        <v>454</v>
      </c>
      <c r="G22" s="73" t="s">
        <v>430</v>
      </c>
      <c r="H22" s="73" t="s">
        <v>426</v>
      </c>
      <c r="I22" s="73" t="s">
        <v>415</v>
      </c>
    </row>
    <row r="23" spans="1:9" x14ac:dyDescent="0.3">
      <c r="A23" s="73">
        <v>3</v>
      </c>
      <c r="B23" s="73" t="s">
        <v>427</v>
      </c>
      <c r="C23" s="73" t="s">
        <v>455</v>
      </c>
      <c r="D23" s="73" t="s">
        <v>456</v>
      </c>
      <c r="E23" s="73" t="s">
        <v>420</v>
      </c>
      <c r="F23" s="73" t="s">
        <v>413</v>
      </c>
      <c r="G23" s="73" t="s">
        <v>430</v>
      </c>
      <c r="H23" s="73" t="s">
        <v>401</v>
      </c>
      <c r="I23" s="73" t="s">
        <v>415</v>
      </c>
    </row>
    <row r="24" spans="1:9" x14ac:dyDescent="0.3">
      <c r="A24" s="73">
        <v>3</v>
      </c>
      <c r="B24" s="73" t="s">
        <v>427</v>
      </c>
      <c r="C24" s="73" t="s">
        <v>457</v>
      </c>
      <c r="D24" s="73" t="s">
        <v>458</v>
      </c>
      <c r="E24" s="73" t="s">
        <v>420</v>
      </c>
      <c r="F24" s="73" t="s">
        <v>459</v>
      </c>
      <c r="G24" s="73" t="s">
        <v>460</v>
      </c>
      <c r="H24" s="73" t="s">
        <v>426</v>
      </c>
      <c r="I24" s="73" t="s">
        <v>415</v>
      </c>
    </row>
    <row r="25" spans="1:9" x14ac:dyDescent="0.3">
      <c r="A25" s="73">
        <v>3</v>
      </c>
      <c r="B25" s="73" t="s">
        <v>427</v>
      </c>
      <c r="C25" s="73" t="s">
        <v>461</v>
      </c>
      <c r="D25" s="73" t="s">
        <v>462</v>
      </c>
      <c r="E25" s="73" t="s">
        <v>420</v>
      </c>
      <c r="F25" s="73" t="s">
        <v>463</v>
      </c>
      <c r="G25" s="73" t="s">
        <v>430</v>
      </c>
      <c r="H25" s="73" t="s">
        <v>426</v>
      </c>
      <c r="I25" s="73" t="s">
        <v>415</v>
      </c>
    </row>
    <row r="26" spans="1:9" x14ac:dyDescent="0.3">
      <c r="A26" s="73">
        <v>3</v>
      </c>
      <c r="B26" s="73" t="s">
        <v>427</v>
      </c>
      <c r="C26" s="73" t="s">
        <v>464</v>
      </c>
      <c r="D26" s="73" t="s">
        <v>465</v>
      </c>
      <c r="E26" s="73" t="s">
        <v>420</v>
      </c>
      <c r="F26" s="73" t="s">
        <v>424</v>
      </c>
      <c r="G26" s="73" t="s">
        <v>460</v>
      </c>
      <c r="H26" s="73" t="s">
        <v>426</v>
      </c>
      <c r="I26" s="73" t="s">
        <v>415</v>
      </c>
    </row>
    <row r="27" spans="1:9" x14ac:dyDescent="0.3">
      <c r="A27" s="73">
        <v>3</v>
      </c>
      <c r="B27" s="73" t="s">
        <v>427</v>
      </c>
      <c r="C27" s="73" t="s">
        <v>466</v>
      </c>
      <c r="D27" s="73" t="s">
        <v>467</v>
      </c>
      <c r="E27" s="73" t="s">
        <v>420</v>
      </c>
      <c r="F27" s="73" t="s">
        <v>413</v>
      </c>
      <c r="G27" s="73" t="s">
        <v>460</v>
      </c>
      <c r="H27" s="73" t="s">
        <v>426</v>
      </c>
      <c r="I27" s="73" t="s">
        <v>415</v>
      </c>
    </row>
    <row r="28" spans="1:9" x14ac:dyDescent="0.3">
      <c r="A28" s="73">
        <v>3</v>
      </c>
      <c r="B28" s="73" t="s">
        <v>427</v>
      </c>
      <c r="C28" s="73" t="s">
        <v>468</v>
      </c>
      <c r="D28" s="73" t="s">
        <v>469</v>
      </c>
      <c r="E28" s="73" t="s">
        <v>420</v>
      </c>
      <c r="F28" s="73" t="s">
        <v>470</v>
      </c>
      <c r="G28" s="73" t="s">
        <v>430</v>
      </c>
      <c r="H28" s="73" t="s">
        <v>426</v>
      </c>
      <c r="I28" s="73" t="s">
        <v>415</v>
      </c>
    </row>
    <row r="29" spans="1:9" x14ac:dyDescent="0.3">
      <c r="A29" s="73">
        <v>3</v>
      </c>
      <c r="B29" s="73" t="s">
        <v>427</v>
      </c>
      <c r="C29" s="73" t="s">
        <v>471</v>
      </c>
      <c r="D29" s="73" t="s">
        <v>472</v>
      </c>
      <c r="E29" s="73" t="s">
        <v>420</v>
      </c>
      <c r="F29" s="73" t="s">
        <v>413</v>
      </c>
      <c r="G29" s="73" t="s">
        <v>460</v>
      </c>
      <c r="H29" s="73" t="s">
        <v>426</v>
      </c>
      <c r="I29" s="73" t="s">
        <v>415</v>
      </c>
    </row>
    <row r="30" spans="1:9" x14ac:dyDescent="0.3">
      <c r="A30" s="73">
        <v>3</v>
      </c>
      <c r="B30" s="73" t="s">
        <v>427</v>
      </c>
      <c r="C30" s="73" t="s">
        <v>473</v>
      </c>
      <c r="D30" s="73" t="s">
        <v>423</v>
      </c>
      <c r="E30" s="73" t="s">
        <v>420</v>
      </c>
      <c r="F30" s="73" t="s">
        <v>424</v>
      </c>
      <c r="G30" s="73" t="s">
        <v>430</v>
      </c>
      <c r="H30" s="73" t="s">
        <v>426</v>
      </c>
      <c r="I30" s="73" t="s">
        <v>415</v>
      </c>
    </row>
    <row r="31" spans="1:9" x14ac:dyDescent="0.3">
      <c r="A31" s="74">
        <v>4</v>
      </c>
      <c r="B31" s="74" t="s">
        <v>474</v>
      </c>
      <c r="C31" s="74" t="s">
        <v>475</v>
      </c>
      <c r="D31" s="74" t="s">
        <v>476</v>
      </c>
      <c r="E31" s="74" t="s">
        <v>399</v>
      </c>
      <c r="F31" s="74">
        <v>5</v>
      </c>
      <c r="G31" s="74" t="s">
        <v>477</v>
      </c>
      <c r="H31" s="74" t="s">
        <v>426</v>
      </c>
      <c r="I31" s="74" t="s">
        <v>415</v>
      </c>
    </row>
    <row r="32" spans="1:9" x14ac:dyDescent="0.3">
      <c r="A32" s="74">
        <v>4</v>
      </c>
      <c r="B32" s="74" t="s">
        <v>474</v>
      </c>
      <c r="C32" s="74" t="s">
        <v>478</v>
      </c>
      <c r="D32" s="74" t="s">
        <v>479</v>
      </c>
      <c r="E32" s="74" t="s">
        <v>399</v>
      </c>
      <c r="F32" s="74">
        <v>5</v>
      </c>
      <c r="G32" s="74" t="s">
        <v>477</v>
      </c>
      <c r="H32" s="74" t="s">
        <v>426</v>
      </c>
      <c r="I32" s="74" t="s">
        <v>415</v>
      </c>
    </row>
    <row r="33" spans="1:9" x14ac:dyDescent="0.3">
      <c r="A33" s="74">
        <v>4</v>
      </c>
      <c r="B33" s="74" t="s">
        <v>474</v>
      </c>
      <c r="C33" s="74" t="s">
        <v>480</v>
      </c>
      <c r="D33" s="74" t="s">
        <v>419</v>
      </c>
      <c r="E33" s="74" t="s">
        <v>420</v>
      </c>
      <c r="F33" s="74" t="s">
        <v>454</v>
      </c>
      <c r="G33" s="74" t="s">
        <v>477</v>
      </c>
      <c r="H33" s="74" t="s">
        <v>426</v>
      </c>
      <c r="I33" s="74" t="s">
        <v>415</v>
      </c>
    </row>
    <row r="34" spans="1:9" x14ac:dyDescent="0.3">
      <c r="A34" s="74">
        <v>4</v>
      </c>
      <c r="B34" s="74" t="s">
        <v>474</v>
      </c>
      <c r="C34" s="74" t="s">
        <v>481</v>
      </c>
      <c r="D34" s="74" t="s">
        <v>456</v>
      </c>
      <c r="E34" s="74" t="s">
        <v>420</v>
      </c>
      <c r="F34" s="74" t="s">
        <v>413</v>
      </c>
      <c r="G34" s="74" t="s">
        <v>477</v>
      </c>
      <c r="H34" s="74" t="s">
        <v>401</v>
      </c>
      <c r="I34" s="74" t="s">
        <v>415</v>
      </c>
    </row>
    <row r="35" spans="1:9" x14ac:dyDescent="0.3">
      <c r="A35" s="74">
        <v>4</v>
      </c>
      <c r="B35" s="74" t="s">
        <v>474</v>
      </c>
      <c r="C35" s="74" t="s">
        <v>482</v>
      </c>
      <c r="D35" s="74" t="s">
        <v>458</v>
      </c>
      <c r="E35" s="74" t="s">
        <v>420</v>
      </c>
      <c r="F35" s="74" t="s">
        <v>459</v>
      </c>
      <c r="G35" s="74" t="s">
        <v>477</v>
      </c>
      <c r="H35" s="74" t="s">
        <v>426</v>
      </c>
      <c r="I35" s="74" t="s">
        <v>415</v>
      </c>
    </row>
    <row r="36" spans="1:9" x14ac:dyDescent="0.3">
      <c r="A36" s="74">
        <v>4</v>
      </c>
      <c r="B36" s="74" t="s">
        <v>474</v>
      </c>
      <c r="C36" s="74" t="s">
        <v>483</v>
      </c>
      <c r="D36" s="74" t="s">
        <v>462</v>
      </c>
      <c r="E36" s="74" t="s">
        <v>420</v>
      </c>
      <c r="F36" s="74" t="s">
        <v>463</v>
      </c>
      <c r="G36" s="74" t="s">
        <v>477</v>
      </c>
      <c r="H36" s="74" t="s">
        <v>426</v>
      </c>
      <c r="I36" s="74" t="s">
        <v>415</v>
      </c>
    </row>
    <row r="37" spans="1:9" x14ac:dyDescent="0.3">
      <c r="A37" s="74">
        <v>4</v>
      </c>
      <c r="B37" s="74" t="s">
        <v>474</v>
      </c>
      <c r="C37" s="74" t="s">
        <v>484</v>
      </c>
      <c r="D37" s="74" t="s">
        <v>485</v>
      </c>
      <c r="E37" s="74" t="s">
        <v>420</v>
      </c>
      <c r="F37" s="74" t="s">
        <v>413</v>
      </c>
      <c r="G37" s="74" t="s">
        <v>477</v>
      </c>
      <c r="H37" s="74" t="s">
        <v>426</v>
      </c>
      <c r="I37" s="74" t="s">
        <v>415</v>
      </c>
    </row>
    <row r="38" spans="1:9" x14ac:dyDescent="0.3">
      <c r="A38" s="74">
        <v>4</v>
      </c>
      <c r="B38" s="74" t="s">
        <v>474</v>
      </c>
      <c r="C38" s="74" t="s">
        <v>486</v>
      </c>
      <c r="D38" s="74" t="s">
        <v>465</v>
      </c>
      <c r="E38" s="74" t="s">
        <v>420</v>
      </c>
      <c r="F38" s="74" t="s">
        <v>424</v>
      </c>
      <c r="G38" s="74" t="s">
        <v>487</v>
      </c>
      <c r="H38" s="74" t="s">
        <v>426</v>
      </c>
      <c r="I38" s="74" t="s">
        <v>415</v>
      </c>
    </row>
    <row r="39" spans="1:9" x14ac:dyDescent="0.3">
      <c r="A39" s="74">
        <v>4</v>
      </c>
      <c r="B39" s="74" t="s">
        <v>474</v>
      </c>
      <c r="C39" s="74" t="s">
        <v>488</v>
      </c>
      <c r="D39" s="74" t="s">
        <v>467</v>
      </c>
      <c r="E39" s="74" t="s">
        <v>420</v>
      </c>
      <c r="F39" s="74" t="s">
        <v>413</v>
      </c>
      <c r="G39" s="74" t="s">
        <v>489</v>
      </c>
      <c r="H39" s="74" t="s">
        <v>426</v>
      </c>
      <c r="I39" s="74" t="s">
        <v>415</v>
      </c>
    </row>
    <row r="40" spans="1:9" x14ac:dyDescent="0.3">
      <c r="A40" s="74">
        <v>4</v>
      </c>
      <c r="B40" s="74" t="s">
        <v>474</v>
      </c>
      <c r="C40" s="74" t="s">
        <v>490</v>
      </c>
      <c r="D40" s="74" t="s">
        <v>469</v>
      </c>
      <c r="E40" s="74" t="s">
        <v>420</v>
      </c>
      <c r="F40" s="74" t="s">
        <v>470</v>
      </c>
      <c r="G40" s="74" t="s">
        <v>477</v>
      </c>
      <c r="H40" s="74" t="s">
        <v>426</v>
      </c>
      <c r="I40" s="74" t="s">
        <v>415</v>
      </c>
    </row>
    <row r="41" spans="1:9" x14ac:dyDescent="0.3">
      <c r="A41" s="74">
        <v>4</v>
      </c>
      <c r="B41" s="74" t="s">
        <v>474</v>
      </c>
      <c r="C41" s="74" t="s">
        <v>491</v>
      </c>
      <c r="D41" s="74" t="s">
        <v>472</v>
      </c>
      <c r="E41" s="74" t="s">
        <v>420</v>
      </c>
      <c r="F41" s="74" t="s">
        <v>413</v>
      </c>
      <c r="G41" s="74" t="s">
        <v>477</v>
      </c>
      <c r="H41" s="74" t="s">
        <v>426</v>
      </c>
      <c r="I41" s="74" t="s">
        <v>415</v>
      </c>
    </row>
    <row r="42" spans="1:9" x14ac:dyDescent="0.3">
      <c r="A42" s="74">
        <v>4</v>
      </c>
      <c r="B42" s="74" t="s">
        <v>474</v>
      </c>
      <c r="C42" s="74" t="s">
        <v>492</v>
      </c>
      <c r="D42" s="74" t="s">
        <v>423</v>
      </c>
      <c r="E42" s="74" t="s">
        <v>420</v>
      </c>
      <c r="F42" s="74" t="s">
        <v>424</v>
      </c>
      <c r="G42" s="74" t="s">
        <v>477</v>
      </c>
      <c r="H42" s="74" t="s">
        <v>426</v>
      </c>
      <c r="I42" s="74" t="s">
        <v>415</v>
      </c>
    </row>
    <row r="43" spans="1:9" x14ac:dyDescent="0.3">
      <c r="A43" s="75">
        <v>5</v>
      </c>
      <c r="B43" s="75" t="s">
        <v>493</v>
      </c>
      <c r="C43" s="75" t="s">
        <v>494</v>
      </c>
      <c r="D43" s="75" t="s">
        <v>495</v>
      </c>
      <c r="E43" s="75" t="s">
        <v>496</v>
      </c>
      <c r="F43" s="75" t="s">
        <v>413</v>
      </c>
      <c r="G43" s="75" t="s">
        <v>497</v>
      </c>
      <c r="H43" s="75" t="s">
        <v>426</v>
      </c>
      <c r="I43" s="75" t="s">
        <v>415</v>
      </c>
    </row>
    <row r="44" spans="1:9" x14ac:dyDescent="0.3">
      <c r="A44" s="75">
        <v>5</v>
      </c>
      <c r="B44" s="75" t="s">
        <v>493</v>
      </c>
      <c r="C44" s="75" t="s">
        <v>498</v>
      </c>
      <c r="D44" s="75" t="s">
        <v>419</v>
      </c>
      <c r="E44" s="75" t="s">
        <v>499</v>
      </c>
      <c r="F44" s="75" t="s">
        <v>454</v>
      </c>
      <c r="G44" s="75" t="s">
        <v>497</v>
      </c>
      <c r="H44" s="75" t="s">
        <v>426</v>
      </c>
      <c r="I44" s="75" t="s">
        <v>415</v>
      </c>
    </row>
    <row r="45" spans="1:9" x14ac:dyDescent="0.3">
      <c r="A45" s="75">
        <v>5</v>
      </c>
      <c r="B45" s="75" t="s">
        <v>493</v>
      </c>
      <c r="C45" s="75" t="s">
        <v>500</v>
      </c>
      <c r="D45" s="75" t="s">
        <v>456</v>
      </c>
      <c r="E45" s="75" t="s">
        <v>420</v>
      </c>
      <c r="F45" s="75" t="s">
        <v>413</v>
      </c>
      <c r="G45" s="75" t="s">
        <v>497</v>
      </c>
      <c r="H45" s="75" t="s">
        <v>426</v>
      </c>
      <c r="I45" s="75" t="s">
        <v>415</v>
      </c>
    </row>
    <row r="46" spans="1:9" x14ac:dyDescent="0.3">
      <c r="A46" s="75">
        <v>5</v>
      </c>
      <c r="B46" s="75" t="s">
        <v>493</v>
      </c>
      <c r="C46" s="75" t="s">
        <v>501</v>
      </c>
      <c r="D46" s="75" t="s">
        <v>458</v>
      </c>
      <c r="E46" s="75" t="s">
        <v>420</v>
      </c>
      <c r="F46" s="75" t="s">
        <v>459</v>
      </c>
      <c r="G46" s="75" t="s">
        <v>497</v>
      </c>
      <c r="H46" s="75" t="s">
        <v>502</v>
      </c>
      <c r="I46" s="75" t="s">
        <v>415</v>
      </c>
    </row>
    <row r="47" spans="1:9" x14ac:dyDescent="0.3">
      <c r="A47" s="75">
        <v>5</v>
      </c>
      <c r="B47" s="75" t="s">
        <v>493</v>
      </c>
      <c r="C47" s="75" t="s">
        <v>503</v>
      </c>
      <c r="D47" s="75" t="s">
        <v>462</v>
      </c>
      <c r="E47" s="75" t="s">
        <v>420</v>
      </c>
      <c r="F47" s="75" t="s">
        <v>463</v>
      </c>
      <c r="G47" s="75" t="s">
        <v>497</v>
      </c>
      <c r="H47" s="75" t="s">
        <v>426</v>
      </c>
      <c r="I47" s="75" t="s">
        <v>415</v>
      </c>
    </row>
    <row r="48" spans="1:9" x14ac:dyDescent="0.3">
      <c r="A48" s="75">
        <v>5</v>
      </c>
      <c r="B48" s="75" t="s">
        <v>493</v>
      </c>
      <c r="C48" s="75" t="s">
        <v>504</v>
      </c>
      <c r="D48" s="75" t="s">
        <v>485</v>
      </c>
      <c r="E48" s="75" t="s">
        <v>420</v>
      </c>
      <c r="F48" s="75" t="s">
        <v>413</v>
      </c>
      <c r="G48" s="75" t="s">
        <v>497</v>
      </c>
      <c r="H48" s="75" t="s">
        <v>426</v>
      </c>
      <c r="I48" s="75" t="s">
        <v>415</v>
      </c>
    </row>
    <row r="49" spans="1:9" x14ac:dyDescent="0.3">
      <c r="A49" s="75">
        <v>5</v>
      </c>
      <c r="B49" s="75" t="s">
        <v>493</v>
      </c>
      <c r="C49" s="75" t="s">
        <v>505</v>
      </c>
      <c r="D49" s="75" t="s">
        <v>465</v>
      </c>
      <c r="E49" s="75" t="s">
        <v>420</v>
      </c>
      <c r="F49" s="75" t="s">
        <v>506</v>
      </c>
      <c r="G49" s="75" t="s">
        <v>497</v>
      </c>
      <c r="H49" s="75" t="s">
        <v>426</v>
      </c>
      <c r="I49" s="75" t="s">
        <v>415</v>
      </c>
    </row>
    <row r="50" spans="1:9" x14ac:dyDescent="0.3">
      <c r="A50" s="75">
        <v>5</v>
      </c>
      <c r="B50" s="75" t="s">
        <v>493</v>
      </c>
      <c r="C50" s="75" t="s">
        <v>507</v>
      </c>
      <c r="D50" s="75" t="s">
        <v>467</v>
      </c>
      <c r="E50" s="75" t="s">
        <v>508</v>
      </c>
      <c r="F50" s="75" t="s">
        <v>413</v>
      </c>
      <c r="G50" s="75" t="s">
        <v>497</v>
      </c>
      <c r="H50" s="75" t="s">
        <v>426</v>
      </c>
      <c r="I50" s="75" t="s">
        <v>415</v>
      </c>
    </row>
    <row r="51" spans="1:9" x14ac:dyDescent="0.3">
      <c r="A51" s="75">
        <v>5</v>
      </c>
      <c r="B51" s="75" t="s">
        <v>493</v>
      </c>
      <c r="C51" s="75" t="s">
        <v>509</v>
      </c>
      <c r="D51" s="75" t="s">
        <v>469</v>
      </c>
      <c r="E51" s="75" t="s">
        <v>420</v>
      </c>
      <c r="F51" s="75" t="s">
        <v>470</v>
      </c>
      <c r="G51" s="75" t="s">
        <v>497</v>
      </c>
      <c r="H51" s="75" t="s">
        <v>426</v>
      </c>
      <c r="I51" s="75" t="s">
        <v>415</v>
      </c>
    </row>
    <row r="52" spans="1:9" x14ac:dyDescent="0.3">
      <c r="A52" s="75">
        <v>5</v>
      </c>
      <c r="B52" s="75" t="s">
        <v>493</v>
      </c>
      <c r="C52" s="75" t="s">
        <v>510</v>
      </c>
      <c r="D52" s="75" t="s">
        <v>472</v>
      </c>
      <c r="E52" s="75" t="s">
        <v>420</v>
      </c>
      <c r="F52" s="75" t="s">
        <v>413</v>
      </c>
      <c r="G52" s="75" t="s">
        <v>511</v>
      </c>
      <c r="H52" s="75" t="s">
        <v>426</v>
      </c>
      <c r="I52" s="75" t="s">
        <v>415</v>
      </c>
    </row>
    <row r="53" spans="1:9" x14ac:dyDescent="0.3">
      <c r="A53" s="75">
        <v>5</v>
      </c>
      <c r="B53" s="75" t="s">
        <v>493</v>
      </c>
      <c r="C53" s="75" t="s">
        <v>512</v>
      </c>
      <c r="D53" s="75" t="s">
        <v>423</v>
      </c>
      <c r="E53" s="75" t="s">
        <v>420</v>
      </c>
      <c r="F53" s="75" t="s">
        <v>424</v>
      </c>
      <c r="G53" s="75" t="s">
        <v>497</v>
      </c>
      <c r="H53" s="75" t="s">
        <v>426</v>
      </c>
      <c r="I53" s="75" t="s">
        <v>415</v>
      </c>
    </row>
    <row r="54" spans="1:9" x14ac:dyDescent="0.3">
      <c r="A54" s="76">
        <v>6</v>
      </c>
      <c r="B54" s="76" t="s">
        <v>513</v>
      </c>
      <c r="C54" s="76" t="s">
        <v>514</v>
      </c>
      <c r="D54" s="76" t="s">
        <v>515</v>
      </c>
      <c r="E54" s="76" t="s">
        <v>516</v>
      </c>
      <c r="F54" s="76" t="s">
        <v>413</v>
      </c>
      <c r="G54" s="76" t="s">
        <v>517</v>
      </c>
      <c r="H54" s="76" t="s">
        <v>518</v>
      </c>
      <c r="I54" s="76" t="s">
        <v>415</v>
      </c>
    </row>
    <row r="55" spans="1:9" x14ac:dyDescent="0.3">
      <c r="A55" s="76">
        <v>6</v>
      </c>
      <c r="B55" s="76" t="s">
        <v>513</v>
      </c>
      <c r="C55" s="76" t="s">
        <v>519</v>
      </c>
      <c r="D55" s="76" t="s">
        <v>419</v>
      </c>
      <c r="E55" s="76" t="s">
        <v>499</v>
      </c>
      <c r="F55" s="76" t="s">
        <v>454</v>
      </c>
      <c r="G55" s="76" t="s">
        <v>517</v>
      </c>
      <c r="H55" s="76" t="s">
        <v>520</v>
      </c>
      <c r="I55" s="76" t="s">
        <v>415</v>
      </c>
    </row>
    <row r="56" spans="1:9" x14ac:dyDescent="0.3">
      <c r="A56" s="76">
        <v>6</v>
      </c>
      <c r="B56" s="76" t="s">
        <v>513</v>
      </c>
      <c r="C56" s="76" t="s">
        <v>521</v>
      </c>
      <c r="D56" s="76" t="s">
        <v>456</v>
      </c>
      <c r="E56" s="76" t="s">
        <v>508</v>
      </c>
      <c r="F56" s="76" t="s">
        <v>413</v>
      </c>
      <c r="G56" s="76" t="s">
        <v>517</v>
      </c>
      <c r="H56" s="76" t="s">
        <v>426</v>
      </c>
      <c r="I56" s="76" t="s">
        <v>415</v>
      </c>
    </row>
    <row r="57" spans="1:9" x14ac:dyDescent="0.3">
      <c r="A57" s="76">
        <v>6</v>
      </c>
      <c r="B57" s="76" t="s">
        <v>513</v>
      </c>
      <c r="C57" s="76" t="s">
        <v>522</v>
      </c>
      <c r="D57" s="76" t="s">
        <v>458</v>
      </c>
      <c r="E57" s="76" t="s">
        <v>508</v>
      </c>
      <c r="F57" s="76" t="s">
        <v>459</v>
      </c>
      <c r="G57" s="76" t="s">
        <v>517</v>
      </c>
      <c r="H57" s="76" t="s">
        <v>518</v>
      </c>
      <c r="I57" s="76" t="s">
        <v>415</v>
      </c>
    </row>
    <row r="58" spans="1:9" x14ac:dyDescent="0.3">
      <c r="A58" s="76">
        <v>6</v>
      </c>
      <c r="B58" s="76" t="s">
        <v>513</v>
      </c>
      <c r="C58" s="76" t="s">
        <v>523</v>
      </c>
      <c r="D58" s="76" t="s">
        <v>462</v>
      </c>
      <c r="E58" s="76" t="s">
        <v>508</v>
      </c>
      <c r="F58" s="76" t="s">
        <v>524</v>
      </c>
      <c r="G58" s="76" t="s">
        <v>525</v>
      </c>
      <c r="H58" s="76" t="s">
        <v>502</v>
      </c>
      <c r="I58" s="76" t="s">
        <v>415</v>
      </c>
    </row>
    <row r="59" spans="1:9" x14ac:dyDescent="0.3">
      <c r="A59" s="76">
        <v>6</v>
      </c>
      <c r="B59" s="76" t="s">
        <v>513</v>
      </c>
      <c r="C59" s="76" t="s">
        <v>526</v>
      </c>
      <c r="D59" s="76" t="s">
        <v>485</v>
      </c>
      <c r="E59" s="76" t="s">
        <v>508</v>
      </c>
      <c r="F59" s="76" t="s">
        <v>413</v>
      </c>
      <c r="G59" s="76" t="s">
        <v>517</v>
      </c>
      <c r="H59" s="76" t="s">
        <v>502</v>
      </c>
      <c r="I59" s="76" t="s">
        <v>415</v>
      </c>
    </row>
    <row r="60" spans="1:9" x14ac:dyDescent="0.3">
      <c r="A60" s="76">
        <v>6</v>
      </c>
      <c r="B60" s="76" t="s">
        <v>513</v>
      </c>
      <c r="C60" s="76" t="s">
        <v>527</v>
      </c>
      <c r="D60" s="76" t="s">
        <v>465</v>
      </c>
      <c r="E60" s="76" t="s">
        <v>508</v>
      </c>
      <c r="F60" s="76" t="s">
        <v>506</v>
      </c>
      <c r="G60" s="76" t="s">
        <v>525</v>
      </c>
      <c r="H60" s="76" t="s">
        <v>502</v>
      </c>
      <c r="I60" s="76" t="s">
        <v>415</v>
      </c>
    </row>
    <row r="61" spans="1:9" x14ac:dyDescent="0.3">
      <c r="A61" s="76">
        <v>6</v>
      </c>
      <c r="B61" s="76" t="s">
        <v>513</v>
      </c>
      <c r="C61" s="76" t="s">
        <v>528</v>
      </c>
      <c r="D61" s="76" t="s">
        <v>467</v>
      </c>
      <c r="E61" s="76" t="s">
        <v>508</v>
      </c>
      <c r="F61" s="76" t="s">
        <v>413</v>
      </c>
      <c r="G61" s="76" t="s">
        <v>517</v>
      </c>
      <c r="H61" s="76" t="s">
        <v>502</v>
      </c>
      <c r="I61" s="76" t="s">
        <v>415</v>
      </c>
    </row>
    <row r="62" spans="1:9" x14ac:dyDescent="0.3">
      <c r="A62" s="76">
        <v>6</v>
      </c>
      <c r="B62" s="76" t="s">
        <v>513</v>
      </c>
      <c r="C62" s="76" t="s">
        <v>529</v>
      </c>
      <c r="D62" s="76" t="s">
        <v>469</v>
      </c>
      <c r="E62" s="76" t="s">
        <v>508</v>
      </c>
      <c r="F62" s="76" t="s">
        <v>470</v>
      </c>
      <c r="G62" s="76" t="s">
        <v>517</v>
      </c>
      <c r="H62" s="76" t="s">
        <v>530</v>
      </c>
      <c r="I62" s="76" t="s">
        <v>415</v>
      </c>
    </row>
    <row r="63" spans="1:9" x14ac:dyDescent="0.3">
      <c r="A63" s="76">
        <v>6</v>
      </c>
      <c r="B63" s="76" t="s">
        <v>513</v>
      </c>
      <c r="C63" s="76" t="s">
        <v>531</v>
      </c>
      <c r="D63" s="76" t="s">
        <v>472</v>
      </c>
      <c r="E63" s="76" t="s">
        <v>508</v>
      </c>
      <c r="F63" s="76" t="s">
        <v>413</v>
      </c>
      <c r="G63" s="76" t="s">
        <v>517</v>
      </c>
      <c r="H63" s="76" t="s">
        <v>502</v>
      </c>
      <c r="I63" s="76" t="s">
        <v>415</v>
      </c>
    </row>
    <row r="64" spans="1:9" x14ac:dyDescent="0.3">
      <c r="A64" s="76">
        <v>6</v>
      </c>
      <c r="B64" s="76" t="s">
        <v>513</v>
      </c>
      <c r="C64" s="76" t="s">
        <v>532</v>
      </c>
      <c r="D64" s="76" t="s">
        <v>423</v>
      </c>
      <c r="E64" s="76" t="s">
        <v>508</v>
      </c>
      <c r="F64" s="76" t="s">
        <v>424</v>
      </c>
      <c r="G64" s="76" t="s">
        <v>517</v>
      </c>
      <c r="H64" s="76" t="s">
        <v>502</v>
      </c>
      <c r="I64" s="76" t="s">
        <v>415</v>
      </c>
    </row>
    <row r="65" spans="1:9" x14ac:dyDescent="0.3">
      <c r="A65" s="76">
        <v>6</v>
      </c>
      <c r="B65" s="76" t="s">
        <v>513</v>
      </c>
      <c r="C65" s="76" t="s">
        <v>533</v>
      </c>
      <c r="D65" s="76" t="s">
        <v>534</v>
      </c>
      <c r="E65" s="76" t="s">
        <v>508</v>
      </c>
      <c r="F65" s="76" t="s">
        <v>415</v>
      </c>
      <c r="G65" s="76" t="s">
        <v>517</v>
      </c>
      <c r="H65" s="76" t="s">
        <v>535</v>
      </c>
      <c r="I65" s="76" t="s">
        <v>415</v>
      </c>
    </row>
    <row r="66" spans="1:9" x14ac:dyDescent="0.3">
      <c r="A66" s="77">
        <v>7</v>
      </c>
      <c r="B66" s="77" t="s">
        <v>536</v>
      </c>
      <c r="C66" s="77" t="s">
        <v>353</v>
      </c>
      <c r="D66" s="77" t="s">
        <v>537</v>
      </c>
      <c r="E66" s="77" t="s">
        <v>516</v>
      </c>
      <c r="F66" s="77" t="s">
        <v>415</v>
      </c>
      <c r="G66" s="77" t="s">
        <v>538</v>
      </c>
      <c r="H66" s="77" t="s">
        <v>518</v>
      </c>
      <c r="I66" s="77" t="s">
        <v>415</v>
      </c>
    </row>
    <row r="67" spans="1:9" x14ac:dyDescent="0.3">
      <c r="A67" s="77">
        <v>7</v>
      </c>
      <c r="B67" s="77" t="s">
        <v>536</v>
      </c>
      <c r="C67" s="77" t="s">
        <v>539</v>
      </c>
      <c r="D67" s="77" t="s">
        <v>540</v>
      </c>
      <c r="E67" s="77" t="s">
        <v>541</v>
      </c>
      <c r="F67" s="77" t="s">
        <v>542</v>
      </c>
      <c r="G67" s="77" t="s">
        <v>543</v>
      </c>
      <c r="H67" s="77" t="s">
        <v>415</v>
      </c>
      <c r="I67" s="77" t="s">
        <v>415</v>
      </c>
    </row>
    <row r="68" spans="1:9" x14ac:dyDescent="0.3">
      <c r="A68" s="77">
        <v>7</v>
      </c>
      <c r="B68" s="77" t="s">
        <v>536</v>
      </c>
      <c r="C68" s="77" t="s">
        <v>544</v>
      </c>
      <c r="D68" s="77" t="s">
        <v>545</v>
      </c>
      <c r="E68" s="77" t="s">
        <v>541</v>
      </c>
      <c r="F68" s="77" t="s">
        <v>415</v>
      </c>
      <c r="G68" s="77" t="s">
        <v>543</v>
      </c>
      <c r="H68" s="77" t="s">
        <v>546</v>
      </c>
      <c r="I68" s="77" t="s">
        <v>415</v>
      </c>
    </row>
    <row r="69" spans="1:9" x14ac:dyDescent="0.3">
      <c r="A69" s="77">
        <v>7</v>
      </c>
      <c r="B69" s="77" t="s">
        <v>536</v>
      </c>
      <c r="C69" s="77" t="s">
        <v>547</v>
      </c>
      <c r="D69" s="77" t="s">
        <v>419</v>
      </c>
      <c r="E69" s="77" t="s">
        <v>541</v>
      </c>
      <c r="F69" s="77" t="s">
        <v>415</v>
      </c>
      <c r="G69" s="77" t="s">
        <v>543</v>
      </c>
      <c r="H69" s="77" t="s">
        <v>548</v>
      </c>
      <c r="I69" s="77" t="s">
        <v>415</v>
      </c>
    </row>
    <row r="70" spans="1:9" x14ac:dyDescent="0.3">
      <c r="A70" s="77">
        <v>7</v>
      </c>
      <c r="B70" s="77" t="s">
        <v>536</v>
      </c>
      <c r="C70" s="77" t="s">
        <v>549</v>
      </c>
      <c r="D70" s="77" t="s">
        <v>419</v>
      </c>
      <c r="E70" s="77" t="s">
        <v>499</v>
      </c>
      <c r="F70" s="77" t="s">
        <v>454</v>
      </c>
      <c r="G70" s="77" t="s">
        <v>538</v>
      </c>
      <c r="H70" s="77" t="s">
        <v>550</v>
      </c>
      <c r="I70" s="77" t="s">
        <v>415</v>
      </c>
    </row>
    <row r="71" spans="1:9" x14ac:dyDescent="0.3">
      <c r="A71" s="77">
        <v>7</v>
      </c>
      <c r="B71" s="77" t="s">
        <v>536</v>
      </c>
      <c r="C71" s="77" t="s">
        <v>551</v>
      </c>
      <c r="D71" s="77" t="s">
        <v>456</v>
      </c>
      <c r="E71" s="77" t="s">
        <v>508</v>
      </c>
      <c r="F71" s="77" t="s">
        <v>415</v>
      </c>
      <c r="G71" s="77" t="s">
        <v>538</v>
      </c>
      <c r="H71" s="77" t="s">
        <v>518</v>
      </c>
      <c r="I71" s="77" t="s">
        <v>415</v>
      </c>
    </row>
    <row r="72" spans="1:9" x14ac:dyDescent="0.3">
      <c r="A72" s="77">
        <v>7</v>
      </c>
      <c r="B72" s="77" t="s">
        <v>536</v>
      </c>
      <c r="C72" s="77" t="s">
        <v>552</v>
      </c>
      <c r="D72" s="77" t="s">
        <v>458</v>
      </c>
      <c r="E72" s="77" t="s">
        <v>541</v>
      </c>
      <c r="F72" s="77" t="s">
        <v>459</v>
      </c>
      <c r="G72" s="77" t="s">
        <v>543</v>
      </c>
      <c r="H72" s="77" t="s">
        <v>518</v>
      </c>
      <c r="I72" s="77" t="s">
        <v>415</v>
      </c>
    </row>
    <row r="73" spans="1:9" x14ac:dyDescent="0.3">
      <c r="A73" s="77">
        <v>7</v>
      </c>
      <c r="B73" s="77" t="s">
        <v>536</v>
      </c>
      <c r="C73" s="77" t="s">
        <v>553</v>
      </c>
      <c r="D73" s="77" t="s">
        <v>458</v>
      </c>
      <c r="E73" s="77" t="s">
        <v>508</v>
      </c>
      <c r="F73" s="77" t="s">
        <v>415</v>
      </c>
      <c r="G73" s="77" t="s">
        <v>538</v>
      </c>
      <c r="H73" s="77" t="s">
        <v>518</v>
      </c>
      <c r="I73" s="77" t="s">
        <v>415</v>
      </c>
    </row>
    <row r="74" spans="1:9" x14ac:dyDescent="0.3">
      <c r="A74" s="77">
        <v>7</v>
      </c>
      <c r="B74" s="77" t="s">
        <v>536</v>
      </c>
      <c r="C74" s="77" t="s">
        <v>554</v>
      </c>
      <c r="D74" s="77" t="s">
        <v>462</v>
      </c>
      <c r="E74" s="77" t="s">
        <v>541</v>
      </c>
      <c r="F74" s="77" t="s">
        <v>524</v>
      </c>
      <c r="G74" s="77" t="s">
        <v>543</v>
      </c>
      <c r="H74" s="77" t="s">
        <v>518</v>
      </c>
      <c r="I74" s="77" t="s">
        <v>415</v>
      </c>
    </row>
    <row r="75" spans="1:9" x14ac:dyDescent="0.3">
      <c r="A75" s="77">
        <v>7</v>
      </c>
      <c r="B75" s="77" t="s">
        <v>536</v>
      </c>
      <c r="C75" s="77" t="s">
        <v>555</v>
      </c>
      <c r="D75" s="77" t="s">
        <v>462</v>
      </c>
      <c r="E75" s="77" t="s">
        <v>508</v>
      </c>
      <c r="F75" s="77" t="s">
        <v>415</v>
      </c>
      <c r="G75" s="77" t="s">
        <v>538</v>
      </c>
      <c r="H75" s="77" t="s">
        <v>518</v>
      </c>
      <c r="I75" s="77" t="s">
        <v>415</v>
      </c>
    </row>
    <row r="76" spans="1:9" x14ac:dyDescent="0.3">
      <c r="A76" s="77">
        <v>7</v>
      </c>
      <c r="B76" s="77" t="s">
        <v>536</v>
      </c>
      <c r="C76" s="77" t="s">
        <v>556</v>
      </c>
      <c r="D76" s="77" t="s">
        <v>485</v>
      </c>
      <c r="E76" s="77" t="s">
        <v>541</v>
      </c>
      <c r="F76" s="77" t="s">
        <v>415</v>
      </c>
      <c r="G76" s="77" t="s">
        <v>543</v>
      </c>
      <c r="H76" s="77" t="s">
        <v>518</v>
      </c>
      <c r="I76" s="77" t="s">
        <v>415</v>
      </c>
    </row>
    <row r="77" spans="1:9" x14ac:dyDescent="0.3">
      <c r="A77" s="77">
        <v>7</v>
      </c>
      <c r="B77" s="77" t="s">
        <v>536</v>
      </c>
      <c r="C77" s="77" t="s">
        <v>557</v>
      </c>
      <c r="D77" s="77" t="s">
        <v>485</v>
      </c>
      <c r="E77" s="77" t="s">
        <v>508</v>
      </c>
      <c r="F77" s="77" t="s">
        <v>415</v>
      </c>
      <c r="G77" s="77" t="s">
        <v>538</v>
      </c>
      <c r="H77" s="77" t="s">
        <v>518</v>
      </c>
      <c r="I77" s="77" t="s">
        <v>415</v>
      </c>
    </row>
    <row r="78" spans="1:9" x14ac:dyDescent="0.3">
      <c r="A78" s="77">
        <v>7</v>
      </c>
      <c r="B78" s="77" t="s">
        <v>536</v>
      </c>
      <c r="C78" s="77" t="s">
        <v>558</v>
      </c>
      <c r="D78" s="77" t="s">
        <v>465</v>
      </c>
      <c r="E78" s="77" t="s">
        <v>541</v>
      </c>
      <c r="F78" s="77" t="s">
        <v>559</v>
      </c>
      <c r="G78" s="77" t="s">
        <v>543</v>
      </c>
      <c r="H78" s="77" t="s">
        <v>518</v>
      </c>
      <c r="I78" s="77" t="s">
        <v>415</v>
      </c>
    </row>
    <row r="79" spans="1:9" x14ac:dyDescent="0.3">
      <c r="A79" s="77">
        <v>7</v>
      </c>
      <c r="B79" s="77" t="s">
        <v>536</v>
      </c>
      <c r="C79" s="77" t="s">
        <v>560</v>
      </c>
      <c r="D79" s="77" t="s">
        <v>465</v>
      </c>
      <c r="E79" s="77" t="s">
        <v>508</v>
      </c>
      <c r="F79" s="77" t="s">
        <v>561</v>
      </c>
      <c r="G79" s="77" t="s">
        <v>538</v>
      </c>
      <c r="H79" s="77" t="s">
        <v>518</v>
      </c>
      <c r="I79" s="77" t="s">
        <v>415</v>
      </c>
    </row>
    <row r="80" spans="1:9" x14ac:dyDescent="0.3">
      <c r="A80" s="77">
        <v>7</v>
      </c>
      <c r="B80" s="77" t="s">
        <v>536</v>
      </c>
      <c r="C80" s="77" t="s">
        <v>562</v>
      </c>
      <c r="D80" s="77" t="s">
        <v>467</v>
      </c>
      <c r="E80" s="77" t="s">
        <v>541</v>
      </c>
      <c r="F80" s="77" t="s">
        <v>413</v>
      </c>
      <c r="G80" s="77" t="s">
        <v>543</v>
      </c>
      <c r="H80" s="77" t="s">
        <v>518</v>
      </c>
      <c r="I80" s="77" t="s">
        <v>415</v>
      </c>
    </row>
    <row r="81" spans="1:9" x14ac:dyDescent="0.3">
      <c r="A81" s="77">
        <v>7</v>
      </c>
      <c r="B81" s="77" t="s">
        <v>536</v>
      </c>
      <c r="C81" s="77" t="s">
        <v>563</v>
      </c>
      <c r="D81" s="77" t="s">
        <v>467</v>
      </c>
      <c r="E81" s="77" t="s">
        <v>508</v>
      </c>
      <c r="F81" s="77" t="s">
        <v>415</v>
      </c>
      <c r="G81" s="77" t="s">
        <v>538</v>
      </c>
      <c r="H81" s="77" t="s">
        <v>518</v>
      </c>
      <c r="I81" s="77" t="s">
        <v>415</v>
      </c>
    </row>
    <row r="82" spans="1:9" x14ac:dyDescent="0.3">
      <c r="A82" s="77">
        <v>7</v>
      </c>
      <c r="B82" s="77" t="s">
        <v>536</v>
      </c>
      <c r="C82" s="77" t="s">
        <v>564</v>
      </c>
      <c r="D82" s="77" t="s">
        <v>469</v>
      </c>
      <c r="E82" s="77" t="s">
        <v>541</v>
      </c>
      <c r="F82" s="77" t="s">
        <v>415</v>
      </c>
      <c r="G82" s="77" t="s">
        <v>543</v>
      </c>
      <c r="H82" s="77" t="s">
        <v>565</v>
      </c>
      <c r="I82" s="77" t="s">
        <v>415</v>
      </c>
    </row>
    <row r="83" spans="1:9" x14ac:dyDescent="0.3">
      <c r="A83" s="77">
        <v>7</v>
      </c>
      <c r="B83" s="77" t="s">
        <v>536</v>
      </c>
      <c r="C83" s="77" t="s">
        <v>566</v>
      </c>
      <c r="D83" s="77" t="s">
        <v>469</v>
      </c>
      <c r="E83" s="77" t="s">
        <v>508</v>
      </c>
      <c r="F83" s="77" t="s">
        <v>415</v>
      </c>
      <c r="G83" s="77" t="s">
        <v>538</v>
      </c>
      <c r="H83" s="77" t="s">
        <v>565</v>
      </c>
      <c r="I83" s="77" t="s">
        <v>415</v>
      </c>
    </row>
    <row r="84" spans="1:9" x14ac:dyDescent="0.3">
      <c r="A84" s="77">
        <v>7</v>
      </c>
      <c r="B84" s="77" t="s">
        <v>536</v>
      </c>
      <c r="C84" s="77" t="s">
        <v>567</v>
      </c>
      <c r="D84" s="77" t="s">
        <v>472</v>
      </c>
      <c r="E84" s="77" t="s">
        <v>541</v>
      </c>
      <c r="F84" s="77" t="s">
        <v>413</v>
      </c>
      <c r="G84" s="77" t="s">
        <v>543</v>
      </c>
      <c r="H84" s="77" t="s">
        <v>565</v>
      </c>
      <c r="I84" s="77" t="s">
        <v>415</v>
      </c>
    </row>
    <row r="85" spans="1:9" x14ac:dyDescent="0.3">
      <c r="A85" s="77">
        <v>7</v>
      </c>
      <c r="B85" s="77" t="s">
        <v>536</v>
      </c>
      <c r="C85" s="77" t="s">
        <v>568</v>
      </c>
      <c r="D85" s="77" t="s">
        <v>472</v>
      </c>
      <c r="E85" s="77" t="s">
        <v>508</v>
      </c>
      <c r="F85" s="77" t="s">
        <v>415</v>
      </c>
      <c r="G85" s="77" t="s">
        <v>538</v>
      </c>
      <c r="H85" s="77" t="s">
        <v>565</v>
      </c>
      <c r="I85" s="77" t="s">
        <v>415</v>
      </c>
    </row>
    <row r="86" spans="1:9" x14ac:dyDescent="0.3">
      <c r="A86" s="77">
        <v>7</v>
      </c>
      <c r="B86" s="77" t="s">
        <v>536</v>
      </c>
      <c r="C86" s="77" t="s">
        <v>569</v>
      </c>
      <c r="D86" s="77" t="s">
        <v>423</v>
      </c>
      <c r="E86" s="77" t="s">
        <v>508</v>
      </c>
      <c r="F86" s="77" t="s">
        <v>561</v>
      </c>
      <c r="G86" s="77" t="s">
        <v>538</v>
      </c>
      <c r="H86" s="77" t="s">
        <v>518</v>
      </c>
      <c r="I86" s="77" t="s">
        <v>415</v>
      </c>
    </row>
    <row r="87" spans="1:9" x14ac:dyDescent="0.3">
      <c r="A87" s="77">
        <v>7</v>
      </c>
      <c r="B87" s="77" t="s">
        <v>536</v>
      </c>
      <c r="C87" s="77" t="s">
        <v>570</v>
      </c>
      <c r="D87" s="77" t="s">
        <v>534</v>
      </c>
      <c r="E87" s="77" t="s">
        <v>571</v>
      </c>
      <c r="F87" s="77" t="s">
        <v>572</v>
      </c>
      <c r="G87" s="77" t="s">
        <v>543</v>
      </c>
      <c r="H87" s="77" t="s">
        <v>518</v>
      </c>
      <c r="I87" s="77" t="s">
        <v>415</v>
      </c>
    </row>
    <row r="88" spans="1:9" x14ac:dyDescent="0.3">
      <c r="A88" s="77">
        <v>7</v>
      </c>
      <c r="B88" s="77" t="s">
        <v>536</v>
      </c>
      <c r="C88" s="77" t="s">
        <v>573</v>
      </c>
      <c r="D88" s="77" t="s">
        <v>534</v>
      </c>
      <c r="E88" s="77" t="s">
        <v>508</v>
      </c>
      <c r="F88" s="77" t="s">
        <v>415</v>
      </c>
      <c r="G88" s="77" t="s">
        <v>538</v>
      </c>
      <c r="H88" s="77" t="s">
        <v>518</v>
      </c>
      <c r="I88" s="77" t="s">
        <v>415</v>
      </c>
    </row>
    <row r="89" spans="1:9" x14ac:dyDescent="0.3">
      <c r="A89" s="77">
        <v>7</v>
      </c>
      <c r="B89" s="77" t="s">
        <v>536</v>
      </c>
      <c r="C89" s="77" t="s">
        <v>574</v>
      </c>
      <c r="D89" s="77" t="s">
        <v>575</v>
      </c>
      <c r="E89" s="77" t="s">
        <v>541</v>
      </c>
      <c r="F89" s="77" t="s">
        <v>576</v>
      </c>
      <c r="G89" s="77" t="s">
        <v>543</v>
      </c>
      <c r="H89" s="77" t="s">
        <v>502</v>
      </c>
      <c r="I89" s="77" t="s">
        <v>415</v>
      </c>
    </row>
    <row r="90" spans="1:9" x14ac:dyDescent="0.3">
      <c r="A90" s="78">
        <v>8</v>
      </c>
      <c r="B90" s="78" t="s">
        <v>577</v>
      </c>
      <c r="C90" s="78" t="s">
        <v>578</v>
      </c>
      <c r="D90" s="78" t="s">
        <v>579</v>
      </c>
      <c r="E90" s="78" t="s">
        <v>541</v>
      </c>
      <c r="F90" s="78" t="s">
        <v>542</v>
      </c>
      <c r="G90" s="78" t="s">
        <v>517</v>
      </c>
      <c r="H90" s="78" t="s">
        <v>415</v>
      </c>
      <c r="I90" s="78" t="s">
        <v>415</v>
      </c>
    </row>
    <row r="91" spans="1:9" x14ac:dyDescent="0.3">
      <c r="A91" s="78">
        <v>8</v>
      </c>
      <c r="B91" s="78" t="s">
        <v>577</v>
      </c>
      <c r="C91" s="78" t="s">
        <v>580</v>
      </c>
      <c r="D91" s="78" t="s">
        <v>581</v>
      </c>
      <c r="E91" s="78" t="s">
        <v>541</v>
      </c>
      <c r="F91" s="78" t="s">
        <v>415</v>
      </c>
      <c r="G91" s="78" t="s">
        <v>517</v>
      </c>
      <c r="H91" s="78" t="s">
        <v>546</v>
      </c>
      <c r="I91" s="78" t="s">
        <v>415</v>
      </c>
    </row>
    <row r="92" spans="1:9" x14ac:dyDescent="0.3">
      <c r="A92" s="78">
        <v>8</v>
      </c>
      <c r="B92" s="78" t="s">
        <v>577</v>
      </c>
      <c r="C92" s="78" t="s">
        <v>582</v>
      </c>
      <c r="D92" s="78" t="s">
        <v>419</v>
      </c>
      <c r="E92" s="78" t="s">
        <v>541</v>
      </c>
      <c r="F92" s="78" t="s">
        <v>415</v>
      </c>
      <c r="G92" s="78" t="s">
        <v>517</v>
      </c>
      <c r="H92" s="78" t="s">
        <v>548</v>
      </c>
      <c r="I92" s="78" t="s">
        <v>415</v>
      </c>
    </row>
    <row r="93" spans="1:9" x14ac:dyDescent="0.3">
      <c r="A93" s="78">
        <v>8</v>
      </c>
      <c r="B93" s="78" t="s">
        <v>577</v>
      </c>
      <c r="C93" s="78" t="s">
        <v>583</v>
      </c>
      <c r="D93" s="78" t="s">
        <v>458</v>
      </c>
      <c r="E93" s="78" t="s">
        <v>541</v>
      </c>
      <c r="F93" s="78" t="s">
        <v>459</v>
      </c>
      <c r="G93" s="78" t="s">
        <v>517</v>
      </c>
      <c r="H93" s="78" t="s">
        <v>518</v>
      </c>
      <c r="I93" s="78" t="s">
        <v>415</v>
      </c>
    </row>
    <row r="94" spans="1:9" x14ac:dyDescent="0.3">
      <c r="A94" s="78">
        <v>8</v>
      </c>
      <c r="B94" s="78" t="s">
        <v>577</v>
      </c>
      <c r="C94" s="78" t="s">
        <v>584</v>
      </c>
      <c r="D94" s="78" t="s">
        <v>462</v>
      </c>
      <c r="E94" s="78" t="s">
        <v>541</v>
      </c>
      <c r="F94" s="78" t="s">
        <v>524</v>
      </c>
      <c r="G94" s="78" t="s">
        <v>517</v>
      </c>
      <c r="H94" s="78" t="s">
        <v>518</v>
      </c>
      <c r="I94" s="78" t="s">
        <v>415</v>
      </c>
    </row>
    <row r="95" spans="1:9" x14ac:dyDescent="0.3">
      <c r="A95" s="78">
        <v>8</v>
      </c>
      <c r="B95" s="78" t="s">
        <v>577</v>
      </c>
      <c r="C95" s="78" t="s">
        <v>585</v>
      </c>
      <c r="D95" s="78" t="s">
        <v>485</v>
      </c>
      <c r="E95" s="78" t="s">
        <v>541</v>
      </c>
      <c r="F95" s="78" t="s">
        <v>415</v>
      </c>
      <c r="G95" s="78" t="s">
        <v>517</v>
      </c>
      <c r="H95" s="78" t="s">
        <v>518</v>
      </c>
      <c r="I95" s="78" t="s">
        <v>415</v>
      </c>
    </row>
    <row r="96" spans="1:9" x14ac:dyDescent="0.3">
      <c r="A96" s="78">
        <v>8</v>
      </c>
      <c r="B96" s="78" t="s">
        <v>577</v>
      </c>
      <c r="C96" s="78" t="s">
        <v>586</v>
      </c>
      <c r="D96" s="78" t="s">
        <v>465</v>
      </c>
      <c r="E96" s="78" t="s">
        <v>541</v>
      </c>
      <c r="F96" s="78" t="s">
        <v>559</v>
      </c>
      <c r="G96" s="78" t="s">
        <v>517</v>
      </c>
      <c r="H96" s="78" t="s">
        <v>518</v>
      </c>
      <c r="I96" s="78" t="s">
        <v>415</v>
      </c>
    </row>
    <row r="97" spans="1:9" x14ac:dyDescent="0.3">
      <c r="A97" s="78">
        <v>8</v>
      </c>
      <c r="B97" s="78" t="s">
        <v>577</v>
      </c>
      <c r="C97" s="78" t="s">
        <v>587</v>
      </c>
      <c r="D97" s="78" t="s">
        <v>467</v>
      </c>
      <c r="E97" s="78" t="s">
        <v>541</v>
      </c>
      <c r="F97" s="78" t="s">
        <v>415</v>
      </c>
      <c r="G97" s="78" t="s">
        <v>517</v>
      </c>
      <c r="H97" s="78" t="s">
        <v>518</v>
      </c>
      <c r="I97" s="78" t="s">
        <v>415</v>
      </c>
    </row>
    <row r="98" spans="1:9" x14ac:dyDescent="0.3">
      <c r="A98" s="78">
        <v>8</v>
      </c>
      <c r="B98" s="78" t="s">
        <v>577</v>
      </c>
      <c r="C98" s="78" t="s">
        <v>588</v>
      </c>
      <c r="D98" s="78" t="s">
        <v>469</v>
      </c>
      <c r="E98" s="78" t="s">
        <v>541</v>
      </c>
      <c r="F98" s="78" t="s">
        <v>415</v>
      </c>
      <c r="G98" s="78" t="s">
        <v>517</v>
      </c>
      <c r="H98" s="78" t="s">
        <v>565</v>
      </c>
      <c r="I98" s="78" t="s">
        <v>415</v>
      </c>
    </row>
    <row r="99" spans="1:9" x14ac:dyDescent="0.3">
      <c r="A99" s="78">
        <v>8</v>
      </c>
      <c r="B99" s="78" t="s">
        <v>577</v>
      </c>
      <c r="C99" s="78" t="s">
        <v>589</v>
      </c>
      <c r="D99" s="78" t="s">
        <v>472</v>
      </c>
      <c r="E99" s="78" t="s">
        <v>541</v>
      </c>
      <c r="F99" s="78" t="s">
        <v>413</v>
      </c>
      <c r="G99" s="78" t="s">
        <v>517</v>
      </c>
      <c r="H99" s="78" t="s">
        <v>565</v>
      </c>
      <c r="I99" s="78" t="s">
        <v>415</v>
      </c>
    </row>
    <row r="100" spans="1:9" x14ac:dyDescent="0.3">
      <c r="A100" s="78">
        <v>8</v>
      </c>
      <c r="B100" s="78" t="s">
        <v>577</v>
      </c>
      <c r="C100" s="78" t="s">
        <v>590</v>
      </c>
      <c r="D100" s="78" t="s">
        <v>534</v>
      </c>
      <c r="E100" s="78" t="s">
        <v>571</v>
      </c>
      <c r="F100" s="78" t="s">
        <v>572</v>
      </c>
      <c r="G100" s="78" t="s">
        <v>517</v>
      </c>
      <c r="H100" s="78" t="s">
        <v>518</v>
      </c>
      <c r="I100" s="78" t="s">
        <v>415</v>
      </c>
    </row>
    <row r="101" spans="1:9" x14ac:dyDescent="0.3">
      <c r="A101" s="78">
        <v>8</v>
      </c>
      <c r="B101" s="78" t="s">
        <v>577</v>
      </c>
      <c r="C101" s="78" t="s">
        <v>591</v>
      </c>
      <c r="D101" s="78" t="s">
        <v>575</v>
      </c>
      <c r="E101" s="78" t="s">
        <v>541</v>
      </c>
      <c r="F101" s="78" t="s">
        <v>576</v>
      </c>
      <c r="G101" s="78" t="s">
        <v>517</v>
      </c>
      <c r="H101" s="78" t="s">
        <v>518</v>
      </c>
      <c r="I101" s="78" t="s">
        <v>415</v>
      </c>
    </row>
    <row r="102" spans="1:9" x14ac:dyDescent="0.3">
      <c r="A102" s="79">
        <v>9</v>
      </c>
      <c r="B102" s="79" t="s">
        <v>592</v>
      </c>
      <c r="C102" s="79" t="s">
        <v>593</v>
      </c>
      <c r="D102" s="79" t="s">
        <v>594</v>
      </c>
      <c r="E102" s="79" t="s">
        <v>541</v>
      </c>
      <c r="F102" s="79" t="s">
        <v>542</v>
      </c>
      <c r="G102" s="79" t="s">
        <v>538</v>
      </c>
      <c r="H102" s="79" t="s">
        <v>415</v>
      </c>
      <c r="I102" s="79" t="s">
        <v>415</v>
      </c>
    </row>
    <row r="103" spans="1:9" x14ac:dyDescent="0.3">
      <c r="A103" s="79">
        <v>9</v>
      </c>
      <c r="B103" s="79" t="s">
        <v>592</v>
      </c>
      <c r="C103" s="79" t="s">
        <v>595</v>
      </c>
      <c r="D103" s="79" t="s">
        <v>596</v>
      </c>
      <c r="E103" s="79" t="s">
        <v>541</v>
      </c>
      <c r="F103" s="79" t="s">
        <v>415</v>
      </c>
      <c r="G103" s="79" t="s">
        <v>538</v>
      </c>
      <c r="H103" s="79" t="s">
        <v>546</v>
      </c>
      <c r="I103" s="79" t="s">
        <v>415</v>
      </c>
    </row>
    <row r="104" spans="1:9" x14ac:dyDescent="0.3">
      <c r="A104" s="79">
        <v>9</v>
      </c>
      <c r="B104" s="79" t="s">
        <v>592</v>
      </c>
      <c r="C104" s="79" t="s">
        <v>597</v>
      </c>
      <c r="D104" s="79" t="s">
        <v>419</v>
      </c>
      <c r="E104" s="79" t="s">
        <v>541</v>
      </c>
      <c r="F104" s="79" t="s">
        <v>415</v>
      </c>
      <c r="G104" s="79" t="s">
        <v>538</v>
      </c>
      <c r="H104" s="79" t="s">
        <v>548</v>
      </c>
      <c r="I104" s="79" t="s">
        <v>415</v>
      </c>
    </row>
    <row r="105" spans="1:9" x14ac:dyDescent="0.3">
      <c r="A105" s="79">
        <v>9</v>
      </c>
      <c r="B105" s="79" t="s">
        <v>592</v>
      </c>
      <c r="C105" s="79" t="s">
        <v>598</v>
      </c>
      <c r="D105" s="79" t="s">
        <v>458</v>
      </c>
      <c r="E105" s="79" t="s">
        <v>541</v>
      </c>
      <c r="F105" s="79" t="s">
        <v>415</v>
      </c>
      <c r="G105" s="79" t="s">
        <v>538</v>
      </c>
      <c r="H105" s="79" t="s">
        <v>518</v>
      </c>
      <c r="I105" s="79" t="s">
        <v>415</v>
      </c>
    </row>
    <row r="106" spans="1:9" x14ac:dyDescent="0.3">
      <c r="A106" s="79">
        <v>9</v>
      </c>
      <c r="B106" s="79" t="s">
        <v>592</v>
      </c>
      <c r="C106" s="79" t="s">
        <v>599</v>
      </c>
      <c r="D106" s="79" t="s">
        <v>462</v>
      </c>
      <c r="E106" s="79" t="s">
        <v>541</v>
      </c>
      <c r="F106" s="79" t="s">
        <v>415</v>
      </c>
      <c r="G106" s="79" t="s">
        <v>538</v>
      </c>
      <c r="H106" s="79" t="s">
        <v>518</v>
      </c>
      <c r="I106" s="79" t="s">
        <v>415</v>
      </c>
    </row>
    <row r="107" spans="1:9" x14ac:dyDescent="0.3">
      <c r="A107" s="79">
        <v>9</v>
      </c>
      <c r="B107" s="79" t="s">
        <v>592</v>
      </c>
      <c r="C107" s="79" t="s">
        <v>600</v>
      </c>
      <c r="D107" s="79" t="s">
        <v>485</v>
      </c>
      <c r="E107" s="79" t="s">
        <v>541</v>
      </c>
      <c r="F107" s="79" t="s">
        <v>415</v>
      </c>
      <c r="G107" s="79" t="s">
        <v>538</v>
      </c>
      <c r="H107" s="79" t="s">
        <v>518</v>
      </c>
      <c r="I107" s="79" t="s">
        <v>415</v>
      </c>
    </row>
    <row r="108" spans="1:9" x14ac:dyDescent="0.3">
      <c r="A108" s="79">
        <v>9</v>
      </c>
      <c r="B108" s="79" t="s">
        <v>592</v>
      </c>
      <c r="C108" s="79" t="s">
        <v>601</v>
      </c>
      <c r="D108" s="79" t="s">
        <v>465</v>
      </c>
      <c r="E108" s="79" t="s">
        <v>541</v>
      </c>
      <c r="F108" s="79" t="s">
        <v>559</v>
      </c>
      <c r="G108" s="79" t="s">
        <v>538</v>
      </c>
      <c r="H108" s="79" t="s">
        <v>518</v>
      </c>
      <c r="I108" s="79" t="s">
        <v>415</v>
      </c>
    </row>
    <row r="109" spans="1:9" x14ac:dyDescent="0.3">
      <c r="A109" s="79">
        <v>9</v>
      </c>
      <c r="B109" s="79" t="s">
        <v>592</v>
      </c>
      <c r="C109" s="79" t="s">
        <v>602</v>
      </c>
      <c r="D109" s="79" t="s">
        <v>467</v>
      </c>
      <c r="E109" s="79" t="s">
        <v>541</v>
      </c>
      <c r="F109" s="79" t="s">
        <v>415</v>
      </c>
      <c r="G109" s="79" t="s">
        <v>538</v>
      </c>
      <c r="H109" s="79" t="s">
        <v>518</v>
      </c>
      <c r="I109" s="79" t="s">
        <v>415</v>
      </c>
    </row>
    <row r="110" spans="1:9" x14ac:dyDescent="0.3">
      <c r="A110" s="79">
        <v>9</v>
      </c>
      <c r="B110" s="79" t="s">
        <v>592</v>
      </c>
      <c r="C110" s="79" t="s">
        <v>603</v>
      </c>
      <c r="D110" s="79" t="s">
        <v>469</v>
      </c>
      <c r="E110" s="79" t="s">
        <v>541</v>
      </c>
      <c r="F110" s="79" t="s">
        <v>415</v>
      </c>
      <c r="G110" s="79" t="s">
        <v>538</v>
      </c>
      <c r="H110" s="79" t="s">
        <v>565</v>
      </c>
      <c r="I110" s="79" t="s">
        <v>415</v>
      </c>
    </row>
    <row r="111" spans="1:9" x14ac:dyDescent="0.3">
      <c r="A111" s="79">
        <v>9</v>
      </c>
      <c r="B111" s="79" t="s">
        <v>592</v>
      </c>
      <c r="C111" s="79" t="s">
        <v>604</v>
      </c>
      <c r="D111" s="79" t="s">
        <v>472</v>
      </c>
      <c r="E111" s="79" t="s">
        <v>541</v>
      </c>
      <c r="F111" s="79" t="s">
        <v>415</v>
      </c>
      <c r="G111" s="79" t="s">
        <v>538</v>
      </c>
      <c r="H111" s="79" t="s">
        <v>565</v>
      </c>
      <c r="I111" s="79" t="s">
        <v>415</v>
      </c>
    </row>
    <row r="112" spans="1:9" x14ac:dyDescent="0.3">
      <c r="A112" s="79">
        <v>9</v>
      </c>
      <c r="B112" s="79" t="s">
        <v>592</v>
      </c>
      <c r="C112" s="79" t="s">
        <v>605</v>
      </c>
      <c r="D112" s="79" t="s">
        <v>606</v>
      </c>
      <c r="E112" s="79"/>
      <c r="F112" s="79" t="s">
        <v>607</v>
      </c>
      <c r="G112" s="79" t="s">
        <v>608</v>
      </c>
      <c r="H112" s="79" t="s">
        <v>609</v>
      </c>
      <c r="I112" s="79" t="s">
        <v>415</v>
      </c>
    </row>
    <row r="113" spans="1:9" x14ac:dyDescent="0.3">
      <c r="A113" s="79">
        <v>9</v>
      </c>
      <c r="B113" s="79" t="s">
        <v>592</v>
      </c>
      <c r="C113" s="79" t="s">
        <v>610</v>
      </c>
      <c r="D113" s="79" t="s">
        <v>534</v>
      </c>
      <c r="E113" s="79" t="s">
        <v>571</v>
      </c>
      <c r="F113" s="79" t="s">
        <v>415</v>
      </c>
      <c r="G113" s="79" t="s">
        <v>538</v>
      </c>
      <c r="H113" s="79" t="s">
        <v>518</v>
      </c>
      <c r="I113" s="79" t="s">
        <v>415</v>
      </c>
    </row>
    <row r="114" spans="1:9" x14ac:dyDescent="0.3">
      <c r="A114" s="79">
        <v>9</v>
      </c>
      <c r="B114" s="79" t="s">
        <v>592</v>
      </c>
      <c r="C114" s="79" t="s">
        <v>611</v>
      </c>
      <c r="D114" s="79" t="s">
        <v>575</v>
      </c>
      <c r="E114" s="79" t="s">
        <v>541</v>
      </c>
      <c r="F114" s="79" t="s">
        <v>415</v>
      </c>
      <c r="G114" s="79" t="s">
        <v>538</v>
      </c>
      <c r="H114" s="79" t="s">
        <v>518</v>
      </c>
      <c r="I114" s="79" t="s">
        <v>415</v>
      </c>
    </row>
    <row r="115" spans="1:9" x14ac:dyDescent="0.3">
      <c r="A115" s="79">
        <v>9</v>
      </c>
      <c r="B115" s="79" t="s">
        <v>592</v>
      </c>
      <c r="C115" s="79" t="s">
        <v>612</v>
      </c>
      <c r="D115" s="79" t="s">
        <v>575</v>
      </c>
      <c r="E115" s="79" t="s">
        <v>613</v>
      </c>
      <c r="F115" s="79" t="s">
        <v>614</v>
      </c>
      <c r="G115" s="79"/>
      <c r="H115" s="79"/>
      <c r="I115" s="79" t="s">
        <v>415</v>
      </c>
    </row>
    <row r="116" spans="1:9" x14ac:dyDescent="0.3">
      <c r="A116" s="80">
        <v>10</v>
      </c>
      <c r="B116" s="80" t="s">
        <v>615</v>
      </c>
      <c r="C116" s="80" t="s">
        <v>616</v>
      </c>
      <c r="D116" s="80" t="s">
        <v>617</v>
      </c>
      <c r="E116" s="80" t="s">
        <v>367</v>
      </c>
      <c r="F116" s="80" t="s">
        <v>415</v>
      </c>
      <c r="G116" s="80" t="s">
        <v>543</v>
      </c>
      <c r="H116" s="80" t="s">
        <v>518</v>
      </c>
      <c r="I116" s="80" t="s">
        <v>415</v>
      </c>
    </row>
    <row r="117" spans="1:9" x14ac:dyDescent="0.3">
      <c r="A117" s="80">
        <v>10</v>
      </c>
      <c r="B117" s="80" t="s">
        <v>615</v>
      </c>
      <c r="C117" s="80" t="s">
        <v>618</v>
      </c>
      <c r="D117" s="80" t="s">
        <v>606</v>
      </c>
      <c r="E117" s="80" t="s">
        <v>619</v>
      </c>
      <c r="F117" s="80" t="s">
        <v>620</v>
      </c>
      <c r="G117" s="80" t="s">
        <v>621</v>
      </c>
      <c r="H117" s="80" t="s">
        <v>622</v>
      </c>
      <c r="I117" s="80" t="s">
        <v>415</v>
      </c>
    </row>
    <row r="118" spans="1:9" x14ac:dyDescent="0.3">
      <c r="A118" s="80">
        <v>10</v>
      </c>
      <c r="B118" s="80" t="s">
        <v>615</v>
      </c>
      <c r="C118" s="80" t="s">
        <v>623</v>
      </c>
      <c r="D118" s="80" t="s">
        <v>534</v>
      </c>
      <c r="E118" s="80" t="s">
        <v>619</v>
      </c>
      <c r="F118" s="80" t="s">
        <v>415</v>
      </c>
      <c r="G118" s="80" t="s">
        <v>543</v>
      </c>
      <c r="H118" s="80" t="s">
        <v>518</v>
      </c>
      <c r="I118" s="80" t="s">
        <v>415</v>
      </c>
    </row>
    <row r="119" spans="1:9" x14ac:dyDescent="0.3">
      <c r="A119" s="80">
        <v>10</v>
      </c>
      <c r="B119" s="80" t="s">
        <v>615</v>
      </c>
      <c r="C119" s="80" t="s">
        <v>624</v>
      </c>
      <c r="D119" s="80" t="s">
        <v>575</v>
      </c>
      <c r="E119" s="80" t="s">
        <v>619</v>
      </c>
      <c r="F119" s="80" t="s">
        <v>625</v>
      </c>
      <c r="G119" s="80" t="s">
        <v>543</v>
      </c>
      <c r="H119" s="80" t="s">
        <v>518</v>
      </c>
      <c r="I119" s="80" t="s">
        <v>415</v>
      </c>
    </row>
    <row r="120" spans="1:9" x14ac:dyDescent="0.3">
      <c r="A120" s="80">
        <v>10</v>
      </c>
      <c r="B120" s="80" t="s">
        <v>615</v>
      </c>
      <c r="C120" s="80" t="s">
        <v>626</v>
      </c>
      <c r="D120" s="80" t="s">
        <v>575</v>
      </c>
      <c r="E120" s="80" t="s">
        <v>619</v>
      </c>
      <c r="F120" s="80" t="s">
        <v>627</v>
      </c>
      <c r="G120" s="80" t="s">
        <v>628</v>
      </c>
      <c r="H120" s="80" t="s">
        <v>518</v>
      </c>
      <c r="I120" s="80" t="s">
        <v>415</v>
      </c>
    </row>
    <row r="121" spans="1:9" x14ac:dyDescent="0.3">
      <c r="A121" s="81">
        <v>11</v>
      </c>
      <c r="B121" s="81" t="s">
        <v>629</v>
      </c>
      <c r="C121" s="81" t="s">
        <v>630</v>
      </c>
      <c r="D121" s="81" t="s">
        <v>631</v>
      </c>
      <c r="E121" s="81" t="s">
        <v>367</v>
      </c>
      <c r="F121" s="81" t="s">
        <v>415</v>
      </c>
      <c r="G121" s="81" t="s">
        <v>517</v>
      </c>
      <c r="H121" s="81" t="s">
        <v>518</v>
      </c>
      <c r="I121" s="81" t="s">
        <v>415</v>
      </c>
    </row>
    <row r="122" spans="1:9" x14ac:dyDescent="0.3">
      <c r="A122" s="81">
        <v>11</v>
      </c>
      <c r="B122" s="81" t="s">
        <v>629</v>
      </c>
      <c r="C122" s="81" t="s">
        <v>632</v>
      </c>
      <c r="D122" s="81" t="s">
        <v>606</v>
      </c>
      <c r="E122" s="81" t="s">
        <v>619</v>
      </c>
      <c r="F122" s="81" t="s">
        <v>633</v>
      </c>
      <c r="G122" s="81" t="s">
        <v>634</v>
      </c>
      <c r="H122" s="81" t="s">
        <v>635</v>
      </c>
      <c r="I122" s="81" t="s">
        <v>415</v>
      </c>
    </row>
    <row r="123" spans="1:9" x14ac:dyDescent="0.3">
      <c r="A123" s="81">
        <v>11</v>
      </c>
      <c r="B123" s="81" t="s">
        <v>629</v>
      </c>
      <c r="C123" s="81" t="s">
        <v>636</v>
      </c>
      <c r="D123" s="81" t="s">
        <v>534</v>
      </c>
      <c r="E123" s="81" t="s">
        <v>619</v>
      </c>
      <c r="F123" s="81" t="s">
        <v>415</v>
      </c>
      <c r="G123" s="81" t="s">
        <v>517</v>
      </c>
      <c r="H123" s="81" t="s">
        <v>518</v>
      </c>
      <c r="I123" s="81" t="s">
        <v>415</v>
      </c>
    </row>
    <row r="124" spans="1:9" x14ac:dyDescent="0.3">
      <c r="A124" s="81">
        <v>11</v>
      </c>
      <c r="B124" s="81" t="s">
        <v>629</v>
      </c>
      <c r="C124" s="81" t="s">
        <v>637</v>
      </c>
      <c r="D124" s="81" t="s">
        <v>575</v>
      </c>
      <c r="E124" s="81" t="s">
        <v>619</v>
      </c>
      <c r="F124" s="81" t="s">
        <v>625</v>
      </c>
      <c r="G124" s="81" t="s">
        <v>517</v>
      </c>
      <c r="H124" s="81" t="s">
        <v>518</v>
      </c>
      <c r="I124" s="81" t="s">
        <v>415</v>
      </c>
    </row>
    <row r="125" spans="1:9" x14ac:dyDescent="0.3">
      <c r="A125" s="81">
        <v>11</v>
      </c>
      <c r="B125" s="81" t="s">
        <v>629</v>
      </c>
      <c r="C125" s="81" t="s">
        <v>638</v>
      </c>
      <c r="D125" s="81" t="s">
        <v>575</v>
      </c>
      <c r="E125" s="81" t="s">
        <v>619</v>
      </c>
      <c r="F125" s="81" t="s">
        <v>639</v>
      </c>
      <c r="G125" s="81" t="s">
        <v>497</v>
      </c>
      <c r="H125" s="81" t="s">
        <v>518</v>
      </c>
      <c r="I125" s="81" t="s">
        <v>415</v>
      </c>
    </row>
    <row r="126" spans="1:9" x14ac:dyDescent="0.3">
      <c r="A126" s="82">
        <v>12</v>
      </c>
      <c r="B126" s="82" t="s">
        <v>640</v>
      </c>
      <c r="C126" s="82" t="s">
        <v>641</v>
      </c>
      <c r="D126" s="82" t="s">
        <v>642</v>
      </c>
      <c r="E126" s="82" t="s">
        <v>367</v>
      </c>
      <c r="F126" s="82" t="s">
        <v>415</v>
      </c>
      <c r="G126" s="82" t="s">
        <v>538</v>
      </c>
      <c r="H126" s="82" t="s">
        <v>518</v>
      </c>
      <c r="I126" s="82" t="s">
        <v>415</v>
      </c>
    </row>
    <row r="127" spans="1:9" x14ac:dyDescent="0.3">
      <c r="A127" s="82">
        <v>12</v>
      </c>
      <c r="B127" s="82" t="s">
        <v>640</v>
      </c>
      <c r="C127" s="82" t="s">
        <v>643</v>
      </c>
      <c r="D127" s="82" t="s">
        <v>534</v>
      </c>
      <c r="E127" s="82" t="s">
        <v>619</v>
      </c>
      <c r="F127" s="82" t="s">
        <v>415</v>
      </c>
      <c r="G127" s="82" t="s">
        <v>538</v>
      </c>
      <c r="H127" s="82" t="s">
        <v>565</v>
      </c>
      <c r="I127" s="82" t="s">
        <v>415</v>
      </c>
    </row>
    <row r="128" spans="1:9" x14ac:dyDescent="0.3">
      <c r="A128" s="82">
        <v>12</v>
      </c>
      <c r="B128" s="82" t="s">
        <v>640</v>
      </c>
      <c r="C128" s="82" t="s">
        <v>644</v>
      </c>
      <c r="D128" s="82" t="s">
        <v>575</v>
      </c>
      <c r="E128" s="82" t="s">
        <v>619</v>
      </c>
      <c r="F128" s="82" t="s">
        <v>645</v>
      </c>
      <c r="G128" s="82" t="s">
        <v>538</v>
      </c>
      <c r="H128" s="82" t="s">
        <v>518</v>
      </c>
      <c r="I128" s="82" t="s">
        <v>415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
  <sheetViews>
    <sheetView workbookViewId="0">
      <selection activeCell="B28" sqref="B28"/>
    </sheetView>
  </sheetViews>
  <sheetFormatPr defaultRowHeight="14.4" x14ac:dyDescent="0.3"/>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499984740745262"/>
  </sheetPr>
  <dimension ref="A1:V200"/>
  <sheetViews>
    <sheetView topLeftCell="A177" workbookViewId="0">
      <selection activeCell="K3" sqref="K3:K200"/>
    </sheetView>
  </sheetViews>
  <sheetFormatPr defaultRowHeight="14.4" x14ac:dyDescent="0.3"/>
  <cols>
    <col min="1" max="1" width="8.88671875" style="70"/>
    <col min="2" max="2" width="14.88671875" style="70" bestFit="1" customWidth="1"/>
    <col min="3" max="3" width="29" style="70" customWidth="1"/>
    <col min="4" max="4" width="12.44140625" style="70" customWidth="1"/>
    <col min="5" max="5" width="8.88671875" style="70"/>
    <col min="6" max="6" width="10.5546875" style="70" bestFit="1" customWidth="1"/>
    <col min="7" max="7" width="5.88671875" style="70" customWidth="1"/>
    <col min="8" max="8" width="10.5546875" style="70" bestFit="1" customWidth="1"/>
    <col min="9" max="9" width="8.77734375" style="70" bestFit="1" customWidth="1"/>
    <col min="10" max="10" width="51.5546875" style="70" customWidth="1"/>
    <col min="11" max="11" width="9.6640625" style="70" customWidth="1"/>
    <col min="12" max="12" width="24" style="70" bestFit="1" customWidth="1"/>
    <col min="13" max="13" width="12.44140625" style="70" customWidth="1"/>
    <col min="14" max="14" width="255.77734375" style="70" bestFit="1" customWidth="1"/>
    <col min="15" max="15" width="51.5546875" style="70" bestFit="1" customWidth="1"/>
    <col min="16" max="16" width="72.77734375" style="70" bestFit="1" customWidth="1"/>
    <col min="17" max="17" width="79.44140625" style="70" bestFit="1" customWidth="1"/>
    <col min="18" max="18" width="117.21875" style="70" bestFit="1" customWidth="1"/>
    <col min="19" max="19" width="222.21875" style="70" bestFit="1" customWidth="1"/>
    <col min="20" max="20" width="8.88671875" style="70"/>
    <col min="21" max="21" width="6.44140625" style="70" bestFit="1" customWidth="1"/>
    <col min="22" max="22" width="80.88671875" style="70" bestFit="1" customWidth="1"/>
    <col min="23" max="16384" width="8.88671875" style="70"/>
  </cols>
  <sheetData>
    <row r="1" spans="1:22" ht="42" x14ac:dyDescent="0.3">
      <c r="A1" s="116" t="s">
        <v>789</v>
      </c>
      <c r="B1" s="116" t="s">
        <v>790</v>
      </c>
      <c r="C1" s="116" t="s">
        <v>791</v>
      </c>
      <c r="D1" s="116" t="s">
        <v>792</v>
      </c>
      <c r="E1" s="116" t="s">
        <v>793</v>
      </c>
      <c r="F1" s="116" t="s">
        <v>794</v>
      </c>
      <c r="G1" s="116" t="s">
        <v>795</v>
      </c>
      <c r="H1" s="116" t="s">
        <v>796</v>
      </c>
      <c r="I1" s="117" t="s">
        <v>797</v>
      </c>
      <c r="J1" s="116" t="s">
        <v>798</v>
      </c>
      <c r="K1" s="117" t="s">
        <v>799</v>
      </c>
      <c r="L1" s="117" t="s">
        <v>800</v>
      </c>
      <c r="M1" s="116" t="s">
        <v>801</v>
      </c>
      <c r="N1" s="116"/>
      <c r="O1" s="185">
        <v>0</v>
      </c>
      <c r="P1" s="185"/>
      <c r="Q1" s="185"/>
      <c r="R1" s="185"/>
      <c r="S1" s="185"/>
      <c r="T1" s="185"/>
      <c r="U1" s="185"/>
      <c r="V1" s="185"/>
    </row>
    <row r="2" spans="1:22" x14ac:dyDescent="0.3">
      <c r="A2" s="118"/>
      <c r="B2" s="119"/>
      <c r="C2" s="119" t="s">
        <v>802</v>
      </c>
      <c r="D2" s="119"/>
      <c r="E2" s="119"/>
      <c r="F2" s="119"/>
      <c r="G2" s="119"/>
      <c r="H2" s="119"/>
      <c r="I2" s="119"/>
      <c r="J2" s="119"/>
      <c r="K2" s="119"/>
      <c r="L2" s="119"/>
      <c r="M2" s="119"/>
      <c r="N2" s="119"/>
      <c r="O2" s="119" t="s">
        <v>803</v>
      </c>
      <c r="P2" s="119" t="s">
        <v>412</v>
      </c>
      <c r="Q2" s="119" t="s">
        <v>804</v>
      </c>
      <c r="R2" s="119" t="s">
        <v>541</v>
      </c>
      <c r="S2" s="119" t="s">
        <v>805</v>
      </c>
      <c r="T2" s="119" t="s">
        <v>367</v>
      </c>
      <c r="U2" s="119" t="s">
        <v>806</v>
      </c>
      <c r="V2" s="119" t="s">
        <v>807</v>
      </c>
    </row>
    <row r="3" spans="1:22" x14ac:dyDescent="0.3">
      <c r="A3" s="120">
        <v>1</v>
      </c>
      <c r="B3" s="120">
        <v>19901899045</v>
      </c>
      <c r="C3" s="120" t="s">
        <v>19</v>
      </c>
      <c r="D3" s="120">
        <v>3731123</v>
      </c>
      <c r="E3" s="120" t="s">
        <v>374</v>
      </c>
      <c r="F3" s="121">
        <v>23654</v>
      </c>
      <c r="G3" s="120">
        <v>62</v>
      </c>
      <c r="H3" s="120" t="s">
        <v>808</v>
      </c>
      <c r="I3" s="120">
        <v>70</v>
      </c>
      <c r="J3" s="120" t="s">
        <v>809</v>
      </c>
      <c r="K3" s="120" t="s">
        <v>371</v>
      </c>
      <c r="L3" s="120" t="s">
        <v>810</v>
      </c>
      <c r="M3" s="121">
        <v>32908</v>
      </c>
      <c r="N3" s="121" t="str">
        <f>CONCATENATE(O3,",",P3,",",Q3,",",R3,",",S3,",",T3,",",U3,",",V3)</f>
        <v>PhD in Philosophy,Master in Science,Bachelor of Science,,,KCSE,KCPE,</v>
      </c>
      <c r="O3" s="120" t="s">
        <v>811</v>
      </c>
      <c r="P3" s="120" t="s">
        <v>812</v>
      </c>
      <c r="Q3" s="120" t="s">
        <v>813</v>
      </c>
      <c r="R3" s="120"/>
      <c r="S3" s="120"/>
      <c r="T3" s="120" t="s">
        <v>367</v>
      </c>
      <c r="U3" s="120" t="s">
        <v>806</v>
      </c>
      <c r="V3" s="120"/>
    </row>
    <row r="4" spans="1:22" x14ac:dyDescent="0.3">
      <c r="A4" s="120">
        <v>2</v>
      </c>
      <c r="B4" s="120">
        <v>19990495773</v>
      </c>
      <c r="C4" s="120" t="s">
        <v>20</v>
      </c>
      <c r="D4" s="120">
        <v>12701644</v>
      </c>
      <c r="E4" s="120" t="s">
        <v>381</v>
      </c>
      <c r="F4" s="120" t="s">
        <v>202</v>
      </c>
      <c r="G4" s="120">
        <v>50</v>
      </c>
      <c r="H4" s="120" t="s">
        <v>814</v>
      </c>
      <c r="I4" s="120">
        <v>60</v>
      </c>
      <c r="J4" s="120" t="s">
        <v>296</v>
      </c>
      <c r="K4" s="120" t="s">
        <v>372</v>
      </c>
      <c r="L4" s="120" t="s">
        <v>810</v>
      </c>
      <c r="M4" s="121">
        <v>36167</v>
      </c>
      <c r="N4" s="121" t="str">
        <f t="shared" ref="N4:N67" si="0">CONCATENATE(O4,",",P4,",",Q4,",",R4,",",S4,",",T4,",",U4,",",V4)</f>
        <v>,,,Diploma in HRM, Diploma PR,,KCSE,KCPE,</v>
      </c>
      <c r="O4" s="120"/>
      <c r="P4" s="120"/>
      <c r="Q4" s="120"/>
      <c r="R4" s="120" t="s">
        <v>815</v>
      </c>
      <c r="S4" s="120"/>
      <c r="T4" s="120" t="s">
        <v>367</v>
      </c>
      <c r="U4" s="120" t="s">
        <v>806</v>
      </c>
      <c r="V4" s="120"/>
    </row>
    <row r="5" spans="1:22" x14ac:dyDescent="0.3">
      <c r="A5" s="120">
        <v>3</v>
      </c>
      <c r="B5" s="120">
        <v>20114215626</v>
      </c>
      <c r="C5" s="120" t="s">
        <v>21</v>
      </c>
      <c r="D5" s="120">
        <v>13361887</v>
      </c>
      <c r="E5" s="120" t="s">
        <v>374</v>
      </c>
      <c r="F5" s="121">
        <v>26454</v>
      </c>
      <c r="G5" s="120">
        <v>53</v>
      </c>
      <c r="H5" s="120" t="s">
        <v>816</v>
      </c>
      <c r="I5" s="120">
        <v>60</v>
      </c>
      <c r="J5" s="120" t="s">
        <v>297</v>
      </c>
      <c r="K5" s="120" t="s">
        <v>372</v>
      </c>
      <c r="L5" s="120" t="s">
        <v>810</v>
      </c>
      <c r="M5" s="121">
        <v>40546</v>
      </c>
      <c r="N5" s="121" t="str">
        <f t="shared" si="0"/>
        <v>,Master in Public Policy and Administration,Bachelor of Arts,Diploma in Human Resource Management,,KCSE,KCPE,IHRM, HRMPB, KSG (Strategic Leadership Development Programme, Senior Management Course)</v>
      </c>
      <c r="O5" s="120"/>
      <c r="P5" s="122" t="s">
        <v>817</v>
      </c>
      <c r="Q5" s="123" t="s">
        <v>818</v>
      </c>
      <c r="R5" s="123" t="s">
        <v>819</v>
      </c>
      <c r="S5" s="123"/>
      <c r="T5" s="120" t="s">
        <v>367</v>
      </c>
      <c r="U5" s="120" t="s">
        <v>806</v>
      </c>
      <c r="V5" s="122" t="s">
        <v>820</v>
      </c>
    </row>
    <row r="6" spans="1:22" x14ac:dyDescent="0.3">
      <c r="A6" s="120">
        <v>4</v>
      </c>
      <c r="B6" s="120">
        <v>19990495650</v>
      </c>
      <c r="C6" s="120" t="s">
        <v>22</v>
      </c>
      <c r="D6" s="120">
        <v>13819220</v>
      </c>
      <c r="E6" s="120" t="s">
        <v>381</v>
      </c>
      <c r="F6" s="121">
        <v>27551</v>
      </c>
      <c r="G6" s="120">
        <v>49</v>
      </c>
      <c r="H6" s="120" t="s">
        <v>821</v>
      </c>
      <c r="I6" s="120">
        <v>60</v>
      </c>
      <c r="J6" s="120" t="s">
        <v>298</v>
      </c>
      <c r="K6" s="120" t="s">
        <v>372</v>
      </c>
      <c r="L6" s="120" t="s">
        <v>810</v>
      </c>
      <c r="M6" s="121">
        <v>36169</v>
      </c>
      <c r="N6" s="121" t="str">
        <f t="shared" si="0"/>
        <v>,Master of Arts in Human Resource ,Bachelor in Business Administration  in Resourse Management,Diploma in Business Administration,Diploma in Human Resource Management,Certificate in Business Management,Certificate in co-operative mangement,KCSE,KCPE,KSG ( Conduct of Meetings and Minute Writing, Corporate Governance)</v>
      </c>
      <c r="O6" s="120"/>
      <c r="P6" s="122" t="s">
        <v>822</v>
      </c>
      <c r="Q6" s="124" t="s">
        <v>823</v>
      </c>
      <c r="R6" s="123" t="s">
        <v>824</v>
      </c>
      <c r="S6" s="123" t="s">
        <v>825</v>
      </c>
      <c r="T6" s="120" t="s">
        <v>367</v>
      </c>
      <c r="U6" s="120" t="s">
        <v>806</v>
      </c>
      <c r="V6" s="120" t="s">
        <v>826</v>
      </c>
    </row>
    <row r="7" spans="1:22" x14ac:dyDescent="0.3">
      <c r="A7" s="120">
        <v>5</v>
      </c>
      <c r="B7" s="125">
        <v>20160708902</v>
      </c>
      <c r="C7" s="125" t="s">
        <v>23</v>
      </c>
      <c r="D7" s="125">
        <v>24938714</v>
      </c>
      <c r="E7" s="125" t="s">
        <v>374</v>
      </c>
      <c r="F7" s="126">
        <v>31900</v>
      </c>
      <c r="G7" s="125">
        <v>38</v>
      </c>
      <c r="H7" s="125" t="s">
        <v>827</v>
      </c>
      <c r="I7" s="120">
        <v>60</v>
      </c>
      <c r="J7" s="125" t="s">
        <v>299</v>
      </c>
      <c r="K7" s="125" t="s">
        <v>375</v>
      </c>
      <c r="L7" s="125" t="s">
        <v>810</v>
      </c>
      <c r="M7" s="126">
        <v>42377</v>
      </c>
      <c r="N7" s="121" t="str">
        <f t="shared" si="0"/>
        <v>,,Bachelor of Arts In Human Resource,,,KCSE,KCPE,</v>
      </c>
      <c r="O7" s="125"/>
      <c r="P7" s="127"/>
      <c r="Q7" s="127" t="s">
        <v>828</v>
      </c>
      <c r="R7" s="125"/>
      <c r="S7" s="125"/>
      <c r="T7" s="125" t="s">
        <v>367</v>
      </c>
      <c r="U7" s="125" t="s">
        <v>806</v>
      </c>
      <c r="V7" s="125"/>
    </row>
    <row r="8" spans="1:22" x14ac:dyDescent="0.3">
      <c r="A8" s="120">
        <v>6</v>
      </c>
      <c r="B8" s="125">
        <v>20220598180</v>
      </c>
      <c r="C8" s="125" t="s">
        <v>24</v>
      </c>
      <c r="D8" s="125">
        <v>31860798</v>
      </c>
      <c r="E8" s="125" t="s">
        <v>374</v>
      </c>
      <c r="F8" s="126">
        <v>34676</v>
      </c>
      <c r="G8" s="125">
        <v>30</v>
      </c>
      <c r="H8" s="125" t="s">
        <v>829</v>
      </c>
      <c r="I8" s="120">
        <v>60</v>
      </c>
      <c r="J8" s="125" t="s">
        <v>300</v>
      </c>
      <c r="K8" s="125" t="s">
        <v>375</v>
      </c>
      <c r="L8" s="125" t="s">
        <v>810</v>
      </c>
      <c r="M8" s="126">
        <v>44563</v>
      </c>
      <c r="N8" s="121" t="str">
        <f t="shared" si="0"/>
        <v>,,Bachelor of Business Administration,with IT(Finance Option),,,KCSE,KCPE,</v>
      </c>
      <c r="O8" s="125"/>
      <c r="P8" s="127"/>
      <c r="Q8" s="127" t="s">
        <v>830</v>
      </c>
      <c r="R8" s="125"/>
      <c r="S8" s="125"/>
      <c r="T8" s="125" t="s">
        <v>367</v>
      </c>
      <c r="U8" s="125" t="s">
        <v>806</v>
      </c>
      <c r="V8" s="125"/>
    </row>
    <row r="9" spans="1:22" x14ac:dyDescent="0.3">
      <c r="A9" s="120">
        <v>7</v>
      </c>
      <c r="B9" s="125">
        <v>20121211099</v>
      </c>
      <c r="C9" s="125" t="s">
        <v>25</v>
      </c>
      <c r="D9" s="125">
        <v>13783232</v>
      </c>
      <c r="E9" s="125" t="s">
        <v>374</v>
      </c>
      <c r="F9" s="125" t="s">
        <v>203</v>
      </c>
      <c r="G9" s="125">
        <v>51</v>
      </c>
      <c r="H9" s="125" t="s">
        <v>831</v>
      </c>
      <c r="I9" s="125">
        <v>60</v>
      </c>
      <c r="J9" s="125" t="s">
        <v>301</v>
      </c>
      <c r="K9" s="125" t="s">
        <v>378</v>
      </c>
      <c r="L9" s="125" t="s">
        <v>810</v>
      </c>
      <c r="M9" s="126">
        <v>40913</v>
      </c>
      <c r="N9" s="121" t="str">
        <f t="shared" si="0"/>
        <v>,,,,Certificate in Purchasing and Supplies Management ,KCSE,KCPE,</v>
      </c>
      <c r="O9" s="125"/>
      <c r="P9" s="125"/>
      <c r="Q9" s="125"/>
      <c r="R9" s="127"/>
      <c r="S9" s="127" t="s">
        <v>832</v>
      </c>
      <c r="T9" s="125" t="s">
        <v>367</v>
      </c>
      <c r="U9" s="125" t="s">
        <v>806</v>
      </c>
      <c r="V9" s="125"/>
    </row>
    <row r="10" spans="1:22" x14ac:dyDescent="0.3">
      <c r="A10" s="120">
        <v>8</v>
      </c>
      <c r="B10" s="125">
        <v>19990495812</v>
      </c>
      <c r="C10" s="125" t="s">
        <v>26</v>
      </c>
      <c r="D10" s="125">
        <v>20257607</v>
      </c>
      <c r="E10" s="125" t="s">
        <v>381</v>
      </c>
      <c r="F10" s="125" t="s">
        <v>204</v>
      </c>
      <c r="G10" s="125">
        <v>48</v>
      </c>
      <c r="H10" s="125" t="s">
        <v>833</v>
      </c>
      <c r="I10" s="120">
        <v>60</v>
      </c>
      <c r="J10" s="125" t="s">
        <v>302</v>
      </c>
      <c r="K10" s="125" t="s">
        <v>376</v>
      </c>
      <c r="L10" s="125" t="s">
        <v>810</v>
      </c>
      <c r="M10" s="126">
        <v>36166</v>
      </c>
      <c r="N10" s="121" t="str">
        <f t="shared" si="0"/>
        <v>,,Higher Diploma in Archives and Records  Management,,,KCSE,KCPE,</v>
      </c>
      <c r="O10" s="125"/>
      <c r="P10" s="125"/>
      <c r="Q10" s="127" t="s">
        <v>834</v>
      </c>
      <c r="R10" s="127"/>
      <c r="S10" s="125"/>
      <c r="T10" s="125" t="s">
        <v>367</v>
      </c>
      <c r="U10" s="125" t="s">
        <v>806</v>
      </c>
      <c r="V10" s="125"/>
    </row>
    <row r="11" spans="1:22" x14ac:dyDescent="0.3">
      <c r="A11" s="120">
        <v>9</v>
      </c>
      <c r="B11" s="125">
        <v>20077018333</v>
      </c>
      <c r="C11" s="125" t="s">
        <v>27</v>
      </c>
      <c r="D11" s="125">
        <v>10998397</v>
      </c>
      <c r="E11" s="125" t="s">
        <v>381</v>
      </c>
      <c r="F11" s="125" t="s">
        <v>205</v>
      </c>
      <c r="G11" s="125">
        <v>53</v>
      </c>
      <c r="H11" s="125" t="s">
        <v>835</v>
      </c>
      <c r="I11" s="120">
        <v>60</v>
      </c>
      <c r="J11" s="125" t="s">
        <v>303</v>
      </c>
      <c r="K11" s="125" t="s">
        <v>377</v>
      </c>
      <c r="L11" s="125" t="s">
        <v>810</v>
      </c>
      <c r="M11" s="126">
        <v>39083</v>
      </c>
      <c r="N11" s="121" t="str">
        <f t="shared" si="0"/>
        <v>,,,Diploma in Telephone Receptionist,,KCSE,KCPE,</v>
      </c>
      <c r="O11" s="125"/>
      <c r="P11" s="125"/>
      <c r="Q11" s="125"/>
      <c r="R11" s="127" t="s">
        <v>836</v>
      </c>
      <c r="S11" s="125"/>
      <c r="T11" s="125" t="s">
        <v>367</v>
      </c>
      <c r="U11" s="125" t="s">
        <v>806</v>
      </c>
      <c r="V11" s="125"/>
    </row>
    <row r="12" spans="1:22" x14ac:dyDescent="0.3">
      <c r="A12" s="120">
        <v>10</v>
      </c>
      <c r="B12" s="125">
        <v>20077018202</v>
      </c>
      <c r="C12" s="125" t="s">
        <v>28</v>
      </c>
      <c r="D12" s="125">
        <v>13133273</v>
      </c>
      <c r="E12" s="125" t="s">
        <v>381</v>
      </c>
      <c r="F12" s="125" t="s">
        <v>206</v>
      </c>
      <c r="G12" s="125">
        <v>51</v>
      </c>
      <c r="H12" s="125" t="s">
        <v>837</v>
      </c>
      <c r="I12" s="120">
        <v>60</v>
      </c>
      <c r="J12" s="125" t="s">
        <v>304</v>
      </c>
      <c r="K12" s="125" t="s">
        <v>378</v>
      </c>
      <c r="L12" s="125" t="s">
        <v>810</v>
      </c>
      <c r="M12" s="126">
        <v>39417</v>
      </c>
      <c r="N12" s="121" t="str">
        <f t="shared" si="0"/>
        <v>,,,,Certificate in Telephone Teceptionist and Supervision ,KCSE,KCPE,</v>
      </c>
      <c r="O12" s="125"/>
      <c r="P12" s="125"/>
      <c r="Q12" s="125"/>
      <c r="R12" s="125"/>
      <c r="S12" s="127" t="s">
        <v>838</v>
      </c>
      <c r="T12" s="125" t="s">
        <v>367</v>
      </c>
      <c r="U12" s="125" t="s">
        <v>806</v>
      </c>
      <c r="V12" s="125"/>
    </row>
    <row r="13" spans="1:22" x14ac:dyDescent="0.3">
      <c r="A13" s="120">
        <v>11</v>
      </c>
      <c r="B13" s="125">
        <v>20220598130</v>
      </c>
      <c r="C13" s="125" t="s">
        <v>29</v>
      </c>
      <c r="D13" s="125">
        <v>35698228</v>
      </c>
      <c r="E13" s="125" t="s">
        <v>381</v>
      </c>
      <c r="F13" s="125" t="s">
        <v>207</v>
      </c>
      <c r="G13" s="125">
        <v>27</v>
      </c>
      <c r="H13" s="125" t="s">
        <v>829</v>
      </c>
      <c r="I13" s="120">
        <v>60</v>
      </c>
      <c r="J13" s="125" t="s">
        <v>305</v>
      </c>
      <c r="K13" s="125" t="s">
        <v>378</v>
      </c>
      <c r="L13" s="125" t="s">
        <v>810</v>
      </c>
      <c r="M13" s="126">
        <v>44563</v>
      </c>
      <c r="N13" s="121" t="str">
        <f t="shared" si="0"/>
        <v>,,,,,KCSE,KCPE,</v>
      </c>
      <c r="O13" s="125"/>
      <c r="P13" s="125"/>
      <c r="Q13" s="125"/>
      <c r="R13" s="127"/>
      <c r="S13" s="125"/>
      <c r="T13" s="125" t="s">
        <v>367</v>
      </c>
      <c r="U13" s="125" t="s">
        <v>806</v>
      </c>
      <c r="V13" s="125"/>
    </row>
    <row r="14" spans="1:22" x14ac:dyDescent="0.3">
      <c r="A14" s="120">
        <v>12</v>
      </c>
      <c r="B14" s="125">
        <v>20077018391</v>
      </c>
      <c r="C14" s="125" t="s">
        <v>30</v>
      </c>
      <c r="D14" s="125">
        <v>11625899</v>
      </c>
      <c r="E14" s="125" t="s">
        <v>381</v>
      </c>
      <c r="F14" s="126">
        <v>26303</v>
      </c>
      <c r="G14" s="125">
        <v>52</v>
      </c>
      <c r="H14" s="125" t="s">
        <v>839</v>
      </c>
      <c r="I14" s="120">
        <v>60</v>
      </c>
      <c r="J14" s="125" t="s">
        <v>306</v>
      </c>
      <c r="K14" s="125" t="s">
        <v>379</v>
      </c>
      <c r="L14" s="125" t="s">
        <v>810</v>
      </c>
      <c r="M14" s="126">
        <v>39083</v>
      </c>
      <c r="N14" s="121" t="str">
        <f t="shared" si="0"/>
        <v>,,,Diploma in Human Resource,,KCSE,KCPE,</v>
      </c>
      <c r="O14" s="125"/>
      <c r="P14" s="125"/>
      <c r="Q14" s="125"/>
      <c r="R14" s="127" t="s">
        <v>840</v>
      </c>
      <c r="S14" s="125"/>
      <c r="T14" s="125" t="s">
        <v>367</v>
      </c>
      <c r="U14" s="125" t="s">
        <v>806</v>
      </c>
      <c r="V14" s="125"/>
    </row>
    <row r="15" spans="1:22" x14ac:dyDescent="0.3">
      <c r="A15" s="120">
        <v>13</v>
      </c>
      <c r="B15" s="125">
        <v>20240300989</v>
      </c>
      <c r="C15" s="125" t="s">
        <v>31</v>
      </c>
      <c r="D15" s="125">
        <v>36675697</v>
      </c>
      <c r="E15" s="125" t="s">
        <v>381</v>
      </c>
      <c r="F15" s="125" t="s">
        <v>208</v>
      </c>
      <c r="G15" s="125">
        <v>26</v>
      </c>
      <c r="H15" s="125" t="s">
        <v>841</v>
      </c>
      <c r="I15" s="120">
        <v>60</v>
      </c>
      <c r="J15" s="125" t="s">
        <v>306</v>
      </c>
      <c r="K15" s="125" t="s">
        <v>379</v>
      </c>
      <c r="L15" s="125" t="s">
        <v>810</v>
      </c>
      <c r="M15" s="126">
        <v>45334</v>
      </c>
      <c r="N15" s="121" t="str">
        <f t="shared" si="0"/>
        <v>,,,,,KCSE,KCPE,</v>
      </c>
      <c r="O15" s="125"/>
      <c r="P15" s="125"/>
      <c r="Q15" s="125"/>
      <c r="R15" s="125"/>
      <c r="S15" s="125"/>
      <c r="T15" s="125" t="s">
        <v>367</v>
      </c>
      <c r="U15" s="125" t="s">
        <v>806</v>
      </c>
      <c r="V15" s="125"/>
    </row>
    <row r="16" spans="1:22" x14ac:dyDescent="0.3">
      <c r="A16" s="118"/>
      <c r="B16" s="118"/>
      <c r="C16" s="118"/>
      <c r="D16" s="119" t="s">
        <v>842</v>
      </c>
      <c r="E16" s="118"/>
      <c r="F16" s="118"/>
      <c r="G16" s="118"/>
      <c r="H16" s="118"/>
      <c r="I16" s="118"/>
      <c r="J16" s="118"/>
      <c r="K16" s="118"/>
      <c r="L16" s="118"/>
      <c r="M16" s="118"/>
      <c r="N16" s="121" t="str">
        <f t="shared" si="0"/>
        <v>,,,,,,,</v>
      </c>
      <c r="O16" s="118"/>
      <c r="P16" s="118"/>
      <c r="Q16" s="118"/>
      <c r="R16" s="118"/>
      <c r="S16" s="118"/>
      <c r="T16" s="118"/>
      <c r="U16" s="118"/>
      <c r="V16" s="118"/>
    </row>
    <row r="17" spans="1:22" x14ac:dyDescent="0.3">
      <c r="A17" s="120">
        <v>14</v>
      </c>
      <c r="B17" s="120">
        <v>20077017769</v>
      </c>
      <c r="C17" s="120" t="s">
        <v>32</v>
      </c>
      <c r="D17" s="120">
        <v>21963939</v>
      </c>
      <c r="E17" s="120" t="s">
        <v>381</v>
      </c>
      <c r="F17" s="121">
        <v>29587</v>
      </c>
      <c r="G17" s="120">
        <v>44</v>
      </c>
      <c r="H17" s="120" t="s">
        <v>843</v>
      </c>
      <c r="I17" s="120">
        <v>68</v>
      </c>
      <c r="J17" s="120" t="s">
        <v>307</v>
      </c>
      <c r="K17" s="120" t="s">
        <v>380</v>
      </c>
      <c r="L17" s="120" t="s">
        <v>810</v>
      </c>
      <c r="M17" s="121">
        <v>39427</v>
      </c>
      <c r="N17" s="121" t="str">
        <f t="shared" si="0"/>
        <v>Doctor of Philosophy,Master of Science in Medical physiology,Bachelor o of veterinary medicine,,,KCSE,KCPE,Certificate of Registration of a Veterinary Surgeon</v>
      </c>
      <c r="O17" s="120" t="s">
        <v>844</v>
      </c>
      <c r="P17" s="124" t="s">
        <v>845</v>
      </c>
      <c r="Q17" s="122" t="s">
        <v>846</v>
      </c>
      <c r="R17" s="120"/>
      <c r="S17" s="120"/>
      <c r="T17" s="120" t="s">
        <v>367</v>
      </c>
      <c r="U17" s="120" t="s">
        <v>806</v>
      </c>
      <c r="V17" s="122" t="s">
        <v>847</v>
      </c>
    </row>
    <row r="18" spans="1:22" x14ac:dyDescent="0.3">
      <c r="A18" s="120">
        <v>15</v>
      </c>
      <c r="B18" s="125">
        <v>20030731445</v>
      </c>
      <c r="C18" s="125" t="s">
        <v>33</v>
      </c>
      <c r="D18" s="125">
        <v>20742989</v>
      </c>
      <c r="E18" s="125" t="s">
        <v>374</v>
      </c>
      <c r="F18" s="126">
        <v>28408</v>
      </c>
      <c r="G18" s="125">
        <v>47</v>
      </c>
      <c r="H18" s="125" t="s">
        <v>848</v>
      </c>
      <c r="I18" s="125">
        <v>60</v>
      </c>
      <c r="J18" s="125" t="s">
        <v>308</v>
      </c>
      <c r="K18" s="125" t="s">
        <v>374</v>
      </c>
      <c r="L18" s="125" t="s">
        <v>810</v>
      </c>
      <c r="M18" s="126">
        <v>37867</v>
      </c>
      <c r="N18" s="121" t="str">
        <f t="shared" si="0"/>
        <v>,Master of Science in Medical Microbiology,Bachelor of Science in Public Health,Diploma in Medical  Laboratory Technology,,KCSE,KCPE,</v>
      </c>
      <c r="O18" s="125"/>
      <c r="P18" s="128" t="s">
        <v>849</v>
      </c>
      <c r="Q18" s="128" t="s">
        <v>850</v>
      </c>
      <c r="R18" s="127" t="s">
        <v>851</v>
      </c>
      <c r="S18" s="125"/>
      <c r="T18" s="125" t="s">
        <v>367</v>
      </c>
      <c r="U18" s="125" t="s">
        <v>806</v>
      </c>
      <c r="V18" s="125"/>
    </row>
    <row r="19" spans="1:22" x14ac:dyDescent="0.3">
      <c r="A19" s="120">
        <v>16</v>
      </c>
      <c r="B19" s="125">
        <v>20178600817</v>
      </c>
      <c r="C19" s="125" t="s">
        <v>34</v>
      </c>
      <c r="D19" s="125">
        <v>28951215</v>
      </c>
      <c r="E19" s="125" t="s">
        <v>374</v>
      </c>
      <c r="F19" s="125" t="s">
        <v>209</v>
      </c>
      <c r="G19" s="125">
        <v>33</v>
      </c>
      <c r="H19" s="125" t="s">
        <v>852</v>
      </c>
      <c r="I19" s="125">
        <v>60</v>
      </c>
      <c r="J19" s="125" t="s">
        <v>309</v>
      </c>
      <c r="K19" s="125" t="s">
        <v>374</v>
      </c>
      <c r="L19" s="125" t="s">
        <v>810</v>
      </c>
      <c r="M19" s="126">
        <v>42747</v>
      </c>
      <c r="N19" s="121" t="str">
        <f t="shared" si="0"/>
        <v>,Master of Science in Veterinary Epidemiology and Economics.,Bachelor of veterinary medicine,,,KCSE,KCPE,Certificate of Registration of a Veterinary Surgeon</v>
      </c>
      <c r="O19" s="125"/>
      <c r="P19" s="128" t="s">
        <v>853</v>
      </c>
      <c r="Q19" s="128" t="s">
        <v>854</v>
      </c>
      <c r="R19" s="125"/>
      <c r="S19" s="127"/>
      <c r="T19" s="125" t="s">
        <v>367</v>
      </c>
      <c r="U19" s="125" t="s">
        <v>806</v>
      </c>
      <c r="V19" s="128" t="s">
        <v>847</v>
      </c>
    </row>
    <row r="20" spans="1:22" x14ac:dyDescent="0.3">
      <c r="A20" s="120">
        <v>17</v>
      </c>
      <c r="B20" s="125">
        <v>20178600833</v>
      </c>
      <c r="C20" s="125" t="s">
        <v>35</v>
      </c>
      <c r="D20" s="125">
        <v>28189079</v>
      </c>
      <c r="E20" s="125" t="s">
        <v>381</v>
      </c>
      <c r="F20" s="125" t="s">
        <v>210</v>
      </c>
      <c r="G20" s="125">
        <v>34</v>
      </c>
      <c r="H20" s="125" t="s">
        <v>852</v>
      </c>
      <c r="I20" s="125">
        <v>60</v>
      </c>
      <c r="J20" s="125" t="s">
        <v>309</v>
      </c>
      <c r="K20" s="125" t="s">
        <v>374</v>
      </c>
      <c r="L20" s="125" t="s">
        <v>810</v>
      </c>
      <c r="M20" s="126">
        <v>42747</v>
      </c>
      <c r="N20" s="121" t="str">
        <f t="shared" si="0"/>
        <v>,Master of Science of Health of Acquatic Animal Resources,Bachelor of veterinary medicine,,,KCSE,KCPE,Certificate of Registration of a Veterinary Surgeon</v>
      </c>
      <c r="O20" s="125"/>
      <c r="P20" s="128" t="s">
        <v>855</v>
      </c>
      <c r="Q20" s="128" t="s">
        <v>854</v>
      </c>
      <c r="R20" s="125"/>
      <c r="S20" s="125"/>
      <c r="T20" s="125" t="s">
        <v>367</v>
      </c>
      <c r="U20" s="125" t="s">
        <v>806</v>
      </c>
      <c r="V20" s="127" t="s">
        <v>847</v>
      </c>
    </row>
    <row r="21" spans="1:22" x14ac:dyDescent="0.3">
      <c r="A21" s="120">
        <v>18</v>
      </c>
      <c r="B21" s="125">
        <v>20010746137</v>
      </c>
      <c r="C21" s="125" t="s">
        <v>36</v>
      </c>
      <c r="D21" s="125">
        <v>13634152</v>
      </c>
      <c r="E21" s="125" t="s">
        <v>381</v>
      </c>
      <c r="F21" s="125" t="s">
        <v>211</v>
      </c>
      <c r="G21" s="125">
        <v>49</v>
      </c>
      <c r="H21" s="125" t="s">
        <v>856</v>
      </c>
      <c r="I21" s="125">
        <v>60</v>
      </c>
      <c r="J21" s="125" t="s">
        <v>310</v>
      </c>
      <c r="K21" s="125" t="s">
        <v>375</v>
      </c>
      <c r="L21" s="125" t="s">
        <v>810</v>
      </c>
      <c r="M21" s="126">
        <v>36896</v>
      </c>
      <c r="N21" s="121" t="str">
        <f t="shared" si="0"/>
        <v>,Master of Science in Molecular Biology and Bionformatics,Bachelor of Science in Medical Microbiology,Higher Diploma in Biotechnology, Diploma in Applied Biology.,Certificate in Science Laboratory Technician.,KCSE,KCPE,</v>
      </c>
      <c r="O21" s="125"/>
      <c r="P21" s="128" t="s">
        <v>857</v>
      </c>
      <c r="Q21" s="129" t="s">
        <v>858</v>
      </c>
      <c r="R21" s="127" t="s">
        <v>859</v>
      </c>
      <c r="S21" s="127" t="s">
        <v>860</v>
      </c>
      <c r="T21" s="125" t="s">
        <v>367</v>
      </c>
      <c r="U21" s="125" t="s">
        <v>806</v>
      </c>
      <c r="V21" s="125"/>
    </row>
    <row r="22" spans="1:22" x14ac:dyDescent="0.3">
      <c r="A22" s="120">
        <v>19</v>
      </c>
      <c r="B22" s="125">
        <v>20220597833</v>
      </c>
      <c r="C22" s="125" t="s">
        <v>37</v>
      </c>
      <c r="D22" s="125">
        <v>34811881</v>
      </c>
      <c r="E22" s="125" t="s">
        <v>381</v>
      </c>
      <c r="F22" s="125" t="s">
        <v>212</v>
      </c>
      <c r="G22" s="125">
        <v>28</v>
      </c>
      <c r="H22" s="125" t="s">
        <v>829</v>
      </c>
      <c r="I22" s="125">
        <v>60</v>
      </c>
      <c r="J22" s="125" t="s">
        <v>311</v>
      </c>
      <c r="K22" s="125" t="s">
        <v>375</v>
      </c>
      <c r="L22" s="125" t="s">
        <v>810</v>
      </c>
      <c r="M22" s="126">
        <v>44564</v>
      </c>
      <c r="N22" s="121" t="str">
        <f t="shared" si="0"/>
        <v>,,Bachelor of Science in Animal Science,,,KCSE,KCPE,</v>
      </c>
      <c r="O22" s="125"/>
      <c r="P22" s="125"/>
      <c r="Q22" s="127" t="s">
        <v>861</v>
      </c>
      <c r="R22" s="125"/>
      <c r="S22" s="125"/>
      <c r="T22" s="125" t="s">
        <v>367</v>
      </c>
      <c r="U22" s="125" t="s">
        <v>806</v>
      </c>
      <c r="V22" s="125"/>
    </row>
    <row r="23" spans="1:22" x14ac:dyDescent="0.3">
      <c r="A23" s="120">
        <v>20</v>
      </c>
      <c r="B23" s="125">
        <v>20089224039</v>
      </c>
      <c r="C23" s="125" t="s">
        <v>38</v>
      </c>
      <c r="D23" s="125">
        <v>22245948</v>
      </c>
      <c r="E23" s="125" t="s">
        <v>381</v>
      </c>
      <c r="F23" s="126">
        <v>28678</v>
      </c>
      <c r="G23" s="125">
        <v>46</v>
      </c>
      <c r="H23" s="125" t="s">
        <v>862</v>
      </c>
      <c r="I23" s="125">
        <v>60</v>
      </c>
      <c r="J23" s="125" t="s">
        <v>312</v>
      </c>
      <c r="K23" s="125" t="s">
        <v>377</v>
      </c>
      <c r="L23" s="125" t="s">
        <v>810</v>
      </c>
      <c r="M23" s="126">
        <v>39479</v>
      </c>
      <c r="N23" s="121" t="str">
        <f t="shared" si="0"/>
        <v>,,,,Certificate in Animal Health,KCSE,KCPE,Certificate in Baboon Insertable Cardiac Monitor Project</v>
      </c>
      <c r="O23" s="125"/>
      <c r="P23" s="125"/>
      <c r="Q23" s="125"/>
      <c r="R23" s="125"/>
      <c r="S23" s="127" t="s">
        <v>863</v>
      </c>
      <c r="T23" s="125" t="s">
        <v>367</v>
      </c>
      <c r="U23" s="125" t="s">
        <v>806</v>
      </c>
      <c r="V23" s="125" t="s">
        <v>864</v>
      </c>
    </row>
    <row r="24" spans="1:22" x14ac:dyDescent="0.3">
      <c r="A24" s="120">
        <v>21</v>
      </c>
      <c r="B24" s="125">
        <v>20114215537</v>
      </c>
      <c r="C24" s="125" t="s">
        <v>39</v>
      </c>
      <c r="D24" s="125">
        <v>10344158</v>
      </c>
      <c r="E24" s="125" t="s">
        <v>374</v>
      </c>
      <c r="F24" s="125" t="s">
        <v>213</v>
      </c>
      <c r="G24" s="125">
        <v>55</v>
      </c>
      <c r="H24" s="125" t="s">
        <v>865</v>
      </c>
      <c r="I24" s="125">
        <v>60</v>
      </c>
      <c r="J24" s="125" t="s">
        <v>312</v>
      </c>
      <c r="K24" s="125" t="s">
        <v>377</v>
      </c>
      <c r="L24" s="125" t="s">
        <v>810</v>
      </c>
      <c r="M24" s="126">
        <v>40549</v>
      </c>
      <c r="N24" s="121" t="str">
        <f t="shared" si="0"/>
        <v>,,Bachelor of Science of Technology and Applied Biology,Diploma in Technology (INDUSTRIAL AND APPLIED BIOLOGY),Certificate in Medical  Laboratory  Science lab,KCSE,KCPE,</v>
      </c>
      <c r="O24" s="125"/>
      <c r="P24" s="125"/>
      <c r="Q24" s="127" t="s">
        <v>866</v>
      </c>
      <c r="R24" s="127" t="s">
        <v>867</v>
      </c>
      <c r="S24" s="127" t="s">
        <v>868</v>
      </c>
      <c r="T24" s="125" t="s">
        <v>367</v>
      </c>
      <c r="U24" s="125" t="s">
        <v>806</v>
      </c>
      <c r="V24" s="125"/>
    </row>
    <row r="25" spans="1:22" x14ac:dyDescent="0.3">
      <c r="A25" s="120">
        <v>22</v>
      </c>
      <c r="B25" s="125">
        <v>20142576250</v>
      </c>
      <c r="C25" s="125" t="s">
        <v>40</v>
      </c>
      <c r="D25" s="125">
        <v>26426983</v>
      </c>
      <c r="E25" s="125" t="s">
        <v>381</v>
      </c>
      <c r="F25" s="126">
        <v>32421</v>
      </c>
      <c r="G25" s="125">
        <v>36</v>
      </c>
      <c r="H25" s="125" t="s">
        <v>869</v>
      </c>
      <c r="I25" s="125">
        <v>60</v>
      </c>
      <c r="J25" s="125" t="s">
        <v>313</v>
      </c>
      <c r="K25" s="125" t="s">
        <v>377</v>
      </c>
      <c r="L25" s="125" t="s">
        <v>810</v>
      </c>
      <c r="M25" s="126">
        <v>41640</v>
      </c>
      <c r="N25" s="121" t="str">
        <f t="shared" si="0"/>
        <v>,,Bachelor of Science of Technology in Biotechnology,Diploma in Applied Biology,,KCSE,KCPE,</v>
      </c>
      <c r="O25" s="125"/>
      <c r="P25" s="125"/>
      <c r="Q25" s="127" t="s">
        <v>870</v>
      </c>
      <c r="R25" s="127" t="s">
        <v>871</v>
      </c>
      <c r="S25" s="125"/>
      <c r="T25" s="125" t="s">
        <v>367</v>
      </c>
      <c r="U25" s="125" t="s">
        <v>806</v>
      </c>
      <c r="V25" s="125"/>
    </row>
    <row r="26" spans="1:22" x14ac:dyDescent="0.3">
      <c r="A26" s="120">
        <v>23</v>
      </c>
      <c r="B26" s="125">
        <v>20152655226</v>
      </c>
      <c r="C26" s="125" t="s">
        <v>41</v>
      </c>
      <c r="D26" s="125">
        <v>25584197</v>
      </c>
      <c r="E26" s="125" t="s">
        <v>374</v>
      </c>
      <c r="F26" s="126">
        <v>31963</v>
      </c>
      <c r="G26" s="125">
        <v>37</v>
      </c>
      <c r="H26" s="125" t="s">
        <v>872</v>
      </c>
      <c r="I26" s="125">
        <v>60</v>
      </c>
      <c r="J26" s="125" t="s">
        <v>312</v>
      </c>
      <c r="K26" s="125" t="s">
        <v>377</v>
      </c>
      <c r="L26" s="125" t="s">
        <v>810</v>
      </c>
      <c r="M26" s="125" t="s">
        <v>873</v>
      </c>
      <c r="N26" s="121" t="str">
        <f t="shared" si="0"/>
        <v>,,,Diploma in Technology (Industrial and Applied Biology,,KCSE,KCPE,</v>
      </c>
      <c r="O26" s="125"/>
      <c r="P26" s="125"/>
      <c r="Q26" s="125"/>
      <c r="R26" s="127" t="s">
        <v>874</v>
      </c>
      <c r="S26" s="125"/>
      <c r="T26" s="125" t="s">
        <v>367</v>
      </c>
      <c r="U26" s="125" t="s">
        <v>806</v>
      </c>
      <c r="V26" s="125"/>
    </row>
    <row r="27" spans="1:22" x14ac:dyDescent="0.3">
      <c r="A27" s="120">
        <v>24</v>
      </c>
      <c r="B27" s="125">
        <v>20178600980</v>
      </c>
      <c r="C27" s="125" t="s">
        <v>42</v>
      </c>
      <c r="D27" s="125">
        <v>22538194</v>
      </c>
      <c r="E27" s="125" t="s">
        <v>381</v>
      </c>
      <c r="F27" s="125" t="s">
        <v>214</v>
      </c>
      <c r="G27" s="125">
        <v>44</v>
      </c>
      <c r="H27" s="125" t="s">
        <v>875</v>
      </c>
      <c r="I27" s="125">
        <v>60</v>
      </c>
      <c r="J27" s="125" t="s">
        <v>312</v>
      </c>
      <c r="K27" s="125" t="s">
        <v>377</v>
      </c>
      <c r="L27" s="125" t="s">
        <v>810</v>
      </c>
      <c r="M27" s="126">
        <v>42830</v>
      </c>
      <c r="N27" s="121" t="str">
        <f t="shared" si="0"/>
        <v>,,,Diploma in Community Nutrition,,KCSE,KCPE,</v>
      </c>
      <c r="O27" s="125"/>
      <c r="P27" s="125"/>
      <c r="Q27" s="125"/>
      <c r="R27" s="127" t="s">
        <v>876</v>
      </c>
      <c r="S27" s="125"/>
      <c r="T27" s="125" t="s">
        <v>367</v>
      </c>
      <c r="U27" s="125" t="s">
        <v>806</v>
      </c>
      <c r="V27" s="125"/>
    </row>
    <row r="28" spans="1:22" x14ac:dyDescent="0.3">
      <c r="A28" s="120">
        <v>25</v>
      </c>
      <c r="B28" s="125">
        <v>19920654349</v>
      </c>
      <c r="C28" s="125" t="s">
        <v>43</v>
      </c>
      <c r="D28" s="125">
        <v>11652898</v>
      </c>
      <c r="E28" s="125" t="s">
        <v>374</v>
      </c>
      <c r="F28" s="126">
        <v>25365</v>
      </c>
      <c r="G28" s="125">
        <v>55</v>
      </c>
      <c r="H28" s="125" t="s">
        <v>877</v>
      </c>
      <c r="I28" s="125">
        <v>60</v>
      </c>
      <c r="J28" s="125" t="s">
        <v>314</v>
      </c>
      <c r="K28" s="125" t="s">
        <v>378</v>
      </c>
      <c r="L28" s="125" t="s">
        <v>810</v>
      </c>
      <c r="M28" s="126">
        <v>33640</v>
      </c>
      <c r="N28" s="121" t="str">
        <f t="shared" si="0"/>
        <v>,,,,,KCSE,KCPE,Certificate in Baboon Insertable Cardiac Monitor Project</v>
      </c>
      <c r="O28" s="125"/>
      <c r="P28" s="125"/>
      <c r="Q28" s="125"/>
      <c r="R28" s="125"/>
      <c r="S28" s="125"/>
      <c r="T28" s="125" t="s">
        <v>367</v>
      </c>
      <c r="U28" s="125" t="s">
        <v>806</v>
      </c>
      <c r="V28" s="125" t="s">
        <v>864</v>
      </c>
    </row>
    <row r="29" spans="1:22" x14ac:dyDescent="0.3">
      <c r="A29" s="120">
        <v>26</v>
      </c>
      <c r="B29" s="125">
        <v>19980490640</v>
      </c>
      <c r="C29" s="125" t="s">
        <v>44</v>
      </c>
      <c r="D29" s="125">
        <v>13706972</v>
      </c>
      <c r="E29" s="125" t="s">
        <v>381</v>
      </c>
      <c r="F29" s="125" t="s">
        <v>215</v>
      </c>
      <c r="G29" s="125">
        <v>49</v>
      </c>
      <c r="H29" s="125" t="s">
        <v>878</v>
      </c>
      <c r="I29" s="125">
        <v>60</v>
      </c>
      <c r="J29" s="125" t="s">
        <v>315</v>
      </c>
      <c r="K29" s="125" t="s">
        <v>378</v>
      </c>
      <c r="L29" s="125" t="s">
        <v>810</v>
      </c>
      <c r="M29" s="126">
        <v>36016</v>
      </c>
      <c r="N29" s="121" t="str">
        <f t="shared" si="0"/>
        <v>,,,,Certificate in Medical Laboratory Science ,KCSE,KCPE,</v>
      </c>
      <c r="O29" s="125"/>
      <c r="P29" s="125"/>
      <c r="Q29" s="125"/>
      <c r="R29" s="125"/>
      <c r="S29" s="127" t="s">
        <v>879</v>
      </c>
      <c r="T29" s="125" t="s">
        <v>367</v>
      </c>
      <c r="U29" s="125" t="s">
        <v>806</v>
      </c>
      <c r="V29" s="125"/>
    </row>
    <row r="30" spans="1:22" x14ac:dyDescent="0.3">
      <c r="A30" s="120">
        <v>27</v>
      </c>
      <c r="B30" s="125">
        <v>20060933768</v>
      </c>
      <c r="C30" s="125" t="s">
        <v>45</v>
      </c>
      <c r="D30" s="125">
        <v>13501715</v>
      </c>
      <c r="E30" s="125" t="s">
        <v>374</v>
      </c>
      <c r="F30" s="126">
        <v>27157</v>
      </c>
      <c r="G30" s="125">
        <v>50</v>
      </c>
      <c r="H30" s="125" t="s">
        <v>880</v>
      </c>
      <c r="I30" s="125">
        <v>60</v>
      </c>
      <c r="J30" s="125" t="s">
        <v>314</v>
      </c>
      <c r="K30" s="125" t="s">
        <v>378</v>
      </c>
      <c r="L30" s="125" t="s">
        <v>810</v>
      </c>
      <c r="M30" s="126">
        <v>38907</v>
      </c>
      <c r="N30" s="121" t="str">
        <f t="shared" si="0"/>
        <v>,,,,Certificate in Store Keeping,KCSE,KCPE,</v>
      </c>
      <c r="O30" s="125"/>
      <c r="P30" s="125"/>
      <c r="Q30" s="125"/>
      <c r="R30" s="125"/>
      <c r="S30" s="127" t="s">
        <v>881</v>
      </c>
      <c r="T30" s="125" t="s">
        <v>367</v>
      </c>
      <c r="U30" s="125" t="s">
        <v>806</v>
      </c>
      <c r="V30" s="125"/>
    </row>
    <row r="31" spans="1:22" x14ac:dyDescent="0.3">
      <c r="A31" s="120">
        <v>28</v>
      </c>
      <c r="B31" s="125">
        <v>20077018155</v>
      </c>
      <c r="C31" s="125" t="s">
        <v>46</v>
      </c>
      <c r="D31" s="125">
        <v>14705584</v>
      </c>
      <c r="E31" s="125" t="s">
        <v>374</v>
      </c>
      <c r="F31" s="125" t="s">
        <v>216</v>
      </c>
      <c r="G31" s="125">
        <v>48</v>
      </c>
      <c r="H31" s="125" t="s">
        <v>882</v>
      </c>
      <c r="I31" s="125">
        <v>60</v>
      </c>
      <c r="J31" s="125" t="s">
        <v>316</v>
      </c>
      <c r="K31" s="125" t="s">
        <v>378</v>
      </c>
      <c r="L31" s="125" t="s">
        <v>810</v>
      </c>
      <c r="M31" s="126">
        <v>39084</v>
      </c>
      <c r="N31" s="121" t="str">
        <f t="shared" si="0"/>
        <v>,,,,,KCSE,KCPE,</v>
      </c>
      <c r="O31" s="125"/>
      <c r="P31" s="125"/>
      <c r="Q31" s="125"/>
      <c r="R31" s="125"/>
      <c r="S31" s="125"/>
      <c r="T31" s="125" t="s">
        <v>367</v>
      </c>
      <c r="U31" s="125" t="s">
        <v>806</v>
      </c>
      <c r="V31" s="125"/>
    </row>
    <row r="32" spans="1:22" x14ac:dyDescent="0.3">
      <c r="A32" s="120">
        <v>29</v>
      </c>
      <c r="B32" s="125">
        <v>20077018309</v>
      </c>
      <c r="C32" s="125" t="s">
        <v>47</v>
      </c>
      <c r="D32" s="125">
        <v>22657472</v>
      </c>
      <c r="E32" s="125" t="s">
        <v>374</v>
      </c>
      <c r="F32" s="126">
        <v>28704</v>
      </c>
      <c r="G32" s="125">
        <v>47</v>
      </c>
      <c r="H32" s="125" t="s">
        <v>883</v>
      </c>
      <c r="I32" s="125">
        <v>60</v>
      </c>
      <c r="J32" s="125" t="s">
        <v>305</v>
      </c>
      <c r="K32" s="125" t="s">
        <v>378</v>
      </c>
      <c r="L32" s="125" t="s">
        <v>810</v>
      </c>
      <c r="M32" s="126">
        <v>39083</v>
      </c>
      <c r="N32" s="121" t="str">
        <f t="shared" si="0"/>
        <v>,,,,Certificate in Library Studies,KCSE,KCPE,</v>
      </c>
      <c r="O32" s="125"/>
      <c r="P32" s="125"/>
      <c r="Q32" s="125"/>
      <c r="R32" s="125"/>
      <c r="S32" s="127" t="s">
        <v>884</v>
      </c>
      <c r="T32" s="125" t="s">
        <v>367</v>
      </c>
      <c r="U32" s="125" t="s">
        <v>806</v>
      </c>
      <c r="V32" s="125"/>
    </row>
    <row r="33" spans="1:22" x14ac:dyDescent="0.3">
      <c r="A33" s="120">
        <v>30</v>
      </c>
      <c r="B33" s="125">
        <v>20089223821</v>
      </c>
      <c r="C33" s="125" t="s">
        <v>48</v>
      </c>
      <c r="D33" s="125">
        <v>22145871</v>
      </c>
      <c r="E33" s="125" t="s">
        <v>374</v>
      </c>
      <c r="F33" s="126">
        <v>29321</v>
      </c>
      <c r="G33" s="125">
        <v>44</v>
      </c>
      <c r="H33" s="125" t="s">
        <v>885</v>
      </c>
      <c r="I33" s="125">
        <v>60</v>
      </c>
      <c r="J33" s="125" t="s">
        <v>314</v>
      </c>
      <c r="K33" s="125" t="s">
        <v>378</v>
      </c>
      <c r="L33" s="125" t="s">
        <v>810</v>
      </c>
      <c r="M33" s="126">
        <v>39454</v>
      </c>
      <c r="N33" s="121" t="str">
        <f t="shared" si="0"/>
        <v>,,,,Certificate in Technical Education,KCSE,KCPE,</v>
      </c>
      <c r="O33" s="125"/>
      <c r="P33" s="125"/>
      <c r="Q33" s="125"/>
      <c r="R33" s="125"/>
      <c r="S33" s="127" t="s">
        <v>886</v>
      </c>
      <c r="T33" s="125" t="s">
        <v>367</v>
      </c>
      <c r="U33" s="125" t="s">
        <v>806</v>
      </c>
      <c r="V33" s="125"/>
    </row>
    <row r="34" spans="1:22" x14ac:dyDescent="0.3">
      <c r="A34" s="120">
        <v>31</v>
      </c>
      <c r="B34" s="125">
        <v>20210646208</v>
      </c>
      <c r="C34" s="125" t="s">
        <v>49</v>
      </c>
      <c r="D34" s="125">
        <v>14620321</v>
      </c>
      <c r="E34" s="125" t="s">
        <v>374</v>
      </c>
      <c r="F34" s="125" t="s">
        <v>217</v>
      </c>
      <c r="G34" s="125">
        <v>49</v>
      </c>
      <c r="H34" s="125" t="s">
        <v>887</v>
      </c>
      <c r="I34" s="125">
        <v>60</v>
      </c>
      <c r="J34" s="125" t="s">
        <v>314</v>
      </c>
      <c r="K34" s="125" t="s">
        <v>378</v>
      </c>
      <c r="L34" s="125" t="s">
        <v>810</v>
      </c>
      <c r="M34" s="126">
        <v>44197</v>
      </c>
      <c r="N34" s="121" t="str">
        <f t="shared" si="0"/>
        <v>,,,Ordinary Diploma in Clearing,Forwarding and Shipping Procedure.,,KCSE,KCPE,</v>
      </c>
      <c r="O34" s="125"/>
      <c r="P34" s="125"/>
      <c r="Q34" s="125"/>
      <c r="R34" s="127" t="s">
        <v>888</v>
      </c>
      <c r="S34" s="125"/>
      <c r="T34" s="125" t="s">
        <v>367</v>
      </c>
      <c r="U34" s="125" t="s">
        <v>806</v>
      </c>
      <c r="V34" s="125"/>
    </row>
    <row r="35" spans="1:22" x14ac:dyDescent="0.3">
      <c r="A35" s="120">
        <v>32</v>
      </c>
      <c r="B35" s="125">
        <v>20000078914</v>
      </c>
      <c r="C35" s="125" t="s">
        <v>50</v>
      </c>
      <c r="D35" s="125">
        <v>10141052</v>
      </c>
      <c r="E35" s="125" t="s">
        <v>374</v>
      </c>
      <c r="F35" s="125" t="s">
        <v>218</v>
      </c>
      <c r="G35" s="125">
        <v>56</v>
      </c>
      <c r="H35" s="125" t="s">
        <v>889</v>
      </c>
      <c r="I35" s="125">
        <v>60</v>
      </c>
      <c r="J35" s="125" t="s">
        <v>317</v>
      </c>
      <c r="K35" s="125" t="s">
        <v>379</v>
      </c>
      <c r="L35" s="125" t="s">
        <v>810</v>
      </c>
      <c r="M35" s="126">
        <v>36532</v>
      </c>
      <c r="N35" s="121" t="str">
        <f t="shared" si="0"/>
        <v>,,,,,,KCPE,</v>
      </c>
      <c r="O35" s="125"/>
      <c r="P35" s="125"/>
      <c r="Q35" s="125"/>
      <c r="R35" s="125"/>
      <c r="S35" s="125"/>
      <c r="T35" s="120"/>
      <c r="U35" s="125" t="s">
        <v>806</v>
      </c>
      <c r="V35" s="125"/>
    </row>
    <row r="36" spans="1:22" x14ac:dyDescent="0.3">
      <c r="A36" s="120">
        <v>33</v>
      </c>
      <c r="B36" s="125">
        <v>20178600786</v>
      </c>
      <c r="C36" s="125" t="s">
        <v>51</v>
      </c>
      <c r="D36" s="125">
        <v>35374930</v>
      </c>
      <c r="E36" s="125" t="s">
        <v>374</v>
      </c>
      <c r="F36" s="126">
        <v>33856</v>
      </c>
      <c r="G36" s="125">
        <v>32</v>
      </c>
      <c r="H36" s="125" t="s">
        <v>852</v>
      </c>
      <c r="I36" s="125">
        <v>60</v>
      </c>
      <c r="J36" s="125" t="s">
        <v>318</v>
      </c>
      <c r="K36" s="125" t="s">
        <v>379</v>
      </c>
      <c r="L36" s="125" t="s">
        <v>810</v>
      </c>
      <c r="M36" s="126">
        <v>42898</v>
      </c>
      <c r="N36" s="121" t="str">
        <f t="shared" si="0"/>
        <v>,,,,,KCSE,KCPE,</v>
      </c>
      <c r="O36" s="125"/>
      <c r="P36" s="125"/>
      <c r="Q36" s="125"/>
      <c r="R36" s="125"/>
      <c r="S36" s="125"/>
      <c r="T36" s="125" t="s">
        <v>367</v>
      </c>
      <c r="U36" s="125" t="s">
        <v>806</v>
      </c>
      <c r="V36" s="125"/>
    </row>
    <row r="37" spans="1:22" x14ac:dyDescent="0.3">
      <c r="A37" s="120">
        <v>34</v>
      </c>
      <c r="B37" s="125">
        <v>20250007973</v>
      </c>
      <c r="C37" s="125" t="s">
        <v>52</v>
      </c>
      <c r="D37" s="125">
        <v>33556049</v>
      </c>
      <c r="E37" s="125" t="s">
        <v>374</v>
      </c>
      <c r="F37" s="125" t="s">
        <v>219</v>
      </c>
      <c r="G37" s="125">
        <v>29</v>
      </c>
      <c r="H37" s="125" t="s">
        <v>890</v>
      </c>
      <c r="I37" s="125">
        <v>60</v>
      </c>
      <c r="J37" s="125" t="s">
        <v>319</v>
      </c>
      <c r="K37" s="125" t="s">
        <v>379</v>
      </c>
      <c r="L37" s="125" t="s">
        <v>810</v>
      </c>
      <c r="M37" s="126">
        <v>45659</v>
      </c>
      <c r="N37" s="121" t="str">
        <f t="shared" si="0"/>
        <v>,,Bachelor of Veterinary Medicine,,,KCSE,KCPE,Certificate of Registration of a Veterinary Surgeon</v>
      </c>
      <c r="O37" s="125"/>
      <c r="P37" s="125"/>
      <c r="Q37" s="125" t="s">
        <v>891</v>
      </c>
      <c r="R37" s="125"/>
      <c r="S37" s="125"/>
      <c r="T37" s="125" t="s">
        <v>367</v>
      </c>
      <c r="U37" s="125" t="s">
        <v>806</v>
      </c>
      <c r="V37" s="125" t="s">
        <v>847</v>
      </c>
    </row>
    <row r="38" spans="1:22" x14ac:dyDescent="0.3">
      <c r="A38" s="120">
        <v>35</v>
      </c>
      <c r="B38" s="125">
        <v>20250011100</v>
      </c>
      <c r="C38" s="125" t="s">
        <v>53</v>
      </c>
      <c r="D38" s="125">
        <v>32277442</v>
      </c>
      <c r="E38" s="125" t="s">
        <v>374</v>
      </c>
      <c r="F38" s="125" t="s">
        <v>220</v>
      </c>
      <c r="G38" s="125">
        <v>31</v>
      </c>
      <c r="H38" s="125" t="s">
        <v>892</v>
      </c>
      <c r="I38" s="125">
        <v>60</v>
      </c>
      <c r="J38" s="125" t="s">
        <v>319</v>
      </c>
      <c r="K38" s="125" t="s">
        <v>379</v>
      </c>
      <c r="L38" s="125" t="s">
        <v>810</v>
      </c>
      <c r="M38" s="126">
        <v>45660</v>
      </c>
      <c r="N38" s="121" t="str">
        <f t="shared" si="0"/>
        <v>,,Bachelor of Science in Medical Microbiology,,,KCSE,KCPE,</v>
      </c>
      <c r="O38" s="125"/>
      <c r="P38" s="125"/>
      <c r="Q38" s="125" t="s">
        <v>858</v>
      </c>
      <c r="R38" s="125"/>
      <c r="S38" s="125"/>
      <c r="T38" s="125" t="s">
        <v>367</v>
      </c>
      <c r="U38" s="125" t="s">
        <v>806</v>
      </c>
      <c r="V38" s="125"/>
    </row>
    <row r="39" spans="1:22" ht="15" customHeight="1" x14ac:dyDescent="0.3">
      <c r="A39" s="120">
        <v>36</v>
      </c>
      <c r="B39" s="128">
        <v>20250067282</v>
      </c>
      <c r="C39" s="130" t="s">
        <v>54</v>
      </c>
      <c r="D39" s="130">
        <v>12925801</v>
      </c>
      <c r="E39" s="125" t="s">
        <v>381</v>
      </c>
      <c r="F39" s="126">
        <v>27586</v>
      </c>
      <c r="G39" s="125">
        <v>50</v>
      </c>
      <c r="H39" s="126">
        <v>46757</v>
      </c>
      <c r="I39" s="125">
        <v>60</v>
      </c>
      <c r="J39" s="130" t="s">
        <v>320</v>
      </c>
      <c r="K39" s="125" t="s">
        <v>379</v>
      </c>
      <c r="L39" s="125" t="s">
        <v>810</v>
      </c>
      <c r="M39" s="126">
        <v>45693</v>
      </c>
      <c r="N39" s="121" t="str">
        <f t="shared" si="0"/>
        <v>,,,,,KCSE,KCPE,</v>
      </c>
      <c r="O39" s="125"/>
      <c r="P39" s="125"/>
      <c r="Q39" s="125"/>
      <c r="R39" s="125"/>
      <c r="S39" s="125"/>
      <c r="T39" s="125" t="s">
        <v>367</v>
      </c>
      <c r="U39" s="125" t="s">
        <v>806</v>
      </c>
      <c r="V39" s="125"/>
    </row>
    <row r="40" spans="1:22" ht="13.5" customHeight="1" x14ac:dyDescent="0.3">
      <c r="A40" s="120">
        <v>37</v>
      </c>
      <c r="B40" s="125">
        <v>20250089145</v>
      </c>
      <c r="C40" s="130" t="s">
        <v>55</v>
      </c>
      <c r="D40" s="130">
        <v>37906155</v>
      </c>
      <c r="E40" s="125" t="s">
        <v>374</v>
      </c>
      <c r="F40" s="125" t="s">
        <v>221</v>
      </c>
      <c r="G40" s="125">
        <v>26</v>
      </c>
      <c r="H40" s="126">
        <v>46757</v>
      </c>
      <c r="I40" s="125">
        <v>60</v>
      </c>
      <c r="J40" s="130" t="s">
        <v>320</v>
      </c>
      <c r="K40" s="125" t="s">
        <v>379</v>
      </c>
      <c r="L40" s="125" t="s">
        <v>810</v>
      </c>
      <c r="M40" s="126">
        <v>45693</v>
      </c>
      <c r="N40" s="121" t="str">
        <f t="shared" si="0"/>
        <v>,,,,,KCSE,KCPE,</v>
      </c>
      <c r="O40" s="125"/>
      <c r="P40" s="125"/>
      <c r="Q40" s="125"/>
      <c r="R40" s="125"/>
      <c r="S40" s="125"/>
      <c r="T40" s="125" t="s">
        <v>367</v>
      </c>
      <c r="U40" s="125" t="s">
        <v>806</v>
      </c>
      <c r="V40" s="125"/>
    </row>
    <row r="41" spans="1:22" ht="18.75" customHeight="1" x14ac:dyDescent="0.3">
      <c r="A41" s="120">
        <v>38</v>
      </c>
      <c r="B41" s="128">
        <v>20250067266</v>
      </c>
      <c r="C41" s="130" t="s">
        <v>56</v>
      </c>
      <c r="D41" s="130">
        <v>40223884</v>
      </c>
      <c r="E41" s="125" t="s">
        <v>374</v>
      </c>
      <c r="F41" s="126">
        <v>37964</v>
      </c>
      <c r="G41" s="125">
        <v>22</v>
      </c>
      <c r="H41" s="126">
        <v>46757</v>
      </c>
      <c r="I41" s="125">
        <v>60</v>
      </c>
      <c r="J41" s="130" t="s">
        <v>320</v>
      </c>
      <c r="K41" s="125" t="s">
        <v>379</v>
      </c>
      <c r="L41" s="125" t="s">
        <v>810</v>
      </c>
      <c r="M41" s="126">
        <v>45693</v>
      </c>
      <c r="N41" s="121" t="str">
        <f t="shared" si="0"/>
        <v>,,,,,KCSE,KCPE,</v>
      </c>
      <c r="O41" s="125"/>
      <c r="P41" s="125"/>
      <c r="Q41" s="125"/>
      <c r="R41" s="125"/>
      <c r="S41" s="125"/>
      <c r="T41" s="125" t="s">
        <v>367</v>
      </c>
      <c r="U41" s="125" t="s">
        <v>806</v>
      </c>
      <c r="V41" s="125"/>
    </row>
    <row r="42" spans="1:22" x14ac:dyDescent="0.3">
      <c r="A42" s="120">
        <v>39</v>
      </c>
      <c r="B42" s="120">
        <v>20060933849</v>
      </c>
      <c r="C42" s="120" t="s">
        <v>57</v>
      </c>
      <c r="D42" s="120">
        <v>21717357</v>
      </c>
      <c r="E42" s="120" t="s">
        <v>374</v>
      </c>
      <c r="F42" s="121">
        <v>28678</v>
      </c>
      <c r="G42" s="120">
        <v>46</v>
      </c>
      <c r="H42" s="120" t="s">
        <v>862</v>
      </c>
      <c r="I42" s="125">
        <v>60</v>
      </c>
      <c r="J42" s="120" t="s">
        <v>321</v>
      </c>
      <c r="K42" s="120" t="s">
        <v>381</v>
      </c>
      <c r="L42" s="120" t="s">
        <v>810</v>
      </c>
      <c r="M42" s="121">
        <v>38725</v>
      </c>
      <c r="N42" s="121" t="str">
        <f t="shared" si="0"/>
        <v>,,,,,,,</v>
      </c>
      <c r="O42" s="120"/>
      <c r="P42" s="120"/>
      <c r="Q42" s="120"/>
      <c r="R42" s="120"/>
      <c r="S42" s="120"/>
      <c r="T42" s="120"/>
      <c r="U42" s="120"/>
      <c r="V42" s="120"/>
    </row>
    <row r="43" spans="1:22" x14ac:dyDescent="0.3">
      <c r="A43" s="120">
        <v>40</v>
      </c>
      <c r="B43" s="120">
        <v>20121211057</v>
      </c>
      <c r="C43" s="120" t="s">
        <v>58</v>
      </c>
      <c r="D43" s="120">
        <v>10164110</v>
      </c>
      <c r="E43" s="120" t="s">
        <v>374</v>
      </c>
      <c r="F43" s="120" t="s">
        <v>222</v>
      </c>
      <c r="G43" s="120">
        <v>56</v>
      </c>
      <c r="H43" s="120" t="s">
        <v>893</v>
      </c>
      <c r="I43" s="125">
        <v>60</v>
      </c>
      <c r="J43" s="120" t="s">
        <v>322</v>
      </c>
      <c r="K43" s="120" t="s">
        <v>381</v>
      </c>
      <c r="L43" s="120" t="s">
        <v>810</v>
      </c>
      <c r="M43" s="121">
        <v>40915</v>
      </c>
      <c r="N43" s="121" t="str">
        <f t="shared" si="0"/>
        <v>,,,,,,,</v>
      </c>
      <c r="O43" s="120"/>
      <c r="P43" s="120"/>
      <c r="Q43" s="120"/>
      <c r="R43" s="120"/>
      <c r="S43" s="120"/>
      <c r="T43" s="120"/>
      <c r="U43" s="120"/>
      <c r="V43" s="120"/>
    </row>
    <row r="44" spans="1:22" x14ac:dyDescent="0.3">
      <c r="A44" s="120">
        <v>41</v>
      </c>
      <c r="B44" s="120">
        <v>20142576234</v>
      </c>
      <c r="C44" s="120" t="s">
        <v>59</v>
      </c>
      <c r="D44" s="120">
        <v>26041520</v>
      </c>
      <c r="E44" s="120" t="s">
        <v>381</v>
      </c>
      <c r="F44" s="120" t="s">
        <v>223</v>
      </c>
      <c r="G44" s="120">
        <v>36</v>
      </c>
      <c r="H44" s="120" t="s">
        <v>894</v>
      </c>
      <c r="I44" s="125">
        <v>60</v>
      </c>
      <c r="J44" s="120" t="s">
        <v>322</v>
      </c>
      <c r="K44" s="120" t="s">
        <v>381</v>
      </c>
      <c r="L44" s="120" t="s">
        <v>810</v>
      </c>
      <c r="M44" s="121">
        <v>41640</v>
      </c>
      <c r="N44" s="121" t="str">
        <f t="shared" si="0"/>
        <v>,,,,Computer Packages,Craft in Science Laboratory Technology,,,</v>
      </c>
      <c r="O44" s="120"/>
      <c r="P44" s="120"/>
      <c r="Q44" s="120"/>
      <c r="R44" s="120"/>
      <c r="S44" s="123" t="s">
        <v>895</v>
      </c>
      <c r="T44" s="120"/>
      <c r="U44" s="120"/>
      <c r="V44" s="120"/>
    </row>
    <row r="45" spans="1:22" ht="16.5" customHeight="1" x14ac:dyDescent="0.3">
      <c r="A45" s="120">
        <v>42</v>
      </c>
      <c r="B45" s="128">
        <v>20250067274</v>
      </c>
      <c r="C45" s="130" t="s">
        <v>60</v>
      </c>
      <c r="D45" s="130">
        <v>39582151</v>
      </c>
      <c r="E45" s="125" t="s">
        <v>374</v>
      </c>
      <c r="F45" s="126">
        <v>37510</v>
      </c>
      <c r="G45" s="125">
        <v>23</v>
      </c>
      <c r="H45" s="126">
        <v>46757</v>
      </c>
      <c r="I45" s="125">
        <v>60</v>
      </c>
      <c r="J45" s="130" t="s">
        <v>320</v>
      </c>
      <c r="K45" s="125" t="s">
        <v>379</v>
      </c>
      <c r="L45" s="125" t="s">
        <v>810</v>
      </c>
      <c r="M45" s="126">
        <v>45693</v>
      </c>
      <c r="N45" s="121" t="str">
        <f t="shared" si="0"/>
        <v>,,,,,KCSE,KCPE,</v>
      </c>
      <c r="O45" s="125"/>
      <c r="P45" s="125"/>
      <c r="Q45" s="125"/>
      <c r="R45" s="125"/>
      <c r="S45" s="125"/>
      <c r="T45" s="125" t="s">
        <v>367</v>
      </c>
      <c r="U45" s="125" t="s">
        <v>806</v>
      </c>
      <c r="V45" s="125"/>
    </row>
    <row r="46" spans="1:22" ht="18" customHeight="1" x14ac:dyDescent="0.3">
      <c r="A46" s="120">
        <v>43</v>
      </c>
      <c r="B46" s="125">
        <v>20250089137</v>
      </c>
      <c r="C46" s="130" t="s">
        <v>61</v>
      </c>
      <c r="D46" s="130">
        <v>29388325</v>
      </c>
      <c r="E46" s="125" t="s">
        <v>374</v>
      </c>
      <c r="F46" s="125" t="s">
        <v>224</v>
      </c>
      <c r="G46" s="125">
        <v>33</v>
      </c>
      <c r="H46" s="126">
        <v>46757</v>
      </c>
      <c r="I46" s="125">
        <v>60</v>
      </c>
      <c r="J46" s="130" t="s">
        <v>320</v>
      </c>
      <c r="K46" s="125" t="s">
        <v>379</v>
      </c>
      <c r="L46" s="125" t="s">
        <v>810</v>
      </c>
      <c r="M46" s="126">
        <v>45693</v>
      </c>
      <c r="N46" s="121" t="str">
        <f t="shared" si="0"/>
        <v>,,,,,KCSE,KCPE,</v>
      </c>
      <c r="O46" s="125"/>
      <c r="P46" s="125"/>
      <c r="Q46" s="125"/>
      <c r="R46" s="125"/>
      <c r="S46" s="125"/>
      <c r="T46" s="125" t="s">
        <v>367</v>
      </c>
      <c r="U46" s="125" t="s">
        <v>806</v>
      </c>
      <c r="V46" s="125"/>
    </row>
    <row r="47" spans="1:22" x14ac:dyDescent="0.3">
      <c r="A47" s="118"/>
      <c r="B47" s="118"/>
      <c r="C47" s="118"/>
      <c r="D47" s="119" t="s">
        <v>896</v>
      </c>
      <c r="E47" s="118"/>
      <c r="F47" s="118"/>
      <c r="G47" s="118"/>
      <c r="H47" s="118"/>
      <c r="I47" s="118"/>
      <c r="J47" s="118"/>
      <c r="K47" s="118"/>
      <c r="L47" s="118"/>
      <c r="M47" s="118"/>
      <c r="N47" s="121" t="str">
        <f t="shared" si="0"/>
        <v>,,,,,,,</v>
      </c>
      <c r="O47" s="118"/>
      <c r="P47" s="118"/>
      <c r="Q47" s="118"/>
      <c r="R47" s="118"/>
      <c r="S47" s="118"/>
      <c r="T47" s="118"/>
      <c r="U47" s="118"/>
      <c r="V47" s="118"/>
    </row>
    <row r="48" spans="1:22" x14ac:dyDescent="0.3">
      <c r="A48" s="120">
        <v>44</v>
      </c>
      <c r="B48" s="120">
        <v>20077018228</v>
      </c>
      <c r="C48" s="120" t="s">
        <v>62</v>
      </c>
      <c r="D48" s="120">
        <v>20503322</v>
      </c>
      <c r="E48" s="120" t="s">
        <v>374</v>
      </c>
      <c r="F48" s="121">
        <v>27952</v>
      </c>
      <c r="G48" s="120">
        <v>48</v>
      </c>
      <c r="H48" s="120" t="s">
        <v>897</v>
      </c>
      <c r="I48" s="120">
        <v>69</v>
      </c>
      <c r="J48" s="120" t="s">
        <v>323</v>
      </c>
      <c r="K48" s="120" t="s">
        <v>373</v>
      </c>
      <c r="L48" s="120" t="s">
        <v>810</v>
      </c>
      <c r="M48" s="121">
        <v>39264</v>
      </c>
      <c r="N48" s="121" t="str">
        <f t="shared" si="0"/>
        <v>Doctor of Philosophy ,Masters of Science in Biology, Dryland Biodiversity,Bachelor of Science in Nutural Resources Management,,,KCSE,KCPE,</v>
      </c>
      <c r="O48" s="123" t="s">
        <v>898</v>
      </c>
      <c r="P48" s="123" t="s">
        <v>899</v>
      </c>
      <c r="Q48" s="123" t="s">
        <v>900</v>
      </c>
      <c r="R48" s="120"/>
      <c r="S48" s="120"/>
      <c r="T48" s="120" t="s">
        <v>367</v>
      </c>
      <c r="U48" s="120" t="s">
        <v>806</v>
      </c>
      <c r="V48" s="120"/>
    </row>
    <row r="49" spans="1:22" x14ac:dyDescent="0.3">
      <c r="A49" s="120">
        <v>45</v>
      </c>
      <c r="B49" s="125">
        <v>20190119450</v>
      </c>
      <c r="C49" s="125" t="s">
        <v>63</v>
      </c>
      <c r="D49" s="125">
        <v>28782265</v>
      </c>
      <c r="E49" s="125" t="s">
        <v>381</v>
      </c>
      <c r="F49" s="126">
        <v>33429</v>
      </c>
      <c r="G49" s="125">
        <v>33</v>
      </c>
      <c r="H49" s="125" t="s">
        <v>901</v>
      </c>
      <c r="I49" s="125">
        <v>60</v>
      </c>
      <c r="J49" s="125" t="s">
        <v>311</v>
      </c>
      <c r="K49" s="125" t="s">
        <v>375</v>
      </c>
      <c r="L49" s="125" t="s">
        <v>810</v>
      </c>
      <c r="M49" s="126">
        <v>44621</v>
      </c>
      <c r="N49" s="121" t="str">
        <f t="shared" si="0"/>
        <v>,,Bachelor of Science in Natural Resources (Wildlife management option),,,KCSE,KCPE,</v>
      </c>
      <c r="O49" s="125"/>
      <c r="P49" s="125"/>
      <c r="Q49" s="127" t="s">
        <v>902</v>
      </c>
      <c r="R49" s="125"/>
      <c r="S49" s="125"/>
      <c r="T49" s="125" t="s">
        <v>367</v>
      </c>
      <c r="U49" s="125" t="s">
        <v>806</v>
      </c>
      <c r="V49" s="125"/>
    </row>
    <row r="50" spans="1:22" x14ac:dyDescent="0.3">
      <c r="A50" s="120">
        <v>46</v>
      </c>
      <c r="B50" s="125">
        <v>20152655365</v>
      </c>
      <c r="C50" s="125" t="s">
        <v>64</v>
      </c>
      <c r="D50" s="125">
        <v>25138933</v>
      </c>
      <c r="E50" s="125" t="s">
        <v>381</v>
      </c>
      <c r="F50" s="125" t="s">
        <v>225</v>
      </c>
      <c r="G50" s="125">
        <v>39</v>
      </c>
      <c r="H50" s="125" t="s">
        <v>903</v>
      </c>
      <c r="I50" s="125">
        <v>60</v>
      </c>
      <c r="J50" s="125" t="s">
        <v>324</v>
      </c>
      <c r="K50" s="125" t="s">
        <v>377</v>
      </c>
      <c r="L50" s="125" t="s">
        <v>810</v>
      </c>
      <c r="M50" s="126">
        <v>42011</v>
      </c>
      <c r="N50" s="121" t="str">
        <f t="shared" si="0"/>
        <v>,,,Diploma in Business Administration,,KCSE,KCPE,</v>
      </c>
      <c r="O50" s="125"/>
      <c r="P50" s="125"/>
      <c r="Q50" s="125"/>
      <c r="R50" s="127" t="s">
        <v>904</v>
      </c>
      <c r="S50" s="125"/>
      <c r="T50" s="125" t="s">
        <v>367</v>
      </c>
      <c r="U50" s="125" t="s">
        <v>806</v>
      </c>
      <c r="V50" s="125"/>
    </row>
    <row r="51" spans="1:22" x14ac:dyDescent="0.3">
      <c r="A51" s="120">
        <v>47</v>
      </c>
      <c r="B51" s="125">
        <v>19920654357</v>
      </c>
      <c r="C51" s="125" t="s">
        <v>65</v>
      </c>
      <c r="D51" s="125">
        <v>9225573</v>
      </c>
      <c r="E51" s="125" t="s">
        <v>374</v>
      </c>
      <c r="F51" s="126">
        <v>24838</v>
      </c>
      <c r="G51" s="125">
        <v>57</v>
      </c>
      <c r="H51" s="125" t="s">
        <v>901</v>
      </c>
      <c r="I51" s="125">
        <v>60</v>
      </c>
      <c r="J51" s="125" t="s">
        <v>314</v>
      </c>
      <c r="K51" s="125" t="s">
        <v>378</v>
      </c>
      <c r="L51" s="125" t="s">
        <v>810</v>
      </c>
      <c r="M51" s="125" t="s">
        <v>905</v>
      </c>
      <c r="N51" s="121" t="str">
        <f t="shared" si="0"/>
        <v>,,,Diploma Wildlife /Forestry Conservation,,KCSE,KCPE,</v>
      </c>
      <c r="O51" s="125"/>
      <c r="P51" s="125"/>
      <c r="Q51" s="125"/>
      <c r="R51" s="127" t="s">
        <v>906</v>
      </c>
      <c r="S51" s="125"/>
      <c r="T51" s="125" t="s">
        <v>367</v>
      </c>
      <c r="U51" s="125" t="s">
        <v>806</v>
      </c>
      <c r="V51" s="125"/>
    </row>
    <row r="52" spans="1:22" x14ac:dyDescent="0.3">
      <c r="A52" s="120">
        <v>48</v>
      </c>
      <c r="B52" s="125">
        <v>20250007868</v>
      </c>
      <c r="C52" s="125" t="s">
        <v>66</v>
      </c>
      <c r="D52" s="125">
        <v>26449205</v>
      </c>
      <c r="E52" s="125" t="s">
        <v>374</v>
      </c>
      <c r="F52" s="126">
        <v>32417</v>
      </c>
      <c r="G52" s="125">
        <v>37</v>
      </c>
      <c r="H52" s="125" t="s">
        <v>907</v>
      </c>
      <c r="I52" s="125">
        <v>60</v>
      </c>
      <c r="J52" s="125" t="s">
        <v>319</v>
      </c>
      <c r="K52" s="125" t="s">
        <v>379</v>
      </c>
      <c r="L52" s="125" t="s">
        <v>810</v>
      </c>
      <c r="M52" s="126">
        <v>45658</v>
      </c>
      <c r="N52" s="121" t="str">
        <f t="shared" si="0"/>
        <v>,Master of Science in Biology of Conservation,Bachelor of Science( in Environmental Conservation &amp; Natural Resource Management),,,KCSE,KCPE,</v>
      </c>
      <c r="O52" s="125"/>
      <c r="P52" s="125" t="s">
        <v>908</v>
      </c>
      <c r="Q52" s="125" t="s">
        <v>909</v>
      </c>
      <c r="R52" s="125"/>
      <c r="S52" s="125"/>
      <c r="T52" s="125" t="s">
        <v>367</v>
      </c>
      <c r="U52" s="125" t="s">
        <v>806</v>
      </c>
      <c r="V52" s="125"/>
    </row>
    <row r="53" spans="1:22" x14ac:dyDescent="0.3">
      <c r="A53" s="120">
        <v>49</v>
      </c>
      <c r="B53" s="125">
        <v>20250007931</v>
      </c>
      <c r="C53" s="125" t="s">
        <v>67</v>
      </c>
      <c r="D53" s="125">
        <v>33308998</v>
      </c>
      <c r="E53" s="125" t="s">
        <v>374</v>
      </c>
      <c r="F53" s="126">
        <v>34861</v>
      </c>
      <c r="G53" s="125">
        <v>29</v>
      </c>
      <c r="H53" s="125" t="s">
        <v>910</v>
      </c>
      <c r="I53" s="125">
        <v>60</v>
      </c>
      <c r="J53" s="125" t="s">
        <v>319</v>
      </c>
      <c r="K53" s="125" t="s">
        <v>379</v>
      </c>
      <c r="L53" s="125" t="s">
        <v>810</v>
      </c>
      <c r="M53" s="126">
        <v>45660</v>
      </c>
      <c r="N53" s="121" t="str">
        <f t="shared" si="0"/>
        <v>,,Bachelor Of Science,,,KCSE,KCPE,</v>
      </c>
      <c r="O53" s="125"/>
      <c r="P53" s="125"/>
      <c r="Q53" s="125" t="s">
        <v>911</v>
      </c>
      <c r="R53" s="125"/>
      <c r="S53" s="125"/>
      <c r="T53" s="125" t="s">
        <v>367</v>
      </c>
      <c r="U53" s="125" t="s">
        <v>806</v>
      </c>
      <c r="V53" s="125"/>
    </row>
    <row r="54" spans="1:22" x14ac:dyDescent="0.3">
      <c r="A54" s="120">
        <v>50</v>
      </c>
      <c r="B54" s="125">
        <v>20250011215</v>
      </c>
      <c r="C54" s="125" t="s">
        <v>68</v>
      </c>
      <c r="D54" s="125">
        <v>31592937</v>
      </c>
      <c r="E54" s="125" t="s">
        <v>381</v>
      </c>
      <c r="F54" s="126">
        <v>34374</v>
      </c>
      <c r="G54" s="125">
        <v>30</v>
      </c>
      <c r="H54" s="125" t="s">
        <v>912</v>
      </c>
      <c r="I54" s="125">
        <v>60</v>
      </c>
      <c r="J54" s="125" t="s">
        <v>319</v>
      </c>
      <c r="K54" s="125" t="s">
        <v>379</v>
      </c>
      <c r="L54" s="125" t="s">
        <v>810</v>
      </c>
      <c r="M54" s="126">
        <v>45658</v>
      </c>
      <c r="N54" s="121" t="str">
        <f t="shared" si="0"/>
        <v>,,Bachelor of Science in Environmental Studies(Planning&amp;Management,,,KCSE,KCPE,</v>
      </c>
      <c r="O54" s="125"/>
      <c r="P54" s="125"/>
      <c r="Q54" s="125" t="s">
        <v>913</v>
      </c>
      <c r="R54" s="125"/>
      <c r="S54" s="125"/>
      <c r="T54" s="125" t="s">
        <v>367</v>
      </c>
      <c r="U54" s="125" t="s">
        <v>806</v>
      </c>
      <c r="V54" s="125"/>
    </row>
    <row r="55" spans="1:22" x14ac:dyDescent="0.3">
      <c r="A55" s="120">
        <v>51</v>
      </c>
      <c r="B55" s="125">
        <v>20250118499</v>
      </c>
      <c r="C55" s="125" t="s">
        <v>69</v>
      </c>
      <c r="D55" s="125">
        <v>39029408</v>
      </c>
      <c r="E55" s="125" t="s">
        <v>381</v>
      </c>
      <c r="F55" s="125" t="s">
        <v>226</v>
      </c>
      <c r="G55" s="125">
        <v>24</v>
      </c>
      <c r="H55" s="126">
        <v>46234</v>
      </c>
      <c r="I55" s="125">
        <v>60</v>
      </c>
      <c r="J55" s="125" t="s">
        <v>319</v>
      </c>
      <c r="K55" s="125" t="s">
        <v>379</v>
      </c>
      <c r="L55" s="125" t="s">
        <v>810</v>
      </c>
      <c r="M55" s="126">
        <v>45693</v>
      </c>
      <c r="N55" s="121" t="str">
        <f t="shared" si="0"/>
        <v>,,Bachelor of Science in Wildlife Enterprise&amp; Management,,,KCSE,KCPE,</v>
      </c>
      <c r="O55" s="125"/>
      <c r="P55" s="125"/>
      <c r="Q55" s="125" t="s">
        <v>914</v>
      </c>
      <c r="R55" s="125"/>
      <c r="S55" s="125"/>
      <c r="T55" s="125" t="s">
        <v>367</v>
      </c>
      <c r="U55" s="125" t="s">
        <v>806</v>
      </c>
      <c r="V55" s="125"/>
    </row>
    <row r="56" spans="1:22" x14ac:dyDescent="0.3">
      <c r="A56" s="120">
        <v>52</v>
      </c>
      <c r="B56" s="125">
        <v>20240036700</v>
      </c>
      <c r="C56" s="125" t="s">
        <v>70</v>
      </c>
      <c r="D56" s="125">
        <v>36558749</v>
      </c>
      <c r="E56" s="125" t="s">
        <v>374</v>
      </c>
      <c r="F56" s="125" t="s">
        <v>227</v>
      </c>
      <c r="G56" s="125">
        <v>27</v>
      </c>
      <c r="H56" s="126">
        <v>46234</v>
      </c>
      <c r="I56" s="125">
        <v>60</v>
      </c>
      <c r="J56" s="125" t="s">
        <v>319</v>
      </c>
      <c r="K56" s="125" t="s">
        <v>379</v>
      </c>
      <c r="L56" s="125" t="s">
        <v>810</v>
      </c>
      <c r="M56" s="126">
        <v>45693</v>
      </c>
      <c r="N56" s="121" t="str">
        <f t="shared" si="0"/>
        <v>,,Bachelor of Environmental Studies-Science(Enviromental Biology&amp; Health),,,KCSE,KCPE,</v>
      </c>
      <c r="O56" s="125"/>
      <c r="P56" s="125"/>
      <c r="Q56" s="125" t="s">
        <v>915</v>
      </c>
      <c r="R56" s="125"/>
      <c r="S56" s="125"/>
      <c r="T56" s="125" t="s">
        <v>367</v>
      </c>
      <c r="U56" s="125" t="s">
        <v>806</v>
      </c>
      <c r="V56" s="125"/>
    </row>
    <row r="57" spans="1:22" x14ac:dyDescent="0.3">
      <c r="A57" s="120">
        <v>53</v>
      </c>
      <c r="B57" s="125">
        <v>20190118631</v>
      </c>
      <c r="C57" s="125" t="s">
        <v>71</v>
      </c>
      <c r="D57" s="125">
        <v>30101934</v>
      </c>
      <c r="E57" s="125" t="s">
        <v>374</v>
      </c>
      <c r="F57" s="126">
        <v>34038</v>
      </c>
      <c r="G57" s="125">
        <v>31</v>
      </c>
      <c r="H57" s="126">
        <v>46387</v>
      </c>
      <c r="I57" s="125">
        <v>60</v>
      </c>
      <c r="J57" s="125" t="s">
        <v>319</v>
      </c>
      <c r="K57" s="125" t="s">
        <v>379</v>
      </c>
      <c r="L57" s="125" t="s">
        <v>810</v>
      </c>
      <c r="M57" s="126">
        <v>45658</v>
      </c>
      <c r="N57" s="121" t="str">
        <f t="shared" si="0"/>
        <v>,,Bachelor of Science (Conservation Biology),,,KCSE,KCPE,</v>
      </c>
      <c r="O57" s="125"/>
      <c r="P57" s="125"/>
      <c r="Q57" s="125" t="s">
        <v>916</v>
      </c>
      <c r="R57" s="125"/>
      <c r="S57" s="125"/>
      <c r="T57" s="125" t="s">
        <v>367</v>
      </c>
      <c r="U57" s="125" t="s">
        <v>806</v>
      </c>
      <c r="V57" s="125"/>
    </row>
    <row r="58" spans="1:22" x14ac:dyDescent="0.3">
      <c r="A58" s="120">
        <v>54</v>
      </c>
      <c r="B58" s="125">
        <v>20250011207</v>
      </c>
      <c r="C58" s="125" t="s">
        <v>72</v>
      </c>
      <c r="D58" s="125">
        <v>25880958</v>
      </c>
      <c r="E58" s="125" t="s">
        <v>374</v>
      </c>
      <c r="F58" s="126">
        <v>31413</v>
      </c>
      <c r="G58" s="125">
        <v>39</v>
      </c>
      <c r="H58" s="125" t="s">
        <v>912</v>
      </c>
      <c r="I58" s="125">
        <v>60</v>
      </c>
      <c r="J58" s="125" t="s">
        <v>319</v>
      </c>
      <c r="K58" s="125" t="s">
        <v>379</v>
      </c>
      <c r="L58" s="125" t="s">
        <v>810</v>
      </c>
      <c r="M58" s="126">
        <v>45658</v>
      </c>
      <c r="N58" s="121" t="str">
        <f t="shared" si="0"/>
        <v>,,,,,KCSE,KCPE,</v>
      </c>
      <c r="O58" s="125"/>
      <c r="P58" s="125"/>
      <c r="Q58" s="125"/>
      <c r="R58" s="125"/>
      <c r="S58" s="125"/>
      <c r="T58" s="125" t="s">
        <v>367</v>
      </c>
      <c r="U58" s="125" t="s">
        <v>806</v>
      </c>
      <c r="V58" s="125"/>
    </row>
    <row r="59" spans="1:22" x14ac:dyDescent="0.3">
      <c r="A59" s="118"/>
      <c r="B59" s="118"/>
      <c r="C59" s="119"/>
      <c r="D59" s="119" t="s">
        <v>917</v>
      </c>
      <c r="E59" s="119"/>
      <c r="F59" s="119"/>
      <c r="G59" s="118"/>
      <c r="H59" s="118"/>
      <c r="I59" s="118"/>
      <c r="J59" s="118"/>
      <c r="K59" s="118"/>
      <c r="L59" s="118"/>
      <c r="M59" s="118"/>
      <c r="N59" s="121" t="str">
        <f t="shared" si="0"/>
        <v>,,,,,,,</v>
      </c>
      <c r="O59" s="118"/>
      <c r="P59" s="118"/>
      <c r="Q59" s="118"/>
      <c r="R59" s="118"/>
      <c r="S59" s="118"/>
      <c r="T59" s="118"/>
      <c r="U59" s="118"/>
      <c r="V59" s="118"/>
    </row>
    <row r="60" spans="1:22" x14ac:dyDescent="0.3">
      <c r="A60" s="120">
        <v>55</v>
      </c>
      <c r="B60" s="120">
        <v>19920654373</v>
      </c>
      <c r="C60" s="120" t="s">
        <v>73</v>
      </c>
      <c r="D60" s="120">
        <v>8735350</v>
      </c>
      <c r="E60" s="120" t="s">
        <v>374</v>
      </c>
      <c r="F60" s="121">
        <v>24297</v>
      </c>
      <c r="G60" s="120">
        <v>58</v>
      </c>
      <c r="H60" s="120" t="s">
        <v>918</v>
      </c>
      <c r="I60" s="120">
        <v>60</v>
      </c>
      <c r="J60" s="120" t="s">
        <v>325</v>
      </c>
      <c r="K60" s="120" t="s">
        <v>380</v>
      </c>
      <c r="L60" s="120" t="s">
        <v>810</v>
      </c>
      <c r="M60" s="120" t="s">
        <v>919</v>
      </c>
      <c r="N60" s="121" t="str">
        <f t="shared" si="0"/>
        <v>,,Bachelor of Business Management (Accounting),Diploma in Human Resource Management,,KCSE,KCPE,CPAK</v>
      </c>
      <c r="O60" s="120"/>
      <c r="P60" s="120"/>
      <c r="Q60" s="122" t="s">
        <v>920</v>
      </c>
      <c r="R60" s="123" t="s">
        <v>819</v>
      </c>
      <c r="S60" s="120"/>
      <c r="T60" s="120" t="s">
        <v>367</v>
      </c>
      <c r="U60" s="120" t="s">
        <v>806</v>
      </c>
      <c r="V60" s="120" t="s">
        <v>921</v>
      </c>
    </row>
    <row r="61" spans="1:22" x14ac:dyDescent="0.3">
      <c r="A61" s="120">
        <v>56</v>
      </c>
      <c r="B61" s="125">
        <v>20095593234</v>
      </c>
      <c r="C61" s="125" t="s">
        <v>74</v>
      </c>
      <c r="D61" s="125">
        <v>25394414</v>
      </c>
      <c r="E61" s="125" t="s">
        <v>381</v>
      </c>
      <c r="F61" s="125" t="s">
        <v>228</v>
      </c>
      <c r="G61" s="125">
        <v>36</v>
      </c>
      <c r="H61" s="125" t="s">
        <v>922</v>
      </c>
      <c r="I61" s="120">
        <v>60</v>
      </c>
      <c r="J61" s="125" t="s">
        <v>325</v>
      </c>
      <c r="K61" s="125" t="s">
        <v>380</v>
      </c>
      <c r="L61" s="125" t="s">
        <v>810</v>
      </c>
      <c r="M61" s="125" t="s">
        <v>923</v>
      </c>
      <c r="N61" s="121" t="str">
        <f t="shared" si="0"/>
        <v>,Master of Arts in Finance,Bachelor of Arts in Commerce,,,KCSE,KCPE,</v>
      </c>
      <c r="O61" s="125"/>
      <c r="P61" s="128" t="s">
        <v>924</v>
      </c>
      <c r="Q61" s="131" t="s">
        <v>925</v>
      </c>
      <c r="R61" s="125"/>
      <c r="S61" s="125"/>
      <c r="T61" s="125" t="s">
        <v>367</v>
      </c>
      <c r="U61" s="125" t="s">
        <v>806</v>
      </c>
      <c r="V61" s="125"/>
    </row>
    <row r="62" spans="1:22" x14ac:dyDescent="0.3">
      <c r="A62" s="120">
        <v>57</v>
      </c>
      <c r="B62" s="125">
        <v>19930980988</v>
      </c>
      <c r="C62" s="125" t="s">
        <v>75</v>
      </c>
      <c r="D62" s="125">
        <v>8107003</v>
      </c>
      <c r="E62" s="125" t="s">
        <v>374</v>
      </c>
      <c r="F62" s="126">
        <v>24150</v>
      </c>
      <c r="G62" s="125">
        <v>58</v>
      </c>
      <c r="H62" s="125" t="s">
        <v>926</v>
      </c>
      <c r="I62" s="120">
        <v>60</v>
      </c>
      <c r="J62" s="125" t="s">
        <v>326</v>
      </c>
      <c r="K62" s="125" t="s">
        <v>374</v>
      </c>
      <c r="L62" s="125" t="s">
        <v>810</v>
      </c>
      <c r="M62" s="126">
        <v>33976</v>
      </c>
      <c r="N62" s="121" t="str">
        <f t="shared" si="0"/>
        <v>,,,,KATC,KCSE,KCPE,</v>
      </c>
      <c r="O62" s="125"/>
      <c r="P62" s="125"/>
      <c r="Q62" s="125"/>
      <c r="R62" s="125"/>
      <c r="S62" s="127" t="s">
        <v>927</v>
      </c>
      <c r="T62" s="125" t="s">
        <v>367</v>
      </c>
      <c r="U62" s="125" t="s">
        <v>806</v>
      </c>
      <c r="V62" s="125"/>
    </row>
    <row r="63" spans="1:22" x14ac:dyDescent="0.3">
      <c r="A63" s="120">
        <v>58</v>
      </c>
      <c r="B63" s="125">
        <v>20181472524</v>
      </c>
      <c r="C63" s="125" t="s">
        <v>76</v>
      </c>
      <c r="D63" s="125">
        <v>24146874</v>
      </c>
      <c r="E63" s="125" t="s">
        <v>381</v>
      </c>
      <c r="F63" s="125" t="s">
        <v>229</v>
      </c>
      <c r="G63" s="125">
        <v>40</v>
      </c>
      <c r="H63" s="125" t="s">
        <v>901</v>
      </c>
      <c r="I63" s="120">
        <v>60</v>
      </c>
      <c r="J63" s="125" t="s">
        <v>327</v>
      </c>
      <c r="K63" s="125" t="s">
        <v>375</v>
      </c>
      <c r="L63" s="125" t="s">
        <v>810</v>
      </c>
      <c r="M63" s="126">
        <v>43101</v>
      </c>
      <c r="N63" s="121" t="str">
        <f t="shared" si="0"/>
        <v>,,Bachelor of Arts Commerce,,,KCSE,KCPE,</v>
      </c>
      <c r="O63" s="125"/>
      <c r="P63" s="125"/>
      <c r="Q63" s="131" t="s">
        <v>928</v>
      </c>
      <c r="R63" s="125"/>
      <c r="S63" s="125"/>
      <c r="T63" s="125" t="s">
        <v>367</v>
      </c>
      <c r="U63" s="125" t="s">
        <v>806</v>
      </c>
      <c r="V63" s="125"/>
    </row>
    <row r="64" spans="1:22" x14ac:dyDescent="0.3">
      <c r="A64" s="120">
        <v>59</v>
      </c>
      <c r="B64" s="125">
        <v>20240300890</v>
      </c>
      <c r="C64" s="125" t="s">
        <v>77</v>
      </c>
      <c r="D64" s="125">
        <v>37963481</v>
      </c>
      <c r="E64" s="125" t="s">
        <v>374</v>
      </c>
      <c r="F64" s="126">
        <v>36321</v>
      </c>
      <c r="G64" s="125">
        <v>25</v>
      </c>
      <c r="H64" s="126">
        <v>46883</v>
      </c>
      <c r="I64" s="120">
        <v>60</v>
      </c>
      <c r="J64" s="125" t="s">
        <v>328</v>
      </c>
      <c r="K64" s="125" t="s">
        <v>375</v>
      </c>
      <c r="L64" s="125" t="s">
        <v>810</v>
      </c>
      <c r="M64" s="126">
        <v>45301</v>
      </c>
      <c r="N64" s="121" t="str">
        <f t="shared" si="0"/>
        <v>,,Bachelor of Commerce (Accounting),,,KCSE,KCPE,</v>
      </c>
      <c r="O64" s="125"/>
      <c r="P64" s="125"/>
      <c r="Q64" s="125" t="s">
        <v>929</v>
      </c>
      <c r="R64" s="125"/>
      <c r="S64" s="125"/>
      <c r="T64" s="125" t="s">
        <v>367</v>
      </c>
      <c r="U64" s="125" t="s">
        <v>806</v>
      </c>
      <c r="V64" s="125"/>
    </row>
    <row r="65" spans="1:22" ht="15.75" customHeight="1" x14ac:dyDescent="0.3">
      <c r="A65" s="120">
        <v>60</v>
      </c>
      <c r="B65" s="128">
        <v>20250067240</v>
      </c>
      <c r="C65" s="130" t="s">
        <v>78</v>
      </c>
      <c r="D65" s="130">
        <v>36697114</v>
      </c>
      <c r="E65" s="125" t="s">
        <v>381</v>
      </c>
      <c r="F65" s="125" t="s">
        <v>230</v>
      </c>
      <c r="G65" s="125">
        <v>26</v>
      </c>
      <c r="H65" s="126">
        <v>46757</v>
      </c>
      <c r="I65" s="120">
        <v>60</v>
      </c>
      <c r="J65" s="130" t="s">
        <v>329</v>
      </c>
      <c r="K65" s="125" t="s">
        <v>375</v>
      </c>
      <c r="L65" s="125" t="s">
        <v>810</v>
      </c>
      <c r="M65" s="126">
        <v>45693</v>
      </c>
      <c r="N65" s="121" t="str">
        <f t="shared" si="0"/>
        <v>,,Bachelor of Commerce (Finance),,,KCSE,KCPE,</v>
      </c>
      <c r="O65" s="125"/>
      <c r="P65" s="125"/>
      <c r="Q65" s="125" t="s">
        <v>930</v>
      </c>
      <c r="R65" s="125"/>
      <c r="S65" s="125"/>
      <c r="T65" s="125" t="s">
        <v>367</v>
      </c>
      <c r="U65" s="125" t="s">
        <v>806</v>
      </c>
      <c r="V65" s="125"/>
    </row>
    <row r="66" spans="1:22" ht="15" customHeight="1" x14ac:dyDescent="0.3">
      <c r="A66" s="120">
        <v>61</v>
      </c>
      <c r="B66" s="128">
        <v>20250067232</v>
      </c>
      <c r="C66" s="130" t="s">
        <v>79</v>
      </c>
      <c r="D66" s="132">
        <v>33381959</v>
      </c>
      <c r="E66" s="125" t="s">
        <v>374</v>
      </c>
      <c r="F66" s="126">
        <v>35133</v>
      </c>
      <c r="G66" s="125">
        <v>29</v>
      </c>
      <c r="H66" s="126">
        <v>46757</v>
      </c>
      <c r="I66" s="120">
        <v>60</v>
      </c>
      <c r="J66" s="130" t="s">
        <v>329</v>
      </c>
      <c r="K66" s="125" t="s">
        <v>375</v>
      </c>
      <c r="L66" s="125" t="s">
        <v>810</v>
      </c>
      <c r="M66" s="126">
        <v>45693</v>
      </c>
      <c r="N66" s="121" t="str">
        <f t="shared" si="0"/>
        <v>,,Bachelor of Commerce (Accounting),,,KCSE,KCPE,</v>
      </c>
      <c r="O66" s="125"/>
      <c r="P66" s="125"/>
      <c r="Q66" s="125" t="s">
        <v>929</v>
      </c>
      <c r="R66" s="125"/>
      <c r="S66" s="125"/>
      <c r="T66" s="125" t="s">
        <v>367</v>
      </c>
      <c r="U66" s="125" t="s">
        <v>806</v>
      </c>
      <c r="V66" s="125"/>
    </row>
    <row r="67" spans="1:22" ht="13.5" customHeight="1" x14ac:dyDescent="0.3">
      <c r="A67" s="120">
        <v>62</v>
      </c>
      <c r="B67" s="128">
        <v>20250067258</v>
      </c>
      <c r="C67" s="130" t="s">
        <v>80</v>
      </c>
      <c r="D67" s="125">
        <v>39000494</v>
      </c>
      <c r="E67" s="125" t="s">
        <v>381</v>
      </c>
      <c r="F67" s="126">
        <v>37500</v>
      </c>
      <c r="G67" s="125">
        <v>24</v>
      </c>
      <c r="H67" s="126">
        <v>46757</v>
      </c>
      <c r="I67" s="120">
        <v>60</v>
      </c>
      <c r="J67" s="130" t="s">
        <v>329</v>
      </c>
      <c r="K67" s="125" t="s">
        <v>375</v>
      </c>
      <c r="L67" s="125" t="s">
        <v>810</v>
      </c>
      <c r="M67" s="126">
        <v>45693</v>
      </c>
      <c r="N67" s="121" t="str">
        <f t="shared" si="0"/>
        <v>,,Bachelor of Commerce (Finance),,,KCSE,KCPE,</v>
      </c>
      <c r="O67" s="125"/>
      <c r="P67" s="125"/>
      <c r="Q67" s="125" t="s">
        <v>930</v>
      </c>
      <c r="R67" s="125"/>
      <c r="S67" s="125"/>
      <c r="T67" s="125" t="s">
        <v>367</v>
      </c>
      <c r="U67" s="125" t="s">
        <v>806</v>
      </c>
      <c r="V67" s="125"/>
    </row>
    <row r="68" spans="1:22" x14ac:dyDescent="0.3">
      <c r="A68" s="120">
        <v>63</v>
      </c>
      <c r="B68" s="125">
        <v>20220598342</v>
      </c>
      <c r="C68" s="125" t="s">
        <v>81</v>
      </c>
      <c r="D68" s="125">
        <v>31621426</v>
      </c>
      <c r="E68" s="125" t="s">
        <v>374</v>
      </c>
      <c r="F68" s="126">
        <v>34400</v>
      </c>
      <c r="G68" s="125">
        <v>30</v>
      </c>
      <c r="H68" s="125" t="s">
        <v>931</v>
      </c>
      <c r="I68" s="120">
        <v>60</v>
      </c>
      <c r="J68" s="125" t="s">
        <v>306</v>
      </c>
      <c r="K68" s="125" t="s">
        <v>379</v>
      </c>
      <c r="L68" s="125" t="s">
        <v>810</v>
      </c>
      <c r="M68" s="125" t="s">
        <v>932</v>
      </c>
      <c r="N68" s="121" t="str">
        <f t="shared" ref="N68:N131" si="1">CONCATENATE(O68,",",P68,",",Q68,",",R68,",",S68,",",T68,",",U68,",",V68)</f>
        <v>,,,,Certificate in Early Childhood Development,KCSE,KCPE,</v>
      </c>
      <c r="O68" s="125"/>
      <c r="P68" s="125"/>
      <c r="Q68" s="125"/>
      <c r="R68" s="125"/>
      <c r="S68" s="127" t="s">
        <v>933</v>
      </c>
      <c r="T68" s="125" t="s">
        <v>367</v>
      </c>
      <c r="U68" s="125" t="s">
        <v>806</v>
      </c>
      <c r="V68" s="125"/>
    </row>
    <row r="69" spans="1:22" x14ac:dyDescent="0.3">
      <c r="A69" s="118"/>
      <c r="B69" s="118"/>
      <c r="C69" s="118"/>
      <c r="D69" s="119" t="s">
        <v>934</v>
      </c>
      <c r="E69" s="118"/>
      <c r="F69" s="118"/>
      <c r="G69" s="118"/>
      <c r="H69" s="118"/>
      <c r="I69" s="118"/>
      <c r="J69" s="118"/>
      <c r="K69" s="118"/>
      <c r="L69" s="118"/>
      <c r="M69" s="118"/>
      <c r="N69" s="121" t="str">
        <f t="shared" si="1"/>
        <v>,,,,,,,</v>
      </c>
      <c r="O69" s="118"/>
      <c r="P69" s="118"/>
      <c r="Q69" s="118"/>
      <c r="R69" s="118"/>
      <c r="S69" s="118"/>
      <c r="T69" s="118"/>
      <c r="U69" s="118"/>
      <c r="V69" s="118"/>
    </row>
    <row r="70" spans="1:22" x14ac:dyDescent="0.3">
      <c r="A70" s="125">
        <v>64</v>
      </c>
      <c r="B70" s="125">
        <v>20200484010</v>
      </c>
      <c r="C70" s="125" t="s">
        <v>82</v>
      </c>
      <c r="D70" s="125">
        <v>30408351</v>
      </c>
      <c r="E70" s="125" t="s">
        <v>374</v>
      </c>
      <c r="F70" s="126">
        <v>34122</v>
      </c>
      <c r="G70" s="125">
        <v>33</v>
      </c>
      <c r="H70" s="125" t="s">
        <v>903</v>
      </c>
      <c r="I70" s="125">
        <v>60</v>
      </c>
      <c r="J70" s="125" t="s">
        <v>330</v>
      </c>
      <c r="K70" s="125" t="s">
        <v>375</v>
      </c>
      <c r="L70" s="125" t="s">
        <v>810</v>
      </c>
      <c r="M70" s="126">
        <v>43837</v>
      </c>
      <c r="N70" s="121" t="str">
        <f t="shared" si="1"/>
        <v>,,Bachelor of Arts in IT,Diploma In IT,,KCSE,KCPE,</v>
      </c>
      <c r="O70" s="125"/>
      <c r="P70" s="125"/>
      <c r="Q70" s="127" t="s">
        <v>935</v>
      </c>
      <c r="R70" s="127" t="s">
        <v>936</v>
      </c>
      <c r="S70" s="125"/>
      <c r="T70" s="125" t="s">
        <v>367</v>
      </c>
      <c r="U70" s="125" t="s">
        <v>806</v>
      </c>
      <c r="V70" s="125"/>
    </row>
    <row r="71" spans="1:22" x14ac:dyDescent="0.3">
      <c r="A71" s="125">
        <v>65</v>
      </c>
      <c r="B71" s="125">
        <v>20220597964</v>
      </c>
      <c r="C71" s="125" t="s">
        <v>83</v>
      </c>
      <c r="D71" s="125">
        <v>35685292</v>
      </c>
      <c r="E71" s="125" t="s">
        <v>374</v>
      </c>
      <c r="F71" s="125" t="s">
        <v>231</v>
      </c>
      <c r="G71" s="125">
        <v>27</v>
      </c>
      <c r="H71" s="125" t="s">
        <v>931</v>
      </c>
      <c r="I71" s="125">
        <v>60</v>
      </c>
      <c r="J71" s="125" t="s">
        <v>330</v>
      </c>
      <c r="K71" s="125" t="s">
        <v>375</v>
      </c>
      <c r="L71" s="125" t="s">
        <v>810</v>
      </c>
      <c r="M71" s="126">
        <v>44806</v>
      </c>
      <c r="N71" s="121" t="str">
        <f t="shared" si="1"/>
        <v>,,Bachelor of Arts in IT,,,KCSE,KCPE,</v>
      </c>
      <c r="O71" s="125"/>
      <c r="P71" s="125"/>
      <c r="Q71" s="127" t="s">
        <v>935</v>
      </c>
      <c r="R71" s="125"/>
      <c r="S71" s="125"/>
      <c r="T71" s="125" t="s">
        <v>367</v>
      </c>
      <c r="U71" s="125" t="s">
        <v>806</v>
      </c>
      <c r="V71" s="125"/>
    </row>
    <row r="72" spans="1:22" x14ac:dyDescent="0.3">
      <c r="A72" s="125">
        <v>66</v>
      </c>
      <c r="B72" s="125">
        <v>20220597906</v>
      </c>
      <c r="C72" s="125" t="s">
        <v>84</v>
      </c>
      <c r="D72" s="125">
        <v>30050596</v>
      </c>
      <c r="E72" s="125" t="s">
        <v>374</v>
      </c>
      <c r="F72" s="125" t="s">
        <v>232</v>
      </c>
      <c r="G72" s="125">
        <v>33</v>
      </c>
      <c r="H72" s="125" t="s">
        <v>931</v>
      </c>
      <c r="I72" s="125">
        <v>60</v>
      </c>
      <c r="J72" s="125" t="s">
        <v>331</v>
      </c>
      <c r="K72" s="125" t="s">
        <v>377</v>
      </c>
      <c r="L72" s="125" t="s">
        <v>810</v>
      </c>
      <c r="M72" s="125" t="s">
        <v>937</v>
      </c>
      <c r="N72" s="121" t="str">
        <f t="shared" si="1"/>
        <v>,,,Diploma in Health  Records and Informatiom Technology,,KCSE,KCPE,</v>
      </c>
      <c r="O72" s="125"/>
      <c r="P72" s="125"/>
      <c r="Q72" s="125"/>
      <c r="R72" s="127" t="s">
        <v>938</v>
      </c>
      <c r="S72" s="125"/>
      <c r="T72" s="125" t="s">
        <v>367</v>
      </c>
      <c r="U72" s="125" t="s">
        <v>806</v>
      </c>
      <c r="V72" s="125"/>
    </row>
    <row r="73" spans="1:22" ht="15.6" x14ac:dyDescent="0.3">
      <c r="A73" s="118"/>
      <c r="B73" s="118"/>
      <c r="C73" s="118"/>
      <c r="D73" s="133" t="s">
        <v>939</v>
      </c>
      <c r="E73" s="118"/>
      <c r="F73" s="118"/>
      <c r="G73" s="118"/>
      <c r="H73" s="118"/>
      <c r="I73" s="118"/>
      <c r="J73" s="118"/>
      <c r="K73" s="118"/>
      <c r="L73" s="118"/>
      <c r="M73" s="118"/>
      <c r="N73" s="121" t="str">
        <f t="shared" si="1"/>
        <v>,,,,,,,</v>
      </c>
      <c r="O73" s="118"/>
      <c r="P73" s="118"/>
      <c r="Q73" s="118"/>
      <c r="R73" s="118"/>
      <c r="S73" s="118"/>
      <c r="T73" s="118"/>
      <c r="U73" s="118"/>
      <c r="V73" s="118"/>
    </row>
    <row r="74" spans="1:22" x14ac:dyDescent="0.3">
      <c r="A74" s="120">
        <v>67</v>
      </c>
      <c r="B74" s="120">
        <v>20121210938</v>
      </c>
      <c r="C74" s="120" t="s">
        <v>85</v>
      </c>
      <c r="D74" s="120">
        <v>24416334</v>
      </c>
      <c r="E74" s="120" t="s">
        <v>374</v>
      </c>
      <c r="F74" s="120" t="s">
        <v>233</v>
      </c>
      <c r="G74" s="120">
        <v>39</v>
      </c>
      <c r="H74" s="120" t="s">
        <v>940</v>
      </c>
      <c r="I74" s="120">
        <v>60</v>
      </c>
      <c r="J74" s="120" t="s">
        <v>332</v>
      </c>
      <c r="K74" s="120" t="s">
        <v>380</v>
      </c>
      <c r="L74" s="120" t="s">
        <v>810</v>
      </c>
      <c r="M74" s="121">
        <v>40916</v>
      </c>
      <c r="N74" s="121" t="str">
        <f t="shared" si="1"/>
        <v>,Master of Science in Tropical and Infectious Diseases,Bachelor of Veterinary Medicine,,,KCSE,KCPE,Certificate of Registration of A Veterinary Surgeon</v>
      </c>
      <c r="O74" s="120"/>
      <c r="P74" s="122" t="s">
        <v>941</v>
      </c>
      <c r="Q74" s="123" t="s">
        <v>891</v>
      </c>
      <c r="R74" s="120"/>
      <c r="S74" s="120"/>
      <c r="T74" s="120" t="s">
        <v>367</v>
      </c>
      <c r="U74" s="120" t="s">
        <v>806</v>
      </c>
      <c r="V74" s="120" t="s">
        <v>942</v>
      </c>
    </row>
    <row r="75" spans="1:22" x14ac:dyDescent="0.3">
      <c r="A75" s="120">
        <v>68</v>
      </c>
      <c r="B75" s="125">
        <v>2013091337</v>
      </c>
      <c r="C75" s="125" t="s">
        <v>86</v>
      </c>
      <c r="D75" s="125">
        <v>27494151</v>
      </c>
      <c r="E75" s="125" t="s">
        <v>381</v>
      </c>
      <c r="F75" s="125" t="s">
        <v>234</v>
      </c>
      <c r="G75" s="125">
        <v>35</v>
      </c>
      <c r="H75" s="125" t="s">
        <v>901</v>
      </c>
      <c r="I75" s="120">
        <v>60</v>
      </c>
      <c r="J75" s="125" t="s">
        <v>311</v>
      </c>
      <c r="K75" s="125" t="s">
        <v>375</v>
      </c>
      <c r="L75" s="125" t="s">
        <v>810</v>
      </c>
      <c r="M75" s="126">
        <v>44621</v>
      </c>
      <c r="N75" s="121" t="str">
        <f t="shared" si="1"/>
        <v>,,Bachelor of Science in Nursing,,,KCSE,KCPE,Nursing Council Of Kenya</v>
      </c>
      <c r="O75" s="125"/>
      <c r="P75" s="125"/>
      <c r="Q75" s="127" t="s">
        <v>943</v>
      </c>
      <c r="R75" s="125"/>
      <c r="S75" s="125"/>
      <c r="T75" s="125" t="s">
        <v>367</v>
      </c>
      <c r="U75" s="125" t="s">
        <v>806</v>
      </c>
      <c r="V75" s="125" t="s">
        <v>944</v>
      </c>
    </row>
    <row r="76" spans="1:22" x14ac:dyDescent="0.3">
      <c r="A76" s="120">
        <v>69</v>
      </c>
      <c r="B76" s="125">
        <v>20220598960</v>
      </c>
      <c r="C76" s="125" t="s">
        <v>87</v>
      </c>
      <c r="D76" s="125">
        <v>27895831</v>
      </c>
      <c r="E76" s="125" t="s">
        <v>381</v>
      </c>
      <c r="F76" s="126">
        <v>32544</v>
      </c>
      <c r="G76" s="125">
        <v>35</v>
      </c>
      <c r="H76" s="125" t="s">
        <v>852</v>
      </c>
      <c r="I76" s="120">
        <v>60</v>
      </c>
      <c r="J76" s="125" t="s">
        <v>311</v>
      </c>
      <c r="K76" s="125" t="s">
        <v>375</v>
      </c>
      <c r="L76" s="125" t="s">
        <v>810</v>
      </c>
      <c r="M76" s="126">
        <v>44621</v>
      </c>
      <c r="N76" s="121" t="str">
        <f t="shared" si="1"/>
        <v>,,Bachelor of Science in Biostatistics,,,KCSE,KCPE,</v>
      </c>
      <c r="O76" s="125"/>
      <c r="P76" s="125"/>
      <c r="Q76" s="125" t="s">
        <v>945</v>
      </c>
      <c r="R76" s="125"/>
      <c r="S76" s="125"/>
      <c r="T76" s="125" t="s">
        <v>367</v>
      </c>
      <c r="U76" s="125" t="s">
        <v>806</v>
      </c>
      <c r="V76" s="125"/>
    </row>
    <row r="77" spans="1:22" x14ac:dyDescent="0.3">
      <c r="A77" s="120">
        <v>70</v>
      </c>
      <c r="B77" s="125">
        <v>2012024370</v>
      </c>
      <c r="C77" s="125" t="s">
        <v>88</v>
      </c>
      <c r="D77" s="125">
        <v>23875841</v>
      </c>
      <c r="E77" s="125" t="s">
        <v>381</v>
      </c>
      <c r="F77" s="125" t="s">
        <v>235</v>
      </c>
      <c r="G77" s="125">
        <v>40</v>
      </c>
      <c r="H77" s="125" t="s">
        <v>946</v>
      </c>
      <c r="I77" s="120">
        <v>60</v>
      </c>
      <c r="J77" s="125" t="s">
        <v>319</v>
      </c>
      <c r="K77" s="125" t="s">
        <v>379</v>
      </c>
      <c r="L77" s="125" t="s">
        <v>810</v>
      </c>
      <c r="M77" s="126">
        <v>44621</v>
      </c>
      <c r="N77" s="121" t="str">
        <f t="shared" si="1"/>
        <v>,Master of Science in Medical Microbiology,Bachelor of Science in Microbiology,,,KCSE,KCPE,</v>
      </c>
      <c r="O77" s="125"/>
      <c r="P77" s="128" t="s">
        <v>849</v>
      </c>
      <c r="Q77" s="127" t="s">
        <v>947</v>
      </c>
      <c r="R77" s="125"/>
      <c r="S77" s="125"/>
      <c r="T77" s="125" t="s">
        <v>367</v>
      </c>
      <c r="U77" s="125" t="s">
        <v>806</v>
      </c>
      <c r="V77" s="125"/>
    </row>
    <row r="78" spans="1:22" x14ac:dyDescent="0.3">
      <c r="A78" s="120">
        <v>72</v>
      </c>
      <c r="B78" s="125">
        <v>20190119343</v>
      </c>
      <c r="C78" s="125" t="s">
        <v>89</v>
      </c>
      <c r="D78" s="125">
        <v>32487813</v>
      </c>
      <c r="E78" s="125" t="s">
        <v>374</v>
      </c>
      <c r="F78" s="126">
        <v>34523</v>
      </c>
      <c r="G78" s="125">
        <v>30</v>
      </c>
      <c r="H78" s="125" t="s">
        <v>948</v>
      </c>
      <c r="I78" s="120">
        <v>60</v>
      </c>
      <c r="J78" s="125" t="s">
        <v>319</v>
      </c>
      <c r="K78" s="125" t="s">
        <v>379</v>
      </c>
      <c r="L78" s="125" t="s">
        <v>810</v>
      </c>
      <c r="M78" s="126">
        <v>44205</v>
      </c>
      <c r="N78" s="121" t="str">
        <f t="shared" si="1"/>
        <v>,,Bachelor of Science Microbiology,,certificate in intoduction to biology ,KCSE,KCPE,</v>
      </c>
      <c r="O78" s="125"/>
      <c r="P78" s="125"/>
      <c r="Q78" s="131" t="s">
        <v>949</v>
      </c>
      <c r="R78" s="125"/>
      <c r="S78" s="127" t="s">
        <v>950</v>
      </c>
      <c r="T78" s="125" t="s">
        <v>367</v>
      </c>
      <c r="U78" s="125" t="s">
        <v>806</v>
      </c>
      <c r="V78" s="125"/>
    </row>
    <row r="79" spans="1:22" x14ac:dyDescent="0.3">
      <c r="A79" s="120">
        <v>73</v>
      </c>
      <c r="B79" s="125">
        <v>20190641465</v>
      </c>
      <c r="C79" s="125" t="s">
        <v>90</v>
      </c>
      <c r="D79" s="125">
        <v>22231664</v>
      </c>
      <c r="E79" s="125" t="s">
        <v>374</v>
      </c>
      <c r="F79" s="126">
        <v>29346</v>
      </c>
      <c r="G79" s="125">
        <v>44</v>
      </c>
      <c r="H79" s="125" t="s">
        <v>951</v>
      </c>
      <c r="I79" s="120">
        <v>60</v>
      </c>
      <c r="J79" s="125" t="s">
        <v>319</v>
      </c>
      <c r="K79" s="125" t="s">
        <v>379</v>
      </c>
      <c r="L79" s="125" t="s">
        <v>810</v>
      </c>
      <c r="M79" s="126">
        <v>43471</v>
      </c>
      <c r="N79" s="121" t="str">
        <f t="shared" si="1"/>
        <v>,,,Diploma in Food Technology,Certificate in Food Technology Processing and Preservation,KCSE,KCPE,</v>
      </c>
      <c r="O79" s="125"/>
      <c r="P79" s="125"/>
      <c r="Q79" s="125"/>
      <c r="R79" s="127" t="s">
        <v>952</v>
      </c>
      <c r="S79" s="127" t="s">
        <v>953</v>
      </c>
      <c r="T79" s="125" t="s">
        <v>367</v>
      </c>
      <c r="U79" s="125" t="s">
        <v>806</v>
      </c>
      <c r="V79" s="125"/>
    </row>
    <row r="80" spans="1:22" x14ac:dyDescent="0.3">
      <c r="A80" s="120">
        <v>74</v>
      </c>
      <c r="B80" s="125">
        <v>20210645977</v>
      </c>
      <c r="C80" s="125" t="s">
        <v>91</v>
      </c>
      <c r="D80" s="125">
        <v>782066</v>
      </c>
      <c r="E80" s="125" t="s">
        <v>381</v>
      </c>
      <c r="F80" s="126">
        <v>35314</v>
      </c>
      <c r="G80" s="125">
        <v>29</v>
      </c>
      <c r="H80" s="125" t="s">
        <v>951</v>
      </c>
      <c r="I80" s="120">
        <v>60</v>
      </c>
      <c r="J80" s="125" t="s">
        <v>319</v>
      </c>
      <c r="K80" s="125" t="s">
        <v>379</v>
      </c>
      <c r="L80" s="125" t="s">
        <v>810</v>
      </c>
      <c r="M80" s="126">
        <v>44205</v>
      </c>
      <c r="N80" s="121" t="str">
        <f t="shared" si="1"/>
        <v>,,Bachelor of Science in Biology,Diploma in Modern Humanities ,,KCSE,KCPE,</v>
      </c>
      <c r="O80" s="125"/>
      <c r="P80" s="125"/>
      <c r="Q80" s="127" t="s">
        <v>954</v>
      </c>
      <c r="R80" s="127" t="s">
        <v>955</v>
      </c>
      <c r="S80" s="125"/>
      <c r="T80" s="125" t="s">
        <v>367</v>
      </c>
      <c r="U80" s="125" t="s">
        <v>806</v>
      </c>
      <c r="V80" s="125"/>
    </row>
    <row r="81" spans="1:22" x14ac:dyDescent="0.3">
      <c r="A81" s="120">
        <v>75</v>
      </c>
      <c r="B81" s="125">
        <v>20210646046</v>
      </c>
      <c r="C81" s="125" t="s">
        <v>92</v>
      </c>
      <c r="D81" s="125">
        <v>35337775</v>
      </c>
      <c r="E81" s="125" t="s">
        <v>374</v>
      </c>
      <c r="F81" s="126">
        <v>35431</v>
      </c>
      <c r="G81" s="125">
        <v>28</v>
      </c>
      <c r="H81" s="125" t="s">
        <v>956</v>
      </c>
      <c r="I81" s="120">
        <v>60</v>
      </c>
      <c r="J81" s="125" t="s">
        <v>319</v>
      </c>
      <c r="K81" s="125" t="s">
        <v>379</v>
      </c>
      <c r="L81" s="125" t="s">
        <v>810</v>
      </c>
      <c r="M81" s="126">
        <v>44355</v>
      </c>
      <c r="N81" s="121" t="str">
        <f t="shared" si="1"/>
        <v>,,,,,None,None,</v>
      </c>
      <c r="O81" s="125"/>
      <c r="P81" s="125"/>
      <c r="Q81" s="125"/>
      <c r="R81" s="125"/>
      <c r="S81" s="125"/>
      <c r="T81" s="120" t="s">
        <v>957</v>
      </c>
      <c r="U81" s="125" t="s">
        <v>957</v>
      </c>
      <c r="V81" s="125"/>
    </row>
    <row r="82" spans="1:22" x14ac:dyDescent="0.3">
      <c r="A82" s="120">
        <v>76</v>
      </c>
      <c r="B82" s="125">
        <v>20210646062</v>
      </c>
      <c r="C82" s="125" t="s">
        <v>93</v>
      </c>
      <c r="D82" s="125">
        <v>11710039</v>
      </c>
      <c r="E82" s="125" t="s">
        <v>374</v>
      </c>
      <c r="F82" s="126">
        <v>26671</v>
      </c>
      <c r="G82" s="125">
        <v>51</v>
      </c>
      <c r="H82" s="125" t="s">
        <v>956</v>
      </c>
      <c r="I82" s="120">
        <v>60</v>
      </c>
      <c r="J82" s="125" t="s">
        <v>319</v>
      </c>
      <c r="K82" s="125" t="s">
        <v>379</v>
      </c>
      <c r="L82" s="125" t="s">
        <v>810</v>
      </c>
      <c r="M82" s="126">
        <v>44355</v>
      </c>
      <c r="N82" s="121" t="str">
        <f t="shared" si="1"/>
        <v>,,,,,None,None,</v>
      </c>
      <c r="O82" s="125"/>
      <c r="P82" s="125"/>
      <c r="Q82" s="125"/>
      <c r="R82" s="125"/>
      <c r="S82" s="125"/>
      <c r="T82" s="125" t="s">
        <v>957</v>
      </c>
      <c r="U82" s="125" t="s">
        <v>957</v>
      </c>
      <c r="V82" s="125"/>
    </row>
    <row r="83" spans="1:22" x14ac:dyDescent="0.3">
      <c r="A83" s="120">
        <v>77</v>
      </c>
      <c r="B83" s="125">
        <v>20220598512</v>
      </c>
      <c r="C83" s="125" t="s">
        <v>94</v>
      </c>
      <c r="D83" s="125">
        <v>29443115</v>
      </c>
      <c r="E83" s="125" t="s">
        <v>381</v>
      </c>
      <c r="F83" s="125" t="s">
        <v>236</v>
      </c>
      <c r="G83" s="125">
        <v>32</v>
      </c>
      <c r="H83" s="125" t="s">
        <v>946</v>
      </c>
      <c r="I83" s="120">
        <v>60</v>
      </c>
      <c r="J83" s="125" t="s">
        <v>319</v>
      </c>
      <c r="K83" s="125" t="s">
        <v>379</v>
      </c>
      <c r="L83" s="125" t="s">
        <v>810</v>
      </c>
      <c r="M83" s="126">
        <v>44621</v>
      </c>
      <c r="N83" s="121" t="str">
        <f t="shared" si="1"/>
        <v>,,Bachelor of Science in Medical Microbiology,,,KCSE,KCPE,</v>
      </c>
      <c r="O83" s="125"/>
      <c r="P83" s="125"/>
      <c r="Q83" s="127" t="s">
        <v>858</v>
      </c>
      <c r="R83" s="125"/>
      <c r="S83" s="125"/>
      <c r="T83" s="125" t="s">
        <v>367</v>
      </c>
      <c r="U83" s="125" t="s">
        <v>806</v>
      </c>
      <c r="V83" s="125"/>
    </row>
    <row r="84" spans="1:22" x14ac:dyDescent="0.3">
      <c r="A84" s="120">
        <v>78</v>
      </c>
      <c r="B84" s="125">
        <v>20220598546</v>
      </c>
      <c r="C84" s="125" t="s">
        <v>95</v>
      </c>
      <c r="D84" s="125">
        <v>28484103</v>
      </c>
      <c r="E84" s="125" t="s">
        <v>374</v>
      </c>
      <c r="F84" s="125" t="s">
        <v>237</v>
      </c>
      <c r="G84" s="125">
        <v>33</v>
      </c>
      <c r="H84" s="125" t="s">
        <v>958</v>
      </c>
      <c r="I84" s="120">
        <v>60</v>
      </c>
      <c r="J84" s="125" t="s">
        <v>319</v>
      </c>
      <c r="K84" s="125" t="s">
        <v>379</v>
      </c>
      <c r="L84" s="125" t="s">
        <v>810</v>
      </c>
      <c r="M84" s="126">
        <v>44621</v>
      </c>
      <c r="N84" s="121" t="str">
        <f t="shared" si="1"/>
        <v>,,,Diploma in Community Health Nursing,,KCSE,KCPE,Nursing Council Of Kenya</v>
      </c>
      <c r="O84" s="125"/>
      <c r="P84" s="125"/>
      <c r="Q84" s="125"/>
      <c r="R84" s="127" t="s">
        <v>959</v>
      </c>
      <c r="S84" s="125"/>
      <c r="T84" s="125" t="s">
        <v>367</v>
      </c>
      <c r="U84" s="125" t="s">
        <v>806</v>
      </c>
      <c r="V84" s="125" t="s">
        <v>944</v>
      </c>
    </row>
    <row r="85" spans="1:22" x14ac:dyDescent="0.3">
      <c r="A85" s="120">
        <v>79</v>
      </c>
      <c r="B85" s="125">
        <v>20220598740</v>
      </c>
      <c r="C85" s="125" t="s">
        <v>96</v>
      </c>
      <c r="D85" s="125">
        <v>30866902</v>
      </c>
      <c r="E85" s="125" t="s">
        <v>374</v>
      </c>
      <c r="F85" s="126">
        <v>34184</v>
      </c>
      <c r="G85" s="125">
        <v>32</v>
      </c>
      <c r="H85" s="125" t="s">
        <v>946</v>
      </c>
      <c r="I85" s="120">
        <v>60</v>
      </c>
      <c r="J85" s="125" t="s">
        <v>319</v>
      </c>
      <c r="K85" s="125" t="s">
        <v>379</v>
      </c>
      <c r="L85" s="125" t="s">
        <v>810</v>
      </c>
      <c r="M85" s="126">
        <v>44621</v>
      </c>
      <c r="N85" s="121" t="str">
        <f t="shared" si="1"/>
        <v>,,Bachelor of Education in Early Childhood Education,Diploma in Early Childhood Education ,Certificate in Early Childhood Education,KCSE,KCPE,</v>
      </c>
      <c r="O85" s="125"/>
      <c r="P85" s="125"/>
      <c r="Q85" s="127" t="s">
        <v>960</v>
      </c>
      <c r="R85" s="127" t="s">
        <v>961</v>
      </c>
      <c r="S85" s="125" t="s">
        <v>962</v>
      </c>
      <c r="T85" s="125" t="s">
        <v>367</v>
      </c>
      <c r="U85" s="125" t="s">
        <v>806</v>
      </c>
      <c r="V85" s="125"/>
    </row>
    <row r="86" spans="1:22" x14ac:dyDescent="0.3">
      <c r="A86" s="120">
        <v>80</v>
      </c>
      <c r="B86" s="125">
        <v>20220598839</v>
      </c>
      <c r="C86" s="125" t="s">
        <v>97</v>
      </c>
      <c r="D86" s="125">
        <v>23065759</v>
      </c>
      <c r="E86" s="125" t="s">
        <v>374</v>
      </c>
      <c r="F86" s="126">
        <v>29993</v>
      </c>
      <c r="G86" s="125">
        <v>42</v>
      </c>
      <c r="H86" s="125" t="s">
        <v>901</v>
      </c>
      <c r="I86" s="120">
        <v>60</v>
      </c>
      <c r="J86" s="125" t="s">
        <v>333</v>
      </c>
      <c r="K86" s="125" t="s">
        <v>379</v>
      </c>
      <c r="L86" s="125" t="s">
        <v>810</v>
      </c>
      <c r="M86" s="126">
        <v>42379</v>
      </c>
      <c r="N86" s="121" t="str">
        <f t="shared" si="1"/>
        <v>,,,Diploma in Tour Guide and Administration,Certificate in Tour Guiding and Administration,KCSE,KCPE,</v>
      </c>
      <c r="O86" s="125"/>
      <c r="P86" s="125"/>
      <c r="Q86" s="125"/>
      <c r="R86" s="127" t="s">
        <v>963</v>
      </c>
      <c r="S86" s="127" t="s">
        <v>964</v>
      </c>
      <c r="T86" s="125" t="s">
        <v>367</v>
      </c>
      <c r="U86" s="125" t="s">
        <v>806</v>
      </c>
      <c r="V86" s="125"/>
    </row>
    <row r="87" spans="1:22" x14ac:dyDescent="0.3">
      <c r="A87" s="120">
        <v>81</v>
      </c>
      <c r="B87" s="125">
        <v>20220598889</v>
      </c>
      <c r="C87" s="125" t="s">
        <v>98</v>
      </c>
      <c r="D87" s="125">
        <v>25037835</v>
      </c>
      <c r="E87" s="125" t="s">
        <v>381</v>
      </c>
      <c r="F87" s="126">
        <v>31968</v>
      </c>
      <c r="G87" s="125">
        <v>37</v>
      </c>
      <c r="H87" s="125" t="s">
        <v>946</v>
      </c>
      <c r="I87" s="120">
        <v>60</v>
      </c>
      <c r="J87" s="125" t="s">
        <v>319</v>
      </c>
      <c r="K87" s="125" t="s">
        <v>379</v>
      </c>
      <c r="L87" s="125" t="s">
        <v>810</v>
      </c>
      <c r="M87" s="126">
        <v>44621</v>
      </c>
      <c r="N87" s="121" t="str">
        <f t="shared" si="1"/>
        <v>,,Bachelor of Science in Biotechnology,,,KCSE,KCPE,</v>
      </c>
      <c r="O87" s="125"/>
      <c r="P87" s="125"/>
      <c r="Q87" s="127" t="s">
        <v>965</v>
      </c>
      <c r="R87" s="125"/>
      <c r="S87" s="125"/>
      <c r="T87" s="125" t="s">
        <v>367</v>
      </c>
      <c r="U87" s="125" t="s">
        <v>806</v>
      </c>
      <c r="V87" s="125"/>
    </row>
    <row r="88" spans="1:22" x14ac:dyDescent="0.3">
      <c r="A88" s="120">
        <v>82</v>
      </c>
      <c r="B88" s="125">
        <v>20240090217</v>
      </c>
      <c r="C88" s="125" t="s">
        <v>99</v>
      </c>
      <c r="D88" s="125">
        <v>33133984</v>
      </c>
      <c r="E88" s="125" t="s">
        <v>374</v>
      </c>
      <c r="F88" s="126">
        <v>34340</v>
      </c>
      <c r="G88" s="125">
        <v>30</v>
      </c>
      <c r="H88" s="125" t="s">
        <v>966</v>
      </c>
      <c r="I88" s="120">
        <v>60</v>
      </c>
      <c r="J88" s="125" t="s">
        <v>319</v>
      </c>
      <c r="K88" s="125" t="s">
        <v>379</v>
      </c>
      <c r="L88" s="125" t="s">
        <v>810</v>
      </c>
      <c r="M88" s="126">
        <v>45294</v>
      </c>
      <c r="N88" s="121" t="str">
        <f t="shared" si="1"/>
        <v>,,Bachelor of Science ( major Biology ) Biomedical Option,Diploma in Technology ( Biochemistry),,KCSE,KCPE,</v>
      </c>
      <c r="O88" s="125"/>
      <c r="P88" s="125"/>
      <c r="Q88" s="127" t="s">
        <v>967</v>
      </c>
      <c r="R88" s="125" t="s">
        <v>968</v>
      </c>
      <c r="S88" s="125"/>
      <c r="T88" s="125" t="s">
        <v>367</v>
      </c>
      <c r="U88" s="125" t="s">
        <v>806</v>
      </c>
      <c r="V88" s="125"/>
    </row>
    <row r="89" spans="1:22" x14ac:dyDescent="0.3">
      <c r="A89" s="120">
        <v>83</v>
      </c>
      <c r="B89" s="125">
        <v>20240300939</v>
      </c>
      <c r="C89" s="125" t="s">
        <v>100</v>
      </c>
      <c r="D89" s="125">
        <v>32424642</v>
      </c>
      <c r="E89" s="125" t="s">
        <v>374</v>
      </c>
      <c r="F89" s="126">
        <v>34586</v>
      </c>
      <c r="G89" s="125">
        <v>30</v>
      </c>
      <c r="H89" s="125" t="s">
        <v>948</v>
      </c>
      <c r="I89" s="120">
        <v>60</v>
      </c>
      <c r="J89" s="125" t="s">
        <v>319</v>
      </c>
      <c r="K89" s="125" t="s">
        <v>379</v>
      </c>
      <c r="L89" s="125" t="s">
        <v>810</v>
      </c>
      <c r="M89" s="125" t="s">
        <v>969</v>
      </c>
      <c r="N89" s="121" t="str">
        <f t="shared" si="1"/>
        <v>,,Bachelor Of Arts (Anthropology),,,KCSE,KCPE,</v>
      </c>
      <c r="O89" s="125"/>
      <c r="P89" s="125"/>
      <c r="Q89" s="125" t="s">
        <v>970</v>
      </c>
      <c r="R89" s="125"/>
      <c r="S89" s="125"/>
      <c r="T89" s="125" t="s">
        <v>367</v>
      </c>
      <c r="U89" s="125" t="s">
        <v>806</v>
      </c>
      <c r="V89" s="125"/>
    </row>
    <row r="90" spans="1:22" x14ac:dyDescent="0.3">
      <c r="A90" s="120">
        <v>84</v>
      </c>
      <c r="B90" s="125">
        <v>20240300955</v>
      </c>
      <c r="C90" s="125" t="s">
        <v>101</v>
      </c>
      <c r="D90" s="125">
        <v>37415502</v>
      </c>
      <c r="E90" s="125" t="s">
        <v>374</v>
      </c>
      <c r="F90" s="125" t="s">
        <v>238</v>
      </c>
      <c r="G90" s="125">
        <v>25</v>
      </c>
      <c r="H90" s="125" t="s">
        <v>948</v>
      </c>
      <c r="I90" s="120">
        <v>60</v>
      </c>
      <c r="J90" s="125" t="s">
        <v>319</v>
      </c>
      <c r="K90" s="125" t="s">
        <v>379</v>
      </c>
      <c r="L90" s="125" t="s">
        <v>810</v>
      </c>
      <c r="M90" s="125" t="s">
        <v>969</v>
      </c>
      <c r="N90" s="121" t="str">
        <f t="shared" si="1"/>
        <v>,,Bachelor of Science in Statistics,,,KCSE,KCPE,</v>
      </c>
      <c r="O90" s="125"/>
      <c r="P90" s="125"/>
      <c r="Q90" s="125" t="s">
        <v>971</v>
      </c>
      <c r="R90" s="125"/>
      <c r="S90" s="125"/>
      <c r="T90" s="125" t="s">
        <v>367</v>
      </c>
      <c r="U90" s="125" t="s">
        <v>806</v>
      </c>
      <c r="V90" s="125"/>
    </row>
    <row r="91" spans="1:22" x14ac:dyDescent="0.3">
      <c r="A91" s="120">
        <v>85</v>
      </c>
      <c r="B91" s="125">
        <v>20240300971</v>
      </c>
      <c r="C91" s="125" t="s">
        <v>102</v>
      </c>
      <c r="D91" s="125">
        <v>39383066</v>
      </c>
      <c r="E91" s="125" t="s">
        <v>374</v>
      </c>
      <c r="F91" s="126">
        <v>36901</v>
      </c>
      <c r="G91" s="125">
        <v>23</v>
      </c>
      <c r="H91" s="125" t="s">
        <v>972</v>
      </c>
      <c r="I91" s="120">
        <v>60</v>
      </c>
      <c r="J91" s="125" t="s">
        <v>319</v>
      </c>
      <c r="K91" s="125" t="s">
        <v>379</v>
      </c>
      <c r="L91" s="125" t="s">
        <v>810</v>
      </c>
      <c r="M91" s="126">
        <v>45302</v>
      </c>
      <c r="N91" s="121" t="str">
        <f t="shared" si="1"/>
        <v>,,Bachelor of Veterinary Medicine,,,KCSE,KCPE,</v>
      </c>
      <c r="O91" s="125"/>
      <c r="P91" s="125"/>
      <c r="Q91" s="125" t="s">
        <v>891</v>
      </c>
      <c r="R91" s="125"/>
      <c r="S91" s="125"/>
      <c r="T91" s="125" t="s">
        <v>367</v>
      </c>
      <c r="U91" s="125" t="s">
        <v>806</v>
      </c>
      <c r="V91" s="125"/>
    </row>
    <row r="92" spans="1:22" x14ac:dyDescent="0.3">
      <c r="A92" s="120">
        <v>86</v>
      </c>
      <c r="B92" s="125">
        <v>20250008018</v>
      </c>
      <c r="C92" s="125" t="s">
        <v>103</v>
      </c>
      <c r="D92" s="125">
        <v>38290848</v>
      </c>
      <c r="E92" s="125" t="s">
        <v>381</v>
      </c>
      <c r="F92" s="126">
        <v>37200</v>
      </c>
      <c r="G92" s="125">
        <v>23</v>
      </c>
      <c r="H92" s="125" t="s">
        <v>890</v>
      </c>
      <c r="I92" s="120">
        <v>60</v>
      </c>
      <c r="J92" s="125" t="s">
        <v>319</v>
      </c>
      <c r="K92" s="125" t="s">
        <v>379</v>
      </c>
      <c r="L92" s="125" t="s">
        <v>810</v>
      </c>
      <c r="M92" s="126">
        <v>45659</v>
      </c>
      <c r="N92" s="121" t="str">
        <f t="shared" si="1"/>
        <v>,,,Diploma in Registered Nursing,,KCSE,KCPE,Nursing Council Of Kenya</v>
      </c>
      <c r="O92" s="125"/>
      <c r="P92" s="125"/>
      <c r="Q92" s="125"/>
      <c r="R92" s="125" t="s">
        <v>973</v>
      </c>
      <c r="S92" s="125"/>
      <c r="T92" s="125" t="s">
        <v>367</v>
      </c>
      <c r="U92" s="125" t="s">
        <v>806</v>
      </c>
      <c r="V92" s="125" t="s">
        <v>944</v>
      </c>
    </row>
    <row r="93" spans="1:22" x14ac:dyDescent="0.3">
      <c r="A93" s="120">
        <v>87</v>
      </c>
      <c r="B93" s="128">
        <v>20250067339</v>
      </c>
      <c r="C93" s="125" t="s">
        <v>104</v>
      </c>
      <c r="D93" s="125">
        <v>40031044</v>
      </c>
      <c r="E93" s="125" t="s">
        <v>381</v>
      </c>
      <c r="F93" s="125" t="s">
        <v>239</v>
      </c>
      <c r="G93" s="125">
        <v>23</v>
      </c>
      <c r="H93" s="125" t="s">
        <v>974</v>
      </c>
      <c r="I93" s="120">
        <v>60</v>
      </c>
      <c r="J93" s="125" t="s">
        <v>319</v>
      </c>
      <c r="K93" s="125" t="s">
        <v>379</v>
      </c>
      <c r="L93" s="125" t="s">
        <v>810</v>
      </c>
      <c r="M93" s="126">
        <v>45693</v>
      </c>
      <c r="N93" s="121" t="str">
        <f t="shared" si="1"/>
        <v>,,Bachelor of Science in Public Health,,,KCSE,KCPE,</v>
      </c>
      <c r="O93" s="125"/>
      <c r="P93" s="125"/>
      <c r="Q93" s="125" t="s">
        <v>850</v>
      </c>
      <c r="R93" s="125"/>
      <c r="S93" s="125"/>
      <c r="T93" s="125" t="s">
        <v>367</v>
      </c>
      <c r="U93" s="125" t="s">
        <v>806</v>
      </c>
      <c r="V93" s="125"/>
    </row>
    <row r="94" spans="1:22" ht="15.6" x14ac:dyDescent="0.3">
      <c r="A94" s="118"/>
      <c r="B94" s="118"/>
      <c r="C94" s="118"/>
      <c r="D94" s="133" t="s">
        <v>975</v>
      </c>
      <c r="E94" s="118"/>
      <c r="F94" s="118"/>
      <c r="G94" s="118"/>
      <c r="H94" s="118"/>
      <c r="I94" s="118"/>
      <c r="J94" s="118"/>
      <c r="K94" s="118"/>
      <c r="L94" s="118"/>
      <c r="M94" s="118"/>
      <c r="N94" s="121" t="str">
        <f t="shared" si="1"/>
        <v>,,,,,,,</v>
      </c>
      <c r="O94" s="118"/>
      <c r="P94" s="118"/>
      <c r="Q94" s="118"/>
      <c r="R94" s="118"/>
      <c r="S94" s="118"/>
      <c r="T94" s="118"/>
      <c r="U94" s="118"/>
      <c r="V94" s="118"/>
    </row>
    <row r="95" spans="1:22" x14ac:dyDescent="0.3">
      <c r="A95" s="125">
        <v>88</v>
      </c>
      <c r="B95" s="125">
        <v>20152655585</v>
      </c>
      <c r="C95" s="125" t="s">
        <v>105</v>
      </c>
      <c r="D95" s="125">
        <v>26673037</v>
      </c>
      <c r="E95" s="125" t="s">
        <v>381</v>
      </c>
      <c r="F95" s="126">
        <v>32302</v>
      </c>
      <c r="G95" s="125">
        <v>36</v>
      </c>
      <c r="H95" s="125" t="s">
        <v>976</v>
      </c>
      <c r="I95" s="125">
        <v>60</v>
      </c>
      <c r="J95" s="125" t="s">
        <v>302</v>
      </c>
      <c r="K95" s="125" t="s">
        <v>376</v>
      </c>
      <c r="L95" s="125" t="s">
        <v>810</v>
      </c>
      <c r="M95" s="126">
        <v>42221</v>
      </c>
      <c r="N95" s="121" t="str">
        <f t="shared" si="1"/>
        <v>,,Bachelor of Arts in Information Studies,,,KCSE,KCPE,</v>
      </c>
      <c r="O95" s="125"/>
      <c r="P95" s="125"/>
      <c r="Q95" s="127" t="s">
        <v>977</v>
      </c>
      <c r="R95" s="125"/>
      <c r="S95" s="125"/>
      <c r="T95" s="125" t="s">
        <v>367</v>
      </c>
      <c r="U95" s="125" t="s">
        <v>806</v>
      </c>
      <c r="V95" s="125"/>
    </row>
    <row r="96" spans="1:22" x14ac:dyDescent="0.3">
      <c r="A96" s="125">
        <v>89</v>
      </c>
      <c r="B96" s="125">
        <v>20160708685</v>
      </c>
      <c r="C96" s="125" t="s">
        <v>106</v>
      </c>
      <c r="D96" s="125">
        <v>27758071</v>
      </c>
      <c r="E96" s="125" t="s">
        <v>374</v>
      </c>
      <c r="F96" s="125" t="s">
        <v>240</v>
      </c>
      <c r="G96" s="125">
        <v>34</v>
      </c>
      <c r="H96" s="125" t="s">
        <v>958</v>
      </c>
      <c r="I96" s="125">
        <v>60</v>
      </c>
      <c r="J96" s="125" t="s">
        <v>306</v>
      </c>
      <c r="K96" s="125" t="s">
        <v>379</v>
      </c>
      <c r="L96" s="125" t="s">
        <v>810</v>
      </c>
      <c r="M96" s="126">
        <v>42500</v>
      </c>
      <c r="N96" s="121" t="str">
        <f t="shared" si="1"/>
        <v>,,,,,KCSE,KCPE,</v>
      </c>
      <c r="O96" s="125"/>
      <c r="P96" s="125"/>
      <c r="Q96" s="125"/>
      <c r="R96" s="125"/>
      <c r="S96" s="125"/>
      <c r="T96" s="125" t="s">
        <v>367</v>
      </c>
      <c r="U96" s="125" t="s">
        <v>806</v>
      </c>
      <c r="V96" s="125"/>
    </row>
    <row r="97" spans="1:22" x14ac:dyDescent="0.3">
      <c r="A97" s="125">
        <v>90</v>
      </c>
      <c r="B97" s="125">
        <v>20220598253</v>
      </c>
      <c r="C97" s="125" t="s">
        <v>107</v>
      </c>
      <c r="D97" s="125">
        <v>32316111</v>
      </c>
      <c r="E97" s="125" t="s">
        <v>374</v>
      </c>
      <c r="F97" s="126">
        <v>34617</v>
      </c>
      <c r="G97" s="125">
        <v>30</v>
      </c>
      <c r="H97" s="125" t="s">
        <v>931</v>
      </c>
      <c r="I97" s="125">
        <v>60</v>
      </c>
      <c r="J97" s="125" t="s">
        <v>306</v>
      </c>
      <c r="K97" s="125" t="s">
        <v>379</v>
      </c>
      <c r="L97" s="125" t="s">
        <v>810</v>
      </c>
      <c r="M97" s="125" t="s">
        <v>978</v>
      </c>
      <c r="N97" s="121" t="str">
        <f t="shared" si="1"/>
        <v>,,,,,KCSE,KCPE,</v>
      </c>
      <c r="O97" s="125"/>
      <c r="P97" s="125"/>
      <c r="Q97" s="125"/>
      <c r="R97" s="125"/>
      <c r="S97" s="125"/>
      <c r="T97" s="125" t="s">
        <v>367</v>
      </c>
      <c r="U97" s="125" t="s">
        <v>806</v>
      </c>
      <c r="V97" s="125"/>
    </row>
    <row r="98" spans="1:22" x14ac:dyDescent="0.3">
      <c r="A98" s="125">
        <v>91</v>
      </c>
      <c r="B98" s="125">
        <v>19930980996</v>
      </c>
      <c r="C98" s="125" t="s">
        <v>108</v>
      </c>
      <c r="D98" s="125">
        <v>8966122</v>
      </c>
      <c r="E98" s="125" t="s">
        <v>374</v>
      </c>
      <c r="F98" s="125" t="s">
        <v>241</v>
      </c>
      <c r="G98" s="125">
        <v>57</v>
      </c>
      <c r="H98" s="125" t="s">
        <v>979</v>
      </c>
      <c r="I98" s="125">
        <v>60</v>
      </c>
      <c r="J98" s="125" t="s">
        <v>324</v>
      </c>
      <c r="K98" s="125" t="s">
        <v>377</v>
      </c>
      <c r="L98" s="125" t="s">
        <v>810</v>
      </c>
      <c r="M98" s="126">
        <v>33976</v>
      </c>
      <c r="N98" s="121" t="str">
        <f t="shared" si="1"/>
        <v>,,,,,KCSE,KCPE,</v>
      </c>
      <c r="O98" s="125"/>
      <c r="P98" s="125"/>
      <c r="Q98" s="125"/>
      <c r="R98" s="125"/>
      <c r="S98" s="125"/>
      <c r="T98" s="125" t="s">
        <v>367</v>
      </c>
      <c r="U98" s="125" t="s">
        <v>806</v>
      </c>
      <c r="V98" s="125"/>
    </row>
    <row r="99" spans="1:22" x14ac:dyDescent="0.3">
      <c r="A99" s="125">
        <v>92</v>
      </c>
      <c r="B99" s="125">
        <v>20181472223</v>
      </c>
      <c r="C99" s="125" t="s">
        <v>109</v>
      </c>
      <c r="D99" s="125">
        <v>33852077</v>
      </c>
      <c r="E99" s="125" t="s">
        <v>374</v>
      </c>
      <c r="F99" s="126">
        <v>35466</v>
      </c>
      <c r="G99" s="125">
        <v>27</v>
      </c>
      <c r="H99" s="125" t="s">
        <v>951</v>
      </c>
      <c r="I99" s="125">
        <v>60</v>
      </c>
      <c r="J99" s="125" t="s">
        <v>319</v>
      </c>
      <c r="K99" s="125" t="s">
        <v>379</v>
      </c>
      <c r="L99" s="125" t="s">
        <v>810</v>
      </c>
      <c r="M99" s="126">
        <v>43284</v>
      </c>
      <c r="N99" s="121" t="str">
        <f t="shared" si="1"/>
        <v>,,,,,KCSE,KCPE,</v>
      </c>
      <c r="O99" s="125"/>
      <c r="P99" s="125"/>
      <c r="Q99" s="125"/>
      <c r="R99" s="125"/>
      <c r="S99" s="125"/>
      <c r="T99" s="125" t="s">
        <v>367</v>
      </c>
      <c r="U99" s="125" t="s">
        <v>806</v>
      </c>
      <c r="V99" s="125"/>
    </row>
    <row r="100" spans="1:22" ht="15.6" x14ac:dyDescent="0.3">
      <c r="A100" s="118"/>
      <c r="B100" s="118"/>
      <c r="C100" s="118"/>
      <c r="D100" s="133" t="s">
        <v>980</v>
      </c>
      <c r="E100" s="118"/>
      <c r="F100" s="118"/>
      <c r="G100" s="118"/>
      <c r="H100" s="118"/>
      <c r="I100" s="118"/>
      <c r="J100" s="118"/>
      <c r="K100" s="118"/>
      <c r="L100" s="118"/>
      <c r="M100" s="118"/>
      <c r="N100" s="121" t="str">
        <f t="shared" si="1"/>
        <v>,,,,,,,</v>
      </c>
      <c r="O100" s="118"/>
      <c r="P100" s="118"/>
      <c r="Q100" s="118"/>
      <c r="R100" s="118"/>
      <c r="S100" s="118"/>
      <c r="T100" s="118"/>
      <c r="U100" s="118"/>
      <c r="V100" s="118"/>
    </row>
    <row r="101" spans="1:22" x14ac:dyDescent="0.3">
      <c r="A101" s="120">
        <v>93</v>
      </c>
      <c r="B101" s="120">
        <v>19950950775</v>
      </c>
      <c r="C101" s="120" t="s">
        <v>110</v>
      </c>
      <c r="D101" s="120">
        <v>8456642</v>
      </c>
      <c r="E101" s="120" t="s">
        <v>374</v>
      </c>
      <c r="F101" s="120" t="s">
        <v>242</v>
      </c>
      <c r="G101" s="120">
        <v>58</v>
      </c>
      <c r="H101" s="120" t="s">
        <v>981</v>
      </c>
      <c r="I101" s="120">
        <v>70</v>
      </c>
      <c r="J101" s="120" t="s">
        <v>323</v>
      </c>
      <c r="K101" s="120" t="s">
        <v>373</v>
      </c>
      <c r="L101" s="120" t="s">
        <v>810</v>
      </c>
      <c r="M101" s="121">
        <v>34824</v>
      </c>
      <c r="N101" s="121" t="str">
        <f t="shared" si="1"/>
        <v>Doctor of Philosophy,Master of Arts,Bachelor of Science,,Kenya Advanced  Certification of Education,KCSE,KCPE,</v>
      </c>
      <c r="O101" s="123" t="s">
        <v>844</v>
      </c>
      <c r="P101" s="122" t="s">
        <v>982</v>
      </c>
      <c r="Q101" s="123" t="s">
        <v>813</v>
      </c>
      <c r="R101" s="120"/>
      <c r="S101" s="123" t="s">
        <v>983</v>
      </c>
      <c r="T101" s="120" t="s">
        <v>367</v>
      </c>
      <c r="U101" s="120" t="s">
        <v>806</v>
      </c>
      <c r="V101" s="120"/>
    </row>
    <row r="102" spans="1:22" x14ac:dyDescent="0.3">
      <c r="A102" s="120">
        <v>94</v>
      </c>
      <c r="B102" s="125">
        <v>20089223944</v>
      </c>
      <c r="C102" s="125" t="s">
        <v>111</v>
      </c>
      <c r="D102" s="125">
        <v>23837529</v>
      </c>
      <c r="E102" s="125" t="s">
        <v>381</v>
      </c>
      <c r="F102" s="125" t="s">
        <v>243</v>
      </c>
      <c r="G102" s="125">
        <v>43</v>
      </c>
      <c r="H102" s="125" t="s">
        <v>984</v>
      </c>
      <c r="I102" s="120">
        <v>70</v>
      </c>
      <c r="J102" s="125" t="s">
        <v>307</v>
      </c>
      <c r="K102" s="125" t="s">
        <v>380</v>
      </c>
      <c r="L102" s="125" t="s">
        <v>810</v>
      </c>
      <c r="M102" s="126">
        <v>39450</v>
      </c>
      <c r="N102" s="121" t="str">
        <f t="shared" si="1"/>
        <v>Doctor of Philosophy (Pharmacology),Masters of Science (In pharmacology and Toxicology),Bachelor of Science (Biomedical Science and Technology) Pharmacology and Physiology option,,,KCSE,KCPE,</v>
      </c>
      <c r="O102" s="127" t="s">
        <v>985</v>
      </c>
      <c r="P102" s="127" t="s">
        <v>986</v>
      </c>
      <c r="Q102" s="127" t="s">
        <v>987</v>
      </c>
      <c r="R102" s="125"/>
      <c r="S102" s="125"/>
      <c r="T102" s="125" t="s">
        <v>367</v>
      </c>
      <c r="U102" s="125" t="s">
        <v>806</v>
      </c>
      <c r="V102" s="125"/>
    </row>
    <row r="103" spans="1:22" x14ac:dyDescent="0.3">
      <c r="A103" s="120">
        <v>95</v>
      </c>
      <c r="B103" s="125">
        <v>19961316667</v>
      </c>
      <c r="C103" s="125" t="s">
        <v>112</v>
      </c>
      <c r="D103" s="125">
        <v>7466013</v>
      </c>
      <c r="E103" s="125" t="s">
        <v>374</v>
      </c>
      <c r="F103" s="126">
        <v>23812</v>
      </c>
      <c r="G103" s="125">
        <v>59</v>
      </c>
      <c r="H103" s="125" t="s">
        <v>988</v>
      </c>
      <c r="I103" s="120">
        <v>70</v>
      </c>
      <c r="J103" s="125" t="s">
        <v>334</v>
      </c>
      <c r="K103" s="125" t="s">
        <v>372</v>
      </c>
      <c r="L103" s="125" t="s">
        <v>810</v>
      </c>
      <c r="M103" s="126">
        <v>35066</v>
      </c>
      <c r="N103" s="121" t="str">
        <f t="shared" si="1"/>
        <v>,Masters of Master of Philosophy,Bachelor of Science of Veterinary Medicine,,kenya Advanced Certficate of Education,KCSE,KCPE,Certificate of Registration of A Veterinary Surgeon</v>
      </c>
      <c r="O103" s="125"/>
      <c r="P103" s="127" t="s">
        <v>989</v>
      </c>
      <c r="Q103" s="127" t="s">
        <v>990</v>
      </c>
      <c r="R103" s="125"/>
      <c r="S103" s="127" t="s">
        <v>991</v>
      </c>
      <c r="T103" s="125" t="s">
        <v>367</v>
      </c>
      <c r="U103" s="125" t="s">
        <v>806</v>
      </c>
      <c r="V103" s="120" t="s">
        <v>942</v>
      </c>
    </row>
    <row r="104" spans="1:22" x14ac:dyDescent="0.3">
      <c r="A104" s="120">
        <v>96</v>
      </c>
      <c r="B104" s="125">
        <v>20077017719</v>
      </c>
      <c r="C104" s="125" t="s">
        <v>113</v>
      </c>
      <c r="D104" s="125">
        <v>26202665</v>
      </c>
      <c r="E104" s="125" t="s">
        <v>374</v>
      </c>
      <c r="F104" s="125" t="s">
        <v>244</v>
      </c>
      <c r="G104" s="125">
        <v>36</v>
      </c>
      <c r="H104" s="125" t="s">
        <v>992</v>
      </c>
      <c r="I104" s="125">
        <v>60</v>
      </c>
      <c r="J104" s="125" t="s">
        <v>335</v>
      </c>
      <c r="K104" s="125" t="s">
        <v>377</v>
      </c>
      <c r="L104" s="125" t="s">
        <v>810</v>
      </c>
      <c r="M104" s="125" t="s">
        <v>993</v>
      </c>
      <c r="N104" s="121" t="str">
        <f t="shared" si="1"/>
        <v>,,,Diploma in Technology (Industrial and Applied Biology),,KCSE,KCPE,</v>
      </c>
      <c r="O104" s="125"/>
      <c r="P104" s="125"/>
      <c r="Q104" s="125"/>
      <c r="R104" s="127" t="s">
        <v>994</v>
      </c>
      <c r="S104" s="125"/>
      <c r="T104" s="125" t="s">
        <v>367</v>
      </c>
      <c r="U104" s="125" t="s">
        <v>806</v>
      </c>
      <c r="V104" s="125"/>
    </row>
    <row r="105" spans="1:22" ht="15.6" x14ac:dyDescent="0.3">
      <c r="A105" s="118"/>
      <c r="B105" s="118"/>
      <c r="C105" s="118"/>
      <c r="D105" s="133" t="s">
        <v>995</v>
      </c>
      <c r="E105" s="118"/>
      <c r="F105" s="118"/>
      <c r="G105" s="118"/>
      <c r="H105" s="118"/>
      <c r="I105" s="118"/>
      <c r="J105" s="118"/>
      <c r="K105" s="118"/>
      <c r="L105" s="118"/>
      <c r="M105" s="118"/>
      <c r="N105" s="121" t="str">
        <f t="shared" si="1"/>
        <v>,,,,,,,</v>
      </c>
      <c r="O105" s="118"/>
      <c r="P105" s="118"/>
      <c r="Q105" s="118"/>
      <c r="R105" s="118"/>
      <c r="S105" s="118"/>
      <c r="T105" s="118"/>
      <c r="U105" s="118"/>
      <c r="V105" s="118"/>
    </row>
    <row r="106" spans="1:22" x14ac:dyDescent="0.3">
      <c r="A106" s="125">
        <v>97</v>
      </c>
      <c r="B106" s="125">
        <v>20089223839</v>
      </c>
      <c r="C106" s="125" t="s">
        <v>114</v>
      </c>
      <c r="D106" s="125">
        <v>13646799</v>
      </c>
      <c r="E106" s="125" t="s">
        <v>374</v>
      </c>
      <c r="F106" s="125" t="s">
        <v>245</v>
      </c>
      <c r="G106" s="125">
        <v>50</v>
      </c>
      <c r="H106" s="125" t="s">
        <v>996</v>
      </c>
      <c r="I106" s="125">
        <v>70</v>
      </c>
      <c r="J106" s="125" t="s">
        <v>307</v>
      </c>
      <c r="K106" s="125" t="s">
        <v>380</v>
      </c>
      <c r="L106" s="125" t="s">
        <v>810</v>
      </c>
      <c r="M106" s="126">
        <v>39454</v>
      </c>
      <c r="N106" s="121" t="str">
        <f t="shared" si="1"/>
        <v>Doctor of Phillosophy ,Master of Science (In Animal Breeding and Genetics),Bachelor of Veterinary Medicine,,,KCSE,KCPE,Certificate of Registration of a Veterinary Surgeon.</v>
      </c>
      <c r="O106" s="128" t="s">
        <v>997</v>
      </c>
      <c r="P106" s="125" t="s">
        <v>998</v>
      </c>
      <c r="Q106" s="127" t="s">
        <v>891</v>
      </c>
      <c r="R106" s="125"/>
      <c r="S106" s="127"/>
      <c r="T106" s="125" t="s">
        <v>367</v>
      </c>
      <c r="U106" s="125" t="s">
        <v>806</v>
      </c>
      <c r="V106" s="127" t="s">
        <v>999</v>
      </c>
    </row>
    <row r="107" spans="1:22" x14ac:dyDescent="0.3">
      <c r="A107" s="125">
        <v>98</v>
      </c>
      <c r="B107" s="125">
        <v>20106534472</v>
      </c>
      <c r="C107" s="125" t="s">
        <v>115</v>
      </c>
      <c r="D107" s="125">
        <v>23523136</v>
      </c>
      <c r="E107" s="125" t="s">
        <v>374</v>
      </c>
      <c r="F107" s="126">
        <v>30716</v>
      </c>
      <c r="G107" s="125">
        <v>41</v>
      </c>
      <c r="H107" s="125" t="s">
        <v>1000</v>
      </c>
      <c r="I107" s="125">
        <v>60</v>
      </c>
      <c r="J107" s="125" t="s">
        <v>311</v>
      </c>
      <c r="K107" s="125" t="s">
        <v>375</v>
      </c>
      <c r="L107" s="125" t="s">
        <v>810</v>
      </c>
      <c r="M107" s="126">
        <v>40185</v>
      </c>
      <c r="N107" s="121" t="str">
        <f t="shared" si="1"/>
        <v>,,Bachelor of Science in Biochemisry,,,KCSE,KCPE,</v>
      </c>
      <c r="O107" s="125"/>
      <c r="P107" s="125"/>
      <c r="Q107" s="127" t="s">
        <v>1001</v>
      </c>
      <c r="R107" s="125"/>
      <c r="S107" s="125"/>
      <c r="T107" s="125" t="s">
        <v>367</v>
      </c>
      <c r="U107" s="125" t="s">
        <v>806</v>
      </c>
      <c r="V107" s="125"/>
    </row>
    <row r="108" spans="1:22" x14ac:dyDescent="0.3">
      <c r="A108" s="125">
        <v>99</v>
      </c>
      <c r="B108" s="125">
        <v>20114215731</v>
      </c>
      <c r="C108" s="125" t="s">
        <v>116</v>
      </c>
      <c r="D108" s="125">
        <v>12710851</v>
      </c>
      <c r="E108" s="125" t="s">
        <v>374</v>
      </c>
      <c r="F108" s="125" t="s">
        <v>246</v>
      </c>
      <c r="G108" s="125">
        <v>51</v>
      </c>
      <c r="H108" s="125" t="s">
        <v>1002</v>
      </c>
      <c r="I108" s="125">
        <v>60</v>
      </c>
      <c r="J108" s="125" t="s">
        <v>311</v>
      </c>
      <c r="K108" s="125" t="s">
        <v>375</v>
      </c>
      <c r="L108" s="125" t="s">
        <v>810</v>
      </c>
      <c r="M108" s="126">
        <v>40544</v>
      </c>
      <c r="N108" s="121" t="str">
        <f t="shared" si="1"/>
        <v>,,Bachelor of Science in Animal Production,,,KCSE,KCPE,</v>
      </c>
      <c r="O108" s="125"/>
      <c r="P108" s="125"/>
      <c r="Q108" s="127" t="s">
        <v>1003</v>
      </c>
      <c r="R108" s="125"/>
      <c r="S108" s="125"/>
      <c r="T108" s="125" t="s">
        <v>367</v>
      </c>
      <c r="U108" s="125" t="s">
        <v>806</v>
      </c>
      <c r="V108" s="125"/>
    </row>
    <row r="109" spans="1:22" x14ac:dyDescent="0.3">
      <c r="A109" s="125">
        <v>100</v>
      </c>
      <c r="B109" s="125">
        <v>20190118042</v>
      </c>
      <c r="C109" s="125" t="s">
        <v>117</v>
      </c>
      <c r="D109" s="125">
        <v>28561000</v>
      </c>
      <c r="E109" s="125" t="s">
        <v>374</v>
      </c>
      <c r="F109" s="125" t="s">
        <v>247</v>
      </c>
      <c r="G109" s="125">
        <v>35</v>
      </c>
      <c r="H109" s="125" t="s">
        <v>1004</v>
      </c>
      <c r="I109" s="125">
        <v>60</v>
      </c>
      <c r="J109" s="125" t="s">
        <v>311</v>
      </c>
      <c r="K109" s="125" t="s">
        <v>375</v>
      </c>
      <c r="L109" s="125" t="s">
        <v>810</v>
      </c>
      <c r="M109" s="126">
        <v>42107</v>
      </c>
      <c r="N109" s="121" t="str">
        <f t="shared" si="1"/>
        <v>,Master of Statistics and Data science (Biostatistics),Bachelor of Science of Applied Statistics with Computing,,Certificate of Python Mastery, Certificate of data Structures and Algorithms, Certificate of Participate in Africa One Health Network workshop, Certificate of Trainer on Statistics for Biomedical Research, Certificate of Training on Covid -19 molecular laboratory testing,KCSE,KCPE,Chartered Statistician</v>
      </c>
      <c r="O109" s="125"/>
      <c r="P109" s="125" t="s">
        <v>1006</v>
      </c>
      <c r="Q109" s="127" t="s">
        <v>1007</v>
      </c>
      <c r="R109" s="125"/>
      <c r="S109" s="127" t="s">
        <v>1008</v>
      </c>
      <c r="T109" s="125" t="s">
        <v>367</v>
      </c>
      <c r="U109" s="125" t="s">
        <v>806</v>
      </c>
      <c r="V109" s="125" t="s">
        <v>1272</v>
      </c>
    </row>
    <row r="110" spans="1:22" x14ac:dyDescent="0.3">
      <c r="A110" s="125">
        <v>101</v>
      </c>
      <c r="B110" s="125">
        <v>20181472320</v>
      </c>
      <c r="C110" s="125" t="s">
        <v>118</v>
      </c>
      <c r="D110" s="125">
        <v>29577586</v>
      </c>
      <c r="E110" s="125" t="s">
        <v>381</v>
      </c>
      <c r="F110" s="125" t="s">
        <v>248</v>
      </c>
      <c r="G110" s="125">
        <v>32</v>
      </c>
      <c r="H110" s="125" t="s">
        <v>1009</v>
      </c>
      <c r="I110" s="125">
        <v>60</v>
      </c>
      <c r="J110" s="125" t="s">
        <v>319</v>
      </c>
      <c r="K110" s="125" t="s">
        <v>379</v>
      </c>
      <c r="L110" s="125" t="s">
        <v>810</v>
      </c>
      <c r="M110" s="126">
        <v>43132</v>
      </c>
      <c r="N110" s="121" t="str">
        <f t="shared" si="1"/>
        <v>,,Bachelor of Science in Microbiology  and Biotechnology,,,KCSE,KCPE,</v>
      </c>
      <c r="O110" s="125"/>
      <c r="P110" s="125"/>
      <c r="Q110" s="127" t="s">
        <v>1010</v>
      </c>
      <c r="R110" s="125"/>
      <c r="S110" s="125"/>
      <c r="T110" s="125" t="s">
        <v>367</v>
      </c>
      <c r="U110" s="125" t="s">
        <v>806</v>
      </c>
      <c r="V110" s="125"/>
    </row>
    <row r="111" spans="1:22" x14ac:dyDescent="0.3">
      <c r="A111" s="125">
        <v>102</v>
      </c>
      <c r="B111" s="125">
        <v>20210645935</v>
      </c>
      <c r="C111" s="125" t="s">
        <v>119</v>
      </c>
      <c r="D111" s="125">
        <v>27819882</v>
      </c>
      <c r="E111" s="125" t="s">
        <v>381</v>
      </c>
      <c r="F111" s="126">
        <v>32910</v>
      </c>
      <c r="G111" s="125">
        <v>34</v>
      </c>
      <c r="H111" s="125" t="s">
        <v>1011</v>
      </c>
      <c r="I111" s="125">
        <v>60</v>
      </c>
      <c r="J111" s="125" t="s">
        <v>319</v>
      </c>
      <c r="K111" s="125" t="s">
        <v>379</v>
      </c>
      <c r="L111" s="125" t="s">
        <v>810</v>
      </c>
      <c r="M111" s="126">
        <v>44386</v>
      </c>
      <c r="N111" s="121" t="str">
        <f t="shared" si="1"/>
        <v>,Masters of Science in bioinformatics and Molecular Biology,Bachelor of Science in Biochemistry and Molecular Biology,,,KCSE,KCPE,</v>
      </c>
      <c r="O111" s="125"/>
      <c r="P111" s="127" t="s">
        <v>1012</v>
      </c>
      <c r="Q111" s="127" t="s">
        <v>1013</v>
      </c>
      <c r="R111" s="125"/>
      <c r="S111" s="125"/>
      <c r="T111" s="125" t="s">
        <v>367</v>
      </c>
      <c r="U111" s="125" t="s">
        <v>806</v>
      </c>
      <c r="V111" s="125"/>
    </row>
    <row r="112" spans="1:22" x14ac:dyDescent="0.3">
      <c r="A112" s="125">
        <v>103</v>
      </c>
      <c r="B112" s="125">
        <v>20250089161</v>
      </c>
      <c r="C112" s="125" t="s">
        <v>120</v>
      </c>
      <c r="D112" s="125">
        <v>35664999</v>
      </c>
      <c r="E112" s="125" t="s">
        <v>381</v>
      </c>
      <c r="F112" s="125" t="s">
        <v>249</v>
      </c>
      <c r="G112" s="125">
        <v>26</v>
      </c>
      <c r="H112" s="125" t="s">
        <v>1014</v>
      </c>
      <c r="I112" s="125">
        <v>60</v>
      </c>
      <c r="J112" s="125" t="s">
        <v>311</v>
      </c>
      <c r="K112" s="125" t="s">
        <v>375</v>
      </c>
      <c r="L112" s="125" t="s">
        <v>810</v>
      </c>
      <c r="M112" s="126">
        <v>45660</v>
      </c>
      <c r="N112" s="121" t="str">
        <f t="shared" si="1"/>
        <v>,,Bachelor Of Arts (Anthropology),,,KCSE,KCPE,</v>
      </c>
      <c r="O112" s="125"/>
      <c r="P112" s="125"/>
      <c r="Q112" s="125" t="s">
        <v>970</v>
      </c>
      <c r="R112" s="125"/>
      <c r="S112" s="125"/>
      <c r="T112" s="125" t="s">
        <v>367</v>
      </c>
      <c r="U112" s="125" t="s">
        <v>806</v>
      </c>
      <c r="V112" s="125"/>
    </row>
    <row r="113" spans="1:22" ht="15.6" x14ac:dyDescent="0.3">
      <c r="A113" s="118"/>
      <c r="B113" s="118"/>
      <c r="C113" s="118"/>
      <c r="D113" s="133" t="s">
        <v>1015</v>
      </c>
      <c r="E113" s="118"/>
      <c r="F113" s="118"/>
      <c r="G113" s="118"/>
      <c r="H113" s="118"/>
      <c r="I113" s="118"/>
      <c r="J113" s="118"/>
      <c r="K113" s="118"/>
      <c r="L113" s="118"/>
      <c r="M113" s="118"/>
      <c r="N113" s="121" t="str">
        <f t="shared" si="1"/>
        <v>,,,,,,,</v>
      </c>
      <c r="O113" s="118"/>
      <c r="P113" s="118"/>
      <c r="Q113" s="118"/>
      <c r="R113" s="118"/>
      <c r="S113" s="118"/>
      <c r="T113" s="118"/>
      <c r="U113" s="118"/>
      <c r="V113" s="118"/>
    </row>
    <row r="114" spans="1:22" x14ac:dyDescent="0.3">
      <c r="A114" s="125">
        <v>104</v>
      </c>
      <c r="B114" s="125">
        <v>20114215676</v>
      </c>
      <c r="C114" s="125" t="s">
        <v>121</v>
      </c>
      <c r="D114" s="125">
        <v>22469478</v>
      </c>
      <c r="E114" s="125" t="s">
        <v>374</v>
      </c>
      <c r="F114" s="126">
        <v>29932</v>
      </c>
      <c r="G114" s="125">
        <v>43</v>
      </c>
      <c r="H114" s="125" t="s">
        <v>1016</v>
      </c>
      <c r="I114" s="125">
        <v>60</v>
      </c>
      <c r="J114" s="125" t="s">
        <v>336</v>
      </c>
      <c r="K114" s="125" t="s">
        <v>376</v>
      </c>
      <c r="L114" s="125" t="s">
        <v>810</v>
      </c>
      <c r="M114" s="126">
        <v>40545</v>
      </c>
      <c r="N114" s="121" t="str">
        <f t="shared" si="1"/>
        <v>,,,, Driving License,KCSE,KCPE,</v>
      </c>
      <c r="O114" s="125"/>
      <c r="P114" s="125"/>
      <c r="Q114" s="125"/>
      <c r="R114" s="125"/>
      <c r="S114" s="127" t="s">
        <v>1017</v>
      </c>
      <c r="T114" s="125" t="s">
        <v>367</v>
      </c>
      <c r="U114" s="125" t="s">
        <v>806</v>
      </c>
      <c r="V114" s="125"/>
    </row>
    <row r="115" spans="1:22" x14ac:dyDescent="0.3">
      <c r="A115" s="125">
        <v>105</v>
      </c>
      <c r="B115" s="125">
        <v>20160708651</v>
      </c>
      <c r="C115" s="125" t="s">
        <v>122</v>
      </c>
      <c r="D115" s="125">
        <v>29236121</v>
      </c>
      <c r="E115" s="125" t="s">
        <v>374</v>
      </c>
      <c r="F115" s="125" t="s">
        <v>250</v>
      </c>
      <c r="G115" s="125">
        <v>36</v>
      </c>
      <c r="H115" s="125" t="s">
        <v>1018</v>
      </c>
      <c r="I115" s="125">
        <v>60</v>
      </c>
      <c r="J115" s="125" t="s">
        <v>336</v>
      </c>
      <c r="K115" s="125" t="s">
        <v>376</v>
      </c>
      <c r="L115" s="125" t="s">
        <v>810</v>
      </c>
      <c r="M115" s="126">
        <v>42561</v>
      </c>
      <c r="N115" s="121" t="str">
        <f t="shared" si="1"/>
        <v>,,Bachelor of Management and Leadership,Diploma in Business Administration,,KCSE,KCPE,</v>
      </c>
      <c r="O115" s="125"/>
      <c r="P115" s="125"/>
      <c r="Q115" s="125" t="s">
        <v>1019</v>
      </c>
      <c r="R115" s="127" t="s">
        <v>904</v>
      </c>
      <c r="S115" s="125"/>
      <c r="T115" s="125" t="s">
        <v>367</v>
      </c>
      <c r="U115" s="125" t="s">
        <v>806</v>
      </c>
      <c r="V115" s="125"/>
    </row>
    <row r="116" spans="1:22" x14ac:dyDescent="0.3">
      <c r="A116" s="125">
        <v>106</v>
      </c>
      <c r="B116" s="125">
        <v>20077018406</v>
      </c>
      <c r="C116" s="125" t="s">
        <v>123</v>
      </c>
      <c r="D116" s="125">
        <v>11305223</v>
      </c>
      <c r="E116" s="125" t="s">
        <v>374</v>
      </c>
      <c r="F116" s="126">
        <v>26299</v>
      </c>
      <c r="G116" s="125">
        <v>53</v>
      </c>
      <c r="H116" s="125" t="s">
        <v>1020</v>
      </c>
      <c r="I116" s="125">
        <v>60</v>
      </c>
      <c r="J116" s="125" t="s">
        <v>337</v>
      </c>
      <c r="K116" s="125" t="s">
        <v>381</v>
      </c>
      <c r="L116" s="125" t="s">
        <v>810</v>
      </c>
      <c r="M116" s="126">
        <v>39083</v>
      </c>
      <c r="N116" s="121" t="str">
        <f t="shared" si="1"/>
        <v>,,,,Driving License,None,KCPE,</v>
      </c>
      <c r="O116" s="125"/>
      <c r="P116" s="125"/>
      <c r="Q116" s="125"/>
      <c r="R116" s="127"/>
      <c r="S116" s="127" t="s">
        <v>1021</v>
      </c>
      <c r="T116" s="125" t="s">
        <v>957</v>
      </c>
      <c r="U116" s="125" t="s">
        <v>806</v>
      </c>
      <c r="V116" s="125"/>
    </row>
    <row r="117" spans="1:22" x14ac:dyDescent="0.3">
      <c r="A117" s="125">
        <v>107</v>
      </c>
      <c r="B117" s="125">
        <v>20178601041</v>
      </c>
      <c r="C117" s="125" t="s">
        <v>124</v>
      </c>
      <c r="D117" s="125">
        <v>27532666</v>
      </c>
      <c r="E117" s="125" t="s">
        <v>374</v>
      </c>
      <c r="F117" s="125" t="s">
        <v>251</v>
      </c>
      <c r="G117" s="125">
        <v>35</v>
      </c>
      <c r="H117" s="125" t="s">
        <v>931</v>
      </c>
      <c r="I117" s="125">
        <v>60</v>
      </c>
      <c r="J117" s="125" t="s">
        <v>338</v>
      </c>
      <c r="K117" s="125" t="s">
        <v>379</v>
      </c>
      <c r="L117" s="125" t="s">
        <v>810</v>
      </c>
      <c r="M117" s="125" t="s">
        <v>1022</v>
      </c>
      <c r="N117" s="121" t="str">
        <f t="shared" si="1"/>
        <v>,,,,Certificate in Automotive Engineering , Driving License,KCSE,KCPE,</v>
      </c>
      <c r="O117" s="125"/>
      <c r="P117" s="125"/>
      <c r="Q117" s="125"/>
      <c r="R117" s="125"/>
      <c r="S117" s="128" t="s">
        <v>1023</v>
      </c>
      <c r="T117" s="125" t="s">
        <v>367</v>
      </c>
      <c r="U117" s="125" t="s">
        <v>806</v>
      </c>
      <c r="V117" s="125"/>
    </row>
    <row r="118" spans="1:22" x14ac:dyDescent="0.3">
      <c r="A118" s="125">
        <v>108</v>
      </c>
      <c r="B118" s="125">
        <v>20220597922</v>
      </c>
      <c r="C118" s="125" t="s">
        <v>125</v>
      </c>
      <c r="D118" s="125">
        <v>30223693</v>
      </c>
      <c r="E118" s="125" t="s">
        <v>374</v>
      </c>
      <c r="F118" s="126">
        <v>32874</v>
      </c>
      <c r="G118" s="125">
        <v>35</v>
      </c>
      <c r="H118" s="125" t="s">
        <v>931</v>
      </c>
      <c r="I118" s="125">
        <v>60</v>
      </c>
      <c r="J118" s="125" t="s">
        <v>338</v>
      </c>
      <c r="K118" s="125" t="s">
        <v>379</v>
      </c>
      <c r="L118" s="125" t="s">
        <v>810</v>
      </c>
      <c r="M118" s="125" t="s">
        <v>1024</v>
      </c>
      <c r="N118" s="121" t="str">
        <f t="shared" si="1"/>
        <v>,,,,Driving License,KCSE,KCPE,</v>
      </c>
      <c r="O118" s="125"/>
      <c r="P118" s="125"/>
      <c r="Q118" s="125"/>
      <c r="R118" s="125"/>
      <c r="S118" s="125" t="s">
        <v>1021</v>
      </c>
      <c r="T118" s="125" t="s">
        <v>367</v>
      </c>
      <c r="U118" s="125" t="s">
        <v>806</v>
      </c>
      <c r="V118" s="125"/>
    </row>
    <row r="119" spans="1:22" x14ac:dyDescent="0.3">
      <c r="A119" s="125">
        <v>109</v>
      </c>
      <c r="B119" s="125">
        <v>20220598067</v>
      </c>
      <c r="C119" s="125" t="s">
        <v>126</v>
      </c>
      <c r="D119" s="125">
        <v>26091118</v>
      </c>
      <c r="E119" s="125" t="s">
        <v>374</v>
      </c>
      <c r="F119" s="126">
        <v>32570</v>
      </c>
      <c r="G119" s="125">
        <v>36</v>
      </c>
      <c r="H119" s="125" t="s">
        <v>1025</v>
      </c>
      <c r="I119" s="125">
        <v>60</v>
      </c>
      <c r="J119" s="125" t="s">
        <v>338</v>
      </c>
      <c r="K119" s="125" t="s">
        <v>379</v>
      </c>
      <c r="L119" s="125" t="s">
        <v>810</v>
      </c>
      <c r="M119" s="126">
        <v>44563</v>
      </c>
      <c r="N119" s="121" t="str">
        <f t="shared" si="1"/>
        <v>,,,,Driving License,None,None,</v>
      </c>
      <c r="O119" s="125"/>
      <c r="P119" s="125"/>
      <c r="Q119" s="125"/>
      <c r="R119" s="125"/>
      <c r="S119" s="125" t="s">
        <v>1021</v>
      </c>
      <c r="T119" s="120" t="s">
        <v>957</v>
      </c>
      <c r="U119" s="125" t="s">
        <v>957</v>
      </c>
      <c r="V119" s="125"/>
    </row>
    <row r="120" spans="1:22" x14ac:dyDescent="0.3">
      <c r="A120" s="125">
        <v>110</v>
      </c>
      <c r="B120" s="125">
        <v>20220598318</v>
      </c>
      <c r="C120" s="125" t="s">
        <v>127</v>
      </c>
      <c r="D120" s="125">
        <v>29105215</v>
      </c>
      <c r="E120" s="125" t="s">
        <v>381</v>
      </c>
      <c r="F120" s="126">
        <v>33420</v>
      </c>
      <c r="G120" s="125">
        <v>34</v>
      </c>
      <c r="H120" s="125" t="s">
        <v>901</v>
      </c>
      <c r="I120" s="125">
        <v>60</v>
      </c>
      <c r="J120" s="125" t="s">
        <v>338</v>
      </c>
      <c r="K120" s="125" t="s">
        <v>379</v>
      </c>
      <c r="L120" s="125" t="s">
        <v>810</v>
      </c>
      <c r="M120" s="125" t="s">
        <v>1026</v>
      </c>
      <c r="N120" s="121" t="str">
        <f t="shared" si="1"/>
        <v>,,,,Driving License,KCSE,KCPE,</v>
      </c>
      <c r="O120" s="125"/>
      <c r="P120" s="125"/>
      <c r="Q120" s="125"/>
      <c r="R120" s="125"/>
      <c r="S120" s="125" t="s">
        <v>1021</v>
      </c>
      <c r="T120" s="125" t="s">
        <v>367</v>
      </c>
      <c r="U120" s="125" t="s">
        <v>806</v>
      </c>
      <c r="V120" s="125"/>
    </row>
    <row r="121" spans="1:22" x14ac:dyDescent="0.3">
      <c r="A121" s="125">
        <v>111</v>
      </c>
      <c r="B121" s="125">
        <v>20240300997</v>
      </c>
      <c r="C121" s="125" t="s">
        <v>128</v>
      </c>
      <c r="D121" s="125">
        <v>36990261</v>
      </c>
      <c r="E121" s="125" t="s">
        <v>374</v>
      </c>
      <c r="F121" s="126">
        <v>36254</v>
      </c>
      <c r="G121" s="125">
        <v>26</v>
      </c>
      <c r="H121" s="126">
        <v>46450</v>
      </c>
      <c r="I121" s="125">
        <v>60</v>
      </c>
      <c r="J121" s="125" t="s">
        <v>338</v>
      </c>
      <c r="K121" s="125" t="s">
        <v>379</v>
      </c>
      <c r="L121" s="125" t="s">
        <v>810</v>
      </c>
      <c r="M121" s="126">
        <v>45301</v>
      </c>
      <c r="N121" s="121" t="str">
        <f t="shared" si="1"/>
        <v>,,,,Driving License,KCSE,KCPE,</v>
      </c>
      <c r="O121" s="125"/>
      <c r="P121" s="125"/>
      <c r="Q121" s="125"/>
      <c r="R121" s="125"/>
      <c r="S121" s="125" t="s">
        <v>1021</v>
      </c>
      <c r="T121" s="125" t="s">
        <v>367</v>
      </c>
      <c r="U121" s="125" t="s">
        <v>806</v>
      </c>
      <c r="V121" s="125"/>
    </row>
    <row r="122" spans="1:22" x14ac:dyDescent="0.3">
      <c r="A122" s="125">
        <v>112</v>
      </c>
      <c r="B122" s="125">
        <v>20152655412</v>
      </c>
      <c r="C122" s="125" t="s">
        <v>129</v>
      </c>
      <c r="D122" s="125">
        <v>23111970</v>
      </c>
      <c r="E122" s="125" t="s">
        <v>374</v>
      </c>
      <c r="F122" s="125" t="s">
        <v>252</v>
      </c>
      <c r="G122" s="125">
        <v>42</v>
      </c>
      <c r="H122" s="125" t="s">
        <v>1027</v>
      </c>
      <c r="I122" s="125">
        <v>60</v>
      </c>
      <c r="J122" s="125" t="s">
        <v>337</v>
      </c>
      <c r="K122" s="125" t="s">
        <v>381</v>
      </c>
      <c r="L122" s="125" t="s">
        <v>810</v>
      </c>
      <c r="M122" s="126">
        <v>42011</v>
      </c>
      <c r="N122" s="121" t="str">
        <f t="shared" si="1"/>
        <v>,,,,Driving License,KCSE,KCPE,</v>
      </c>
      <c r="O122" s="125"/>
      <c r="P122" s="125"/>
      <c r="Q122" s="125"/>
      <c r="R122" s="125"/>
      <c r="S122" s="125" t="s">
        <v>1021</v>
      </c>
      <c r="T122" s="125" t="s">
        <v>367</v>
      </c>
      <c r="U122" s="125" t="s">
        <v>806</v>
      </c>
      <c r="V122" s="125"/>
    </row>
    <row r="123" spans="1:22" x14ac:dyDescent="0.3">
      <c r="A123" s="125">
        <v>113</v>
      </c>
      <c r="B123" s="125">
        <v>20060933629</v>
      </c>
      <c r="C123" s="125" t="s">
        <v>130</v>
      </c>
      <c r="D123" s="125">
        <v>12631708</v>
      </c>
      <c r="E123" s="125" t="s">
        <v>374</v>
      </c>
      <c r="F123" s="126">
        <v>27067</v>
      </c>
      <c r="G123" s="125">
        <v>50</v>
      </c>
      <c r="H123" s="125" t="s">
        <v>1028</v>
      </c>
      <c r="I123" s="125">
        <v>60</v>
      </c>
      <c r="J123" s="125" t="s">
        <v>299</v>
      </c>
      <c r="K123" s="125" t="s">
        <v>375</v>
      </c>
      <c r="L123" s="125" t="s">
        <v>810</v>
      </c>
      <c r="M123" s="126">
        <v>38729</v>
      </c>
      <c r="N123" s="121" t="str">
        <f t="shared" si="1"/>
        <v>,,,Diploma in Building and Civil Engineering,,KCSE,KCPE,</v>
      </c>
      <c r="O123" s="125"/>
      <c r="P123" s="125"/>
      <c r="Q123" s="125"/>
      <c r="R123" s="127" t="s">
        <v>1029</v>
      </c>
      <c r="S123" s="125"/>
      <c r="T123" s="125" t="s">
        <v>367</v>
      </c>
      <c r="U123" s="125" t="s">
        <v>806</v>
      </c>
      <c r="V123" s="125"/>
    </row>
    <row r="124" spans="1:22" x14ac:dyDescent="0.3">
      <c r="A124" s="125">
        <v>114</v>
      </c>
      <c r="B124" s="125">
        <v>20060933970</v>
      </c>
      <c r="C124" s="125" t="s">
        <v>131</v>
      </c>
      <c r="D124" s="125">
        <v>9429717</v>
      </c>
      <c r="E124" s="125" t="s">
        <v>374</v>
      </c>
      <c r="F124" s="126">
        <v>24838</v>
      </c>
      <c r="G124" s="125">
        <v>57</v>
      </c>
      <c r="H124" s="125" t="s">
        <v>901</v>
      </c>
      <c r="I124" s="125">
        <v>60</v>
      </c>
      <c r="J124" s="125" t="s">
        <v>339</v>
      </c>
      <c r="K124" s="125" t="s">
        <v>377</v>
      </c>
      <c r="L124" s="125" t="s">
        <v>810</v>
      </c>
      <c r="M124" s="126">
        <v>38722</v>
      </c>
      <c r="N124" s="121" t="str">
        <f t="shared" si="1"/>
        <v>,,,,Certificate in Masonry,None,KCPE,</v>
      </c>
      <c r="O124" s="125"/>
      <c r="P124" s="125"/>
      <c r="Q124" s="125"/>
      <c r="R124" s="125"/>
      <c r="S124" s="127" t="s">
        <v>1030</v>
      </c>
      <c r="T124" s="120" t="s">
        <v>957</v>
      </c>
      <c r="U124" s="125" t="s">
        <v>806</v>
      </c>
      <c r="V124" s="125"/>
    </row>
    <row r="125" spans="1:22" x14ac:dyDescent="0.3">
      <c r="A125" s="125">
        <v>115</v>
      </c>
      <c r="B125" s="125">
        <v>20077017955</v>
      </c>
      <c r="C125" s="125" t="s">
        <v>132</v>
      </c>
      <c r="D125" s="125">
        <v>11824621</v>
      </c>
      <c r="E125" s="125" t="s">
        <v>374</v>
      </c>
      <c r="F125" s="126">
        <v>26676</v>
      </c>
      <c r="G125" s="125">
        <v>51</v>
      </c>
      <c r="H125" s="125" t="s">
        <v>1031</v>
      </c>
      <c r="I125" s="125">
        <v>60</v>
      </c>
      <c r="J125" s="125" t="s">
        <v>340</v>
      </c>
      <c r="K125" s="125" t="s">
        <v>378</v>
      </c>
      <c r="L125" s="125" t="s">
        <v>810</v>
      </c>
      <c r="M125" s="126">
        <v>39090</v>
      </c>
      <c r="N125" s="121" t="str">
        <f t="shared" si="1"/>
        <v>,,,,Certificate in Computer Networking Engineering,KCSE,KCPE,</v>
      </c>
      <c r="O125" s="125"/>
      <c r="P125" s="125"/>
      <c r="Q125" s="125"/>
      <c r="R125" s="125"/>
      <c r="S125" s="127" t="s">
        <v>1032</v>
      </c>
      <c r="T125" s="120" t="s">
        <v>367</v>
      </c>
      <c r="U125" s="125" t="s">
        <v>806</v>
      </c>
      <c r="V125" s="125"/>
    </row>
    <row r="126" spans="1:22" x14ac:dyDescent="0.3">
      <c r="A126" s="125">
        <v>116</v>
      </c>
      <c r="B126" s="125">
        <v>19950950686</v>
      </c>
      <c r="C126" s="125" t="s">
        <v>133</v>
      </c>
      <c r="D126" s="125">
        <v>11642748</v>
      </c>
      <c r="E126" s="125" t="s">
        <v>374</v>
      </c>
      <c r="F126" s="126">
        <v>26299</v>
      </c>
      <c r="G126" s="125">
        <v>53</v>
      </c>
      <c r="H126" s="125" t="s">
        <v>1020</v>
      </c>
      <c r="I126" s="125">
        <v>60</v>
      </c>
      <c r="J126" s="125" t="s">
        <v>318</v>
      </c>
      <c r="K126" s="125" t="s">
        <v>379</v>
      </c>
      <c r="L126" s="125" t="s">
        <v>810</v>
      </c>
      <c r="M126" s="126">
        <v>34983</v>
      </c>
      <c r="N126" s="121" t="str">
        <f t="shared" si="1"/>
        <v>,,,,,None,KCPE,</v>
      </c>
      <c r="O126" s="125"/>
      <c r="P126" s="125"/>
      <c r="Q126" s="125"/>
      <c r="R126" s="125"/>
      <c r="S126" s="125"/>
      <c r="T126" s="120" t="s">
        <v>957</v>
      </c>
      <c r="U126" s="125" t="s">
        <v>806</v>
      </c>
      <c r="V126" s="125"/>
    </row>
    <row r="127" spans="1:22" x14ac:dyDescent="0.3">
      <c r="A127" s="125">
        <v>117</v>
      </c>
      <c r="B127" s="125">
        <v>20089223805</v>
      </c>
      <c r="C127" s="125" t="s">
        <v>134</v>
      </c>
      <c r="D127" s="125">
        <v>10024181</v>
      </c>
      <c r="E127" s="125" t="s">
        <v>374</v>
      </c>
      <c r="F127" s="126">
        <v>24752</v>
      </c>
      <c r="G127" s="125">
        <v>57</v>
      </c>
      <c r="H127" s="125" t="s">
        <v>1033</v>
      </c>
      <c r="I127" s="125">
        <v>60</v>
      </c>
      <c r="J127" s="125" t="s">
        <v>341</v>
      </c>
      <c r="K127" s="125" t="s">
        <v>379</v>
      </c>
      <c r="L127" s="125" t="s">
        <v>810</v>
      </c>
      <c r="M127" s="126">
        <v>39455</v>
      </c>
      <c r="N127" s="121" t="str">
        <f t="shared" si="1"/>
        <v>,,,,,None,KCPE,</v>
      </c>
      <c r="O127" s="125"/>
      <c r="P127" s="125"/>
      <c r="Q127" s="125"/>
      <c r="R127" s="125"/>
      <c r="S127" s="125"/>
      <c r="T127" s="120" t="s">
        <v>957</v>
      </c>
      <c r="U127" s="125" t="s">
        <v>806</v>
      </c>
      <c r="V127" s="125"/>
    </row>
    <row r="128" spans="1:22" x14ac:dyDescent="0.3">
      <c r="A128" s="125">
        <v>118</v>
      </c>
      <c r="B128" s="125">
        <v>20106534294</v>
      </c>
      <c r="C128" s="125" t="s">
        <v>135</v>
      </c>
      <c r="D128" s="125">
        <v>21027957</v>
      </c>
      <c r="E128" s="125" t="s">
        <v>374</v>
      </c>
      <c r="F128" s="126">
        <v>28524</v>
      </c>
      <c r="G128" s="125">
        <v>47</v>
      </c>
      <c r="H128" s="125" t="s">
        <v>1034</v>
      </c>
      <c r="I128" s="125">
        <v>60</v>
      </c>
      <c r="J128" s="125" t="s">
        <v>321</v>
      </c>
      <c r="K128" s="125" t="s">
        <v>381</v>
      </c>
      <c r="L128" s="125" t="s">
        <v>810</v>
      </c>
      <c r="M128" s="126">
        <v>40187</v>
      </c>
      <c r="N128" s="121" t="str">
        <f t="shared" si="1"/>
        <v>,,,,,None,KCPE,</v>
      </c>
      <c r="O128" s="125"/>
      <c r="P128" s="125"/>
      <c r="Q128" s="125"/>
      <c r="R128" s="125"/>
      <c r="S128" s="125"/>
      <c r="T128" s="120" t="s">
        <v>957</v>
      </c>
      <c r="U128" s="125" t="s">
        <v>806</v>
      </c>
      <c r="V128" s="125"/>
    </row>
    <row r="129" spans="1:22" x14ac:dyDescent="0.3">
      <c r="A129" s="125">
        <v>119</v>
      </c>
      <c r="B129" s="127">
        <v>20114215472</v>
      </c>
      <c r="C129" s="127" t="s">
        <v>136</v>
      </c>
      <c r="D129" s="127">
        <v>14425020</v>
      </c>
      <c r="E129" s="127" t="s">
        <v>374</v>
      </c>
      <c r="F129" s="128" t="s">
        <v>253</v>
      </c>
      <c r="G129" s="127">
        <v>49</v>
      </c>
      <c r="H129" s="127" t="s">
        <v>1035</v>
      </c>
      <c r="I129" s="125">
        <v>60</v>
      </c>
      <c r="J129" s="127" t="s">
        <v>338</v>
      </c>
      <c r="K129" s="125" t="s">
        <v>379</v>
      </c>
      <c r="L129" s="125" t="s">
        <v>810</v>
      </c>
      <c r="M129" s="134">
        <v>40551</v>
      </c>
      <c r="N129" s="121" t="str">
        <f t="shared" si="1"/>
        <v>,,,,Driving License,KCSE ,KCPE,</v>
      </c>
      <c r="O129" s="125"/>
      <c r="P129" s="125"/>
      <c r="Q129" s="125"/>
      <c r="R129" s="125"/>
      <c r="S129" s="125" t="s">
        <v>1021</v>
      </c>
      <c r="T129" s="125" t="s">
        <v>1036</v>
      </c>
      <c r="U129" s="125" t="s">
        <v>806</v>
      </c>
      <c r="V129" s="125"/>
    </row>
    <row r="130" spans="1:22" ht="15.6" x14ac:dyDescent="0.3">
      <c r="A130" s="118"/>
      <c r="B130" s="118"/>
      <c r="C130" s="118"/>
      <c r="D130" s="118" t="s">
        <v>1037</v>
      </c>
      <c r="E130" s="118"/>
      <c r="F130" s="118"/>
      <c r="G130" s="118"/>
      <c r="H130" s="118"/>
      <c r="I130" s="118"/>
      <c r="J130" s="118"/>
      <c r="K130" s="118"/>
      <c r="L130" s="118"/>
      <c r="M130" s="118"/>
      <c r="N130" s="121" t="str">
        <f t="shared" si="1"/>
        <v>,,,,,,,</v>
      </c>
      <c r="O130" s="118"/>
      <c r="P130" s="118"/>
      <c r="Q130" s="118"/>
      <c r="R130" s="118"/>
      <c r="S130" s="118"/>
      <c r="T130" s="118"/>
      <c r="U130" s="118"/>
      <c r="V130" s="118"/>
    </row>
    <row r="131" spans="1:22" x14ac:dyDescent="0.3">
      <c r="A131" s="125">
        <v>120</v>
      </c>
      <c r="B131" s="125">
        <v>20200484002</v>
      </c>
      <c r="C131" s="125" t="s">
        <v>137</v>
      </c>
      <c r="D131" s="125">
        <v>33171966</v>
      </c>
      <c r="E131" s="125" t="s">
        <v>374</v>
      </c>
      <c r="F131" s="126">
        <v>34711</v>
      </c>
      <c r="G131" s="125">
        <v>29</v>
      </c>
      <c r="H131" s="125" t="s">
        <v>901</v>
      </c>
      <c r="I131" s="125">
        <v>60</v>
      </c>
      <c r="J131" s="125" t="s">
        <v>342</v>
      </c>
      <c r="K131" s="125" t="s">
        <v>374</v>
      </c>
      <c r="L131" s="125" t="s">
        <v>810</v>
      </c>
      <c r="M131" s="125" t="s">
        <v>1038</v>
      </c>
      <c r="N131" s="121" t="str">
        <f t="shared" si="1"/>
        <v>,,Bachelor of Science in Statistics and Programming,,,KCSE,KCPE,</v>
      </c>
      <c r="O131" s="125"/>
      <c r="P131" s="125"/>
      <c r="Q131" s="127" t="s">
        <v>1039</v>
      </c>
      <c r="R131" s="125"/>
      <c r="S131" s="125"/>
      <c r="T131" s="125" t="s">
        <v>367</v>
      </c>
      <c r="U131" s="125" t="s">
        <v>806</v>
      </c>
      <c r="V131" s="125"/>
    </row>
    <row r="132" spans="1:22" x14ac:dyDescent="0.3">
      <c r="A132" s="125">
        <v>121</v>
      </c>
      <c r="B132" s="135">
        <v>20114215634</v>
      </c>
      <c r="C132" s="135" t="s">
        <v>138</v>
      </c>
      <c r="D132" s="135">
        <v>21898292</v>
      </c>
      <c r="E132" s="135" t="s">
        <v>381</v>
      </c>
      <c r="F132" s="135" t="s">
        <v>254</v>
      </c>
      <c r="G132" s="135">
        <v>45</v>
      </c>
      <c r="H132" s="135" t="s">
        <v>1040</v>
      </c>
      <c r="I132" s="135">
        <v>60</v>
      </c>
      <c r="J132" s="135" t="s">
        <v>343</v>
      </c>
      <c r="K132" s="135" t="s">
        <v>372</v>
      </c>
      <c r="L132" s="135" t="s">
        <v>1041</v>
      </c>
      <c r="M132" s="136">
        <v>40546</v>
      </c>
      <c r="N132" s="121" t="str">
        <f t="shared" ref="N132:N195" si="2">CONCATENATE(O132,",",P132,",",Q132,",",R132,",",S132,",",T132,",",U132,",",V132)</f>
        <v>,,,,,KCSE,KCPE,</v>
      </c>
      <c r="O132" s="135"/>
      <c r="P132" s="135"/>
      <c r="Q132" s="135"/>
      <c r="R132" s="135"/>
      <c r="S132" s="135"/>
      <c r="T132" s="135" t="s">
        <v>367</v>
      </c>
      <c r="U132" s="135" t="s">
        <v>806</v>
      </c>
      <c r="V132" s="135"/>
    </row>
    <row r="133" spans="1:22" x14ac:dyDescent="0.3">
      <c r="A133" s="125">
        <v>122</v>
      </c>
      <c r="B133" s="125">
        <v>20160708766</v>
      </c>
      <c r="C133" s="125" t="s">
        <v>139</v>
      </c>
      <c r="D133" s="125">
        <v>24137198</v>
      </c>
      <c r="E133" s="125" t="s">
        <v>374</v>
      </c>
      <c r="F133" s="125" t="s">
        <v>255</v>
      </c>
      <c r="G133" s="125">
        <v>40</v>
      </c>
      <c r="H133" s="125" t="s">
        <v>1011</v>
      </c>
      <c r="I133" s="125">
        <v>60</v>
      </c>
      <c r="J133" s="125" t="s">
        <v>311</v>
      </c>
      <c r="K133" s="125" t="s">
        <v>375</v>
      </c>
      <c r="L133" s="125" t="s">
        <v>810</v>
      </c>
      <c r="M133" s="126">
        <v>42379</v>
      </c>
      <c r="N133" s="121" t="str">
        <f t="shared" si="2"/>
        <v>,,BSc in Analytical Chemistry,,,KCSE,KCPE,</v>
      </c>
      <c r="O133" s="125"/>
      <c r="P133" s="125"/>
      <c r="Q133" s="127" t="s">
        <v>1042</v>
      </c>
      <c r="R133" s="125"/>
      <c r="S133" s="125"/>
      <c r="T133" s="125" t="s">
        <v>367</v>
      </c>
      <c r="U133" s="125" t="s">
        <v>806</v>
      </c>
      <c r="V133" s="125"/>
    </row>
    <row r="134" spans="1:22" x14ac:dyDescent="0.3">
      <c r="A134" s="125">
        <v>123</v>
      </c>
      <c r="B134" s="125">
        <v>20220598562</v>
      </c>
      <c r="C134" s="125" t="s">
        <v>140</v>
      </c>
      <c r="D134" s="125">
        <v>28075095</v>
      </c>
      <c r="E134" s="125" t="s">
        <v>381</v>
      </c>
      <c r="F134" s="126">
        <v>33361</v>
      </c>
      <c r="G134" s="125">
        <v>34</v>
      </c>
      <c r="H134" s="125" t="s">
        <v>901</v>
      </c>
      <c r="I134" s="125">
        <v>60</v>
      </c>
      <c r="J134" s="125" t="s">
        <v>330</v>
      </c>
      <c r="K134" s="125" t="s">
        <v>375</v>
      </c>
      <c r="L134" s="125" t="s">
        <v>810</v>
      </c>
      <c r="M134" s="126">
        <v>44621</v>
      </c>
      <c r="N134" s="121" t="str">
        <f t="shared" si="2"/>
        <v>,,Bachelor of Arts in IT,,,KCSE,KCPE,</v>
      </c>
      <c r="O134" s="125"/>
      <c r="P134" s="125"/>
      <c r="Q134" s="127" t="s">
        <v>935</v>
      </c>
      <c r="R134" s="125"/>
      <c r="S134" s="125"/>
      <c r="T134" s="125" t="s">
        <v>367</v>
      </c>
      <c r="U134" s="125" t="s">
        <v>806</v>
      </c>
      <c r="V134" s="125"/>
    </row>
    <row r="135" spans="1:22" x14ac:dyDescent="0.3">
      <c r="A135" s="118"/>
      <c r="B135" s="118"/>
      <c r="C135" s="137" t="s">
        <v>141</v>
      </c>
      <c r="D135" s="138"/>
      <c r="E135" s="138"/>
      <c r="F135" s="138"/>
      <c r="G135" s="138"/>
      <c r="H135" s="118"/>
      <c r="I135" s="138"/>
      <c r="J135" s="139"/>
      <c r="K135" s="118"/>
      <c r="L135" s="118"/>
      <c r="M135" s="140"/>
      <c r="N135" s="121" t="str">
        <f t="shared" si="2"/>
        <v>,,,,,,,</v>
      </c>
      <c r="O135" s="118"/>
      <c r="P135" s="118"/>
      <c r="Q135" s="141"/>
      <c r="R135" s="118"/>
      <c r="S135" s="118"/>
      <c r="T135" s="118"/>
      <c r="U135" s="118"/>
      <c r="V135" s="118"/>
    </row>
    <row r="136" spans="1:22" x14ac:dyDescent="0.3">
      <c r="A136" s="120">
        <v>124</v>
      </c>
      <c r="B136" s="120">
        <v>20020838693</v>
      </c>
      <c r="C136" s="120" t="s">
        <v>142</v>
      </c>
      <c r="D136" s="120">
        <v>21301415</v>
      </c>
      <c r="E136" s="120" t="s">
        <v>374</v>
      </c>
      <c r="F136" s="120" t="s">
        <v>256</v>
      </c>
      <c r="G136" s="120">
        <v>48</v>
      </c>
      <c r="H136" s="120" t="s">
        <v>1043</v>
      </c>
      <c r="I136" s="120">
        <v>70</v>
      </c>
      <c r="J136" s="120" t="s">
        <v>307</v>
      </c>
      <c r="K136" s="120" t="s">
        <v>380</v>
      </c>
      <c r="L136" s="120" t="s">
        <v>810</v>
      </c>
      <c r="M136" s="121">
        <v>37469</v>
      </c>
      <c r="N136" s="121" t="str">
        <f t="shared" si="2"/>
        <v>Doctor of Philosophy,Masters of Arts (Heath Social Science),Bachelor of Science (Enviromental Heath),Diploma in Enviromental Studies,,KCSE,KCPE,</v>
      </c>
      <c r="O136" s="123" t="s">
        <v>844</v>
      </c>
      <c r="P136" s="123" t="s">
        <v>1044</v>
      </c>
      <c r="Q136" s="123" t="s">
        <v>1045</v>
      </c>
      <c r="R136" s="123" t="s">
        <v>1046</v>
      </c>
      <c r="S136" s="120"/>
      <c r="T136" s="120" t="s">
        <v>367</v>
      </c>
      <c r="U136" s="120" t="s">
        <v>806</v>
      </c>
      <c r="V136" s="120"/>
    </row>
    <row r="137" spans="1:22" x14ac:dyDescent="0.3">
      <c r="A137" s="120">
        <v>125</v>
      </c>
      <c r="B137" s="125">
        <v>20210646216</v>
      </c>
      <c r="C137" s="125" t="s">
        <v>143</v>
      </c>
      <c r="D137" s="125">
        <v>24212658</v>
      </c>
      <c r="E137" s="125" t="s">
        <v>381</v>
      </c>
      <c r="F137" s="125" t="s">
        <v>257</v>
      </c>
      <c r="G137" s="125">
        <v>40</v>
      </c>
      <c r="H137" s="125" t="s">
        <v>827</v>
      </c>
      <c r="I137" s="125">
        <v>60</v>
      </c>
      <c r="J137" s="125" t="s">
        <v>326</v>
      </c>
      <c r="K137" s="125" t="s">
        <v>374</v>
      </c>
      <c r="L137" s="125" t="s">
        <v>810</v>
      </c>
      <c r="M137" s="126">
        <v>44197</v>
      </c>
      <c r="N137" s="121" t="str">
        <f t="shared" si="2"/>
        <v>,Master of Business Administration,Finace Option,Bachelor of Arts in Commerce,Diploma in Business Management in TEP,Certificate in Public Accounts,KCSE,KCPE,ICPAK</v>
      </c>
      <c r="O137" s="125"/>
      <c r="P137" s="127" t="s">
        <v>1047</v>
      </c>
      <c r="Q137" s="127" t="s">
        <v>925</v>
      </c>
      <c r="R137" s="127" t="s">
        <v>1048</v>
      </c>
      <c r="S137" s="127" t="s">
        <v>1049</v>
      </c>
      <c r="T137" s="125" t="s">
        <v>367</v>
      </c>
      <c r="U137" s="125" t="s">
        <v>806</v>
      </c>
      <c r="V137" s="125" t="s">
        <v>1050</v>
      </c>
    </row>
    <row r="138" spans="1:22" ht="15.6" x14ac:dyDescent="0.3">
      <c r="A138" s="118"/>
      <c r="B138" s="118"/>
      <c r="C138" s="118"/>
      <c r="D138" s="133" t="s">
        <v>1051</v>
      </c>
      <c r="E138" s="118"/>
      <c r="F138" s="118"/>
      <c r="G138" s="118"/>
      <c r="H138" s="118"/>
      <c r="I138" s="118"/>
      <c r="J138" s="118"/>
      <c r="K138" s="118"/>
      <c r="L138" s="118"/>
      <c r="M138" s="118"/>
      <c r="N138" s="121" t="str">
        <f t="shared" si="2"/>
        <v>,,,,,,,</v>
      </c>
      <c r="O138" s="118"/>
      <c r="P138" s="118"/>
      <c r="Q138" s="118"/>
      <c r="R138" s="118"/>
      <c r="S138" s="118"/>
      <c r="T138" s="118"/>
      <c r="U138" s="118"/>
      <c r="V138" s="118"/>
    </row>
    <row r="139" spans="1:22" x14ac:dyDescent="0.3">
      <c r="A139" s="125">
        <v>126</v>
      </c>
      <c r="B139" s="125">
        <v>20060934015</v>
      </c>
      <c r="C139" s="125" t="s">
        <v>144</v>
      </c>
      <c r="D139" s="125">
        <v>13754943</v>
      </c>
      <c r="E139" s="125" t="s">
        <v>381</v>
      </c>
      <c r="F139" s="126">
        <v>27738</v>
      </c>
      <c r="G139" s="125">
        <v>49</v>
      </c>
      <c r="H139" s="125" t="s">
        <v>1052</v>
      </c>
      <c r="I139" s="125">
        <v>60</v>
      </c>
      <c r="J139" s="125" t="s">
        <v>344</v>
      </c>
      <c r="K139" s="125" t="s">
        <v>373</v>
      </c>
      <c r="L139" s="125" t="s">
        <v>810</v>
      </c>
      <c r="M139" s="126">
        <v>38720</v>
      </c>
      <c r="N139" s="121" t="str">
        <f t="shared" si="2"/>
        <v>,Master of Arts in Enterpreneurship,Bachelor of Arts in Business Administration,,,KCSE,KCPE,Public Relations Society of Kenya certificate</v>
      </c>
      <c r="O139" s="125"/>
      <c r="P139" s="128" t="s">
        <v>1053</v>
      </c>
      <c r="Q139" s="127" t="s">
        <v>1054</v>
      </c>
      <c r="R139" s="125"/>
      <c r="S139" s="125"/>
      <c r="T139" s="125" t="s">
        <v>367</v>
      </c>
      <c r="U139" s="125" t="s">
        <v>806</v>
      </c>
      <c r="V139" s="125" t="s">
        <v>1055</v>
      </c>
    </row>
    <row r="140" spans="1:22" x14ac:dyDescent="0.3">
      <c r="A140" s="125">
        <v>127</v>
      </c>
      <c r="B140" s="125">
        <v>20220598059</v>
      </c>
      <c r="C140" s="125" t="s">
        <v>145</v>
      </c>
      <c r="D140" s="125">
        <v>25786319</v>
      </c>
      <c r="E140" s="125" t="s">
        <v>381</v>
      </c>
      <c r="F140" s="125" t="s">
        <v>258</v>
      </c>
      <c r="G140" s="125">
        <v>36</v>
      </c>
      <c r="H140" s="125" t="s">
        <v>829</v>
      </c>
      <c r="I140" s="125">
        <v>60</v>
      </c>
      <c r="J140" s="125" t="s">
        <v>345</v>
      </c>
      <c r="K140" s="125" t="s">
        <v>375</v>
      </c>
      <c r="L140" s="125" t="s">
        <v>810</v>
      </c>
      <c r="M140" s="126">
        <v>44563</v>
      </c>
      <c r="N140" s="121" t="str">
        <f t="shared" si="2"/>
        <v>,,Bachelor of Arts Journalism and Media studies,,,KCSE,KCPE,</v>
      </c>
      <c r="O140" s="125"/>
      <c r="P140" s="125"/>
      <c r="Q140" s="127" t="s">
        <v>1056</v>
      </c>
      <c r="R140" s="125"/>
      <c r="S140" s="125"/>
      <c r="T140" s="125" t="s">
        <v>367</v>
      </c>
      <c r="U140" s="125" t="s">
        <v>806</v>
      </c>
      <c r="V140" s="125"/>
    </row>
    <row r="141" spans="1:22" ht="15" customHeight="1" x14ac:dyDescent="0.3">
      <c r="A141" s="125">
        <v>128</v>
      </c>
      <c r="B141" s="125">
        <v>20250067290</v>
      </c>
      <c r="C141" s="130" t="s">
        <v>146</v>
      </c>
      <c r="D141" s="130">
        <v>28556294</v>
      </c>
      <c r="E141" s="125" t="s">
        <v>381</v>
      </c>
      <c r="F141" s="125" t="s">
        <v>259</v>
      </c>
      <c r="G141" s="125">
        <v>34</v>
      </c>
      <c r="H141" s="126">
        <v>46756</v>
      </c>
      <c r="I141" s="125">
        <v>60</v>
      </c>
      <c r="J141" s="130" t="s">
        <v>346</v>
      </c>
      <c r="K141" s="125" t="s">
        <v>375</v>
      </c>
      <c r="L141" s="125" t="s">
        <v>810</v>
      </c>
      <c r="M141" s="126">
        <v>45661</v>
      </c>
      <c r="N141" s="121" t="str">
        <f t="shared" si="2"/>
        <v>,,Bachelor of Arts in Psycology &amp; Couselling,,,KCSE,KCPE,</v>
      </c>
      <c r="O141" s="125"/>
      <c r="P141" s="125"/>
      <c r="Q141" s="125" t="s">
        <v>1057</v>
      </c>
      <c r="R141" s="125"/>
      <c r="S141" s="125"/>
      <c r="T141" s="125" t="s">
        <v>367</v>
      </c>
      <c r="U141" s="125" t="s">
        <v>806</v>
      </c>
      <c r="V141" s="125"/>
    </row>
    <row r="142" spans="1:22" x14ac:dyDescent="0.3">
      <c r="A142" s="125">
        <v>129</v>
      </c>
      <c r="B142" s="125">
        <v>20077018317</v>
      </c>
      <c r="C142" s="125" t="s">
        <v>147</v>
      </c>
      <c r="D142" s="125">
        <v>21955124</v>
      </c>
      <c r="E142" s="125" t="s">
        <v>381</v>
      </c>
      <c r="F142" s="125" t="s">
        <v>260</v>
      </c>
      <c r="G142" s="125">
        <v>44</v>
      </c>
      <c r="H142" s="125" t="s">
        <v>1058</v>
      </c>
      <c r="I142" s="125">
        <v>60</v>
      </c>
      <c r="J142" s="125" t="s">
        <v>324</v>
      </c>
      <c r="K142" s="125" t="s">
        <v>377</v>
      </c>
      <c r="L142" s="125" t="s">
        <v>810</v>
      </c>
      <c r="M142" s="126">
        <v>39083</v>
      </c>
      <c r="N142" s="121" t="str">
        <f t="shared" si="2"/>
        <v>,,,Diplomain Business Administration,Certificate in Management,KCSE,KCPE,</v>
      </c>
      <c r="O142" s="125"/>
      <c r="P142" s="125"/>
      <c r="Q142" s="125"/>
      <c r="R142" s="127" t="s">
        <v>1059</v>
      </c>
      <c r="S142" s="127" t="s">
        <v>1060</v>
      </c>
      <c r="T142" s="125" t="s">
        <v>367</v>
      </c>
      <c r="U142" s="125" t="s">
        <v>806</v>
      </c>
      <c r="V142" s="125"/>
    </row>
    <row r="143" spans="1:22" x14ac:dyDescent="0.3">
      <c r="A143" s="125">
        <v>130</v>
      </c>
      <c r="B143" s="125">
        <v>20178600948</v>
      </c>
      <c r="C143" s="125" t="s">
        <v>148</v>
      </c>
      <c r="D143" s="125">
        <v>20793936</v>
      </c>
      <c r="E143" s="125" t="s">
        <v>381</v>
      </c>
      <c r="F143" s="125" t="s">
        <v>261</v>
      </c>
      <c r="G143" s="125">
        <v>47</v>
      </c>
      <c r="H143" s="125" t="s">
        <v>872</v>
      </c>
      <c r="I143" s="125">
        <v>60</v>
      </c>
      <c r="J143" s="125" t="s">
        <v>347</v>
      </c>
      <c r="K143" s="125" t="s">
        <v>377</v>
      </c>
      <c r="L143" s="125" t="s">
        <v>810</v>
      </c>
      <c r="M143" s="126">
        <v>42742</v>
      </c>
      <c r="N143" s="121" t="str">
        <f t="shared" si="2"/>
        <v>,,,Diploma in Front Office Operations &amp; Administration, House keeping and Accomodation Studies,and Intenantional Business Communications,,KCSE,KCPE,</v>
      </c>
      <c r="O143" s="125"/>
      <c r="P143" s="125"/>
      <c r="Q143" s="125"/>
      <c r="R143" s="127" t="s">
        <v>1061</v>
      </c>
      <c r="S143" s="125"/>
      <c r="T143" s="125" t="s">
        <v>367</v>
      </c>
      <c r="U143" s="125" t="s">
        <v>806</v>
      </c>
      <c r="V143" s="125"/>
    </row>
    <row r="144" spans="1:22" ht="17.25" customHeight="1" x14ac:dyDescent="0.3">
      <c r="A144" s="125">
        <v>131</v>
      </c>
      <c r="B144" s="125">
        <v>20250089153</v>
      </c>
      <c r="C144" s="130" t="s">
        <v>149</v>
      </c>
      <c r="D144" s="130">
        <v>32003696</v>
      </c>
      <c r="E144" s="125" t="s">
        <v>374</v>
      </c>
      <c r="F144" s="126">
        <v>34462</v>
      </c>
      <c r="G144" s="125">
        <v>31</v>
      </c>
      <c r="H144" s="126">
        <v>46756</v>
      </c>
      <c r="I144" s="125">
        <v>60</v>
      </c>
      <c r="J144" s="130" t="s">
        <v>348</v>
      </c>
      <c r="K144" s="125" t="s">
        <v>377</v>
      </c>
      <c r="L144" s="125" t="s">
        <v>810</v>
      </c>
      <c r="M144" s="126">
        <v>45661</v>
      </c>
      <c r="N144" s="121" t="str">
        <f t="shared" si="2"/>
        <v>,,,Diploma in Business Tourism Management,,KCSE,KCPE,</v>
      </c>
      <c r="O144" s="125"/>
      <c r="P144" s="125"/>
      <c r="Q144" s="125"/>
      <c r="R144" s="125" t="s">
        <v>1062</v>
      </c>
      <c r="S144" s="125"/>
      <c r="T144" s="125" t="s">
        <v>367</v>
      </c>
      <c r="U144" s="125" t="s">
        <v>806</v>
      </c>
      <c r="V144" s="125"/>
    </row>
    <row r="145" spans="1:22" x14ac:dyDescent="0.3">
      <c r="A145" s="125">
        <v>132</v>
      </c>
      <c r="B145" s="125">
        <v>19930981023</v>
      </c>
      <c r="C145" s="125" t="s">
        <v>150</v>
      </c>
      <c r="D145" s="125">
        <v>11357609</v>
      </c>
      <c r="E145" s="125" t="s">
        <v>374</v>
      </c>
      <c r="F145" s="126">
        <v>26391</v>
      </c>
      <c r="G145" s="125">
        <v>54</v>
      </c>
      <c r="H145" s="125" t="s">
        <v>1063</v>
      </c>
      <c r="I145" s="125">
        <v>60</v>
      </c>
      <c r="J145" s="125" t="s">
        <v>318</v>
      </c>
      <c r="K145" s="125" t="s">
        <v>379</v>
      </c>
      <c r="L145" s="125" t="s">
        <v>810</v>
      </c>
      <c r="M145" s="126">
        <v>33976</v>
      </c>
      <c r="N145" s="121" t="str">
        <f t="shared" si="2"/>
        <v>,,,,,KCSE,KCPE,</v>
      </c>
      <c r="O145" s="125"/>
      <c r="P145" s="125"/>
      <c r="Q145" s="125"/>
      <c r="R145" s="125"/>
      <c r="S145" s="125"/>
      <c r="T145" s="125" t="s">
        <v>367</v>
      </c>
      <c r="U145" s="125" t="s">
        <v>806</v>
      </c>
      <c r="V145" s="125"/>
    </row>
    <row r="146" spans="1:22" x14ac:dyDescent="0.3">
      <c r="A146" s="125">
        <v>133</v>
      </c>
      <c r="B146" s="125">
        <v>20089223978</v>
      </c>
      <c r="C146" s="125" t="s">
        <v>151</v>
      </c>
      <c r="D146" s="125">
        <v>14740020</v>
      </c>
      <c r="E146" s="125" t="s">
        <v>374</v>
      </c>
      <c r="F146" s="125" t="s">
        <v>262</v>
      </c>
      <c r="G146" s="125">
        <v>49</v>
      </c>
      <c r="H146" s="125" t="s">
        <v>1064</v>
      </c>
      <c r="I146" s="125">
        <v>60</v>
      </c>
      <c r="J146" s="125" t="s">
        <v>333</v>
      </c>
      <c r="K146" s="125" t="s">
        <v>379</v>
      </c>
      <c r="L146" s="125" t="s">
        <v>810</v>
      </c>
      <c r="M146" s="126">
        <v>39450</v>
      </c>
      <c r="N146" s="121" t="str">
        <f t="shared" si="2"/>
        <v>,,,,Certificate in Tours and Travel Course,KCSE,KCPE,</v>
      </c>
      <c r="O146" s="125"/>
      <c r="P146" s="125"/>
      <c r="Q146" s="125"/>
      <c r="R146" s="125"/>
      <c r="S146" s="127" t="s">
        <v>1065</v>
      </c>
      <c r="T146" s="125" t="s">
        <v>367</v>
      </c>
      <c r="U146" s="125" t="s">
        <v>806</v>
      </c>
      <c r="V146" s="125"/>
    </row>
    <row r="147" spans="1:22" x14ac:dyDescent="0.3">
      <c r="A147" s="125">
        <v>134</v>
      </c>
      <c r="B147" s="125">
        <v>20240300905</v>
      </c>
      <c r="C147" s="125" t="s">
        <v>152</v>
      </c>
      <c r="D147" s="125">
        <v>25394548</v>
      </c>
      <c r="E147" s="125" t="s">
        <v>381</v>
      </c>
      <c r="F147" s="125" t="s">
        <v>263</v>
      </c>
      <c r="G147" s="125">
        <v>37</v>
      </c>
      <c r="H147" s="125" t="s">
        <v>1066</v>
      </c>
      <c r="I147" s="125">
        <v>60</v>
      </c>
      <c r="J147" s="125" t="s">
        <v>319</v>
      </c>
      <c r="K147" s="125" t="s">
        <v>379</v>
      </c>
      <c r="L147" s="125" t="s">
        <v>810</v>
      </c>
      <c r="M147" s="126">
        <v>45301</v>
      </c>
      <c r="N147" s="121" t="str">
        <f t="shared" si="2"/>
        <v>,,|Bachelor Arts Journalism,,,KCSE,KCPE,</v>
      </c>
      <c r="O147" s="125"/>
      <c r="P147" s="125"/>
      <c r="Q147" s="125" t="s">
        <v>1067</v>
      </c>
      <c r="R147" s="125"/>
      <c r="S147" s="125"/>
      <c r="T147" s="125" t="s">
        <v>367</v>
      </c>
      <c r="U147" s="125" t="s">
        <v>806</v>
      </c>
      <c r="V147" s="125"/>
    </row>
    <row r="148" spans="1:22" x14ac:dyDescent="0.3">
      <c r="A148" s="125">
        <v>135</v>
      </c>
      <c r="B148" s="125">
        <v>20240300947</v>
      </c>
      <c r="C148" s="125" t="s">
        <v>153</v>
      </c>
      <c r="D148" s="125">
        <v>37098477</v>
      </c>
      <c r="E148" s="125" t="s">
        <v>381</v>
      </c>
      <c r="F148" s="126">
        <v>36441</v>
      </c>
      <c r="G148" s="125">
        <v>26</v>
      </c>
      <c r="H148" s="125" t="s">
        <v>1068</v>
      </c>
      <c r="I148" s="125">
        <v>60</v>
      </c>
      <c r="J148" s="125" t="s">
        <v>319</v>
      </c>
      <c r="K148" s="125" t="s">
        <v>379</v>
      </c>
      <c r="L148" s="125" t="s">
        <v>810</v>
      </c>
      <c r="M148" s="126">
        <v>45299</v>
      </c>
      <c r="N148" s="121" t="str">
        <f t="shared" si="2"/>
        <v>,,Bachelor of Business information Technology,,,KCSE,KCPE,</v>
      </c>
      <c r="O148" s="125"/>
      <c r="P148" s="125"/>
      <c r="Q148" s="125" t="s">
        <v>1069</v>
      </c>
      <c r="R148" s="125"/>
      <c r="S148" s="125"/>
      <c r="T148" s="125" t="s">
        <v>367</v>
      </c>
      <c r="U148" s="125" t="s">
        <v>806</v>
      </c>
      <c r="V148" s="125"/>
    </row>
    <row r="149" spans="1:22" ht="15.6" x14ac:dyDescent="0.3">
      <c r="A149" s="142"/>
      <c r="B149" s="118"/>
      <c r="C149" s="142"/>
      <c r="D149" s="133" t="s">
        <v>1070</v>
      </c>
      <c r="E149" s="142"/>
      <c r="F149" s="142"/>
      <c r="G149" s="142"/>
      <c r="H149" s="142"/>
      <c r="I149" s="142"/>
      <c r="J149" s="142"/>
      <c r="K149" s="142"/>
      <c r="L149" s="142"/>
      <c r="M149" s="142"/>
      <c r="N149" s="121" t="str">
        <f t="shared" si="2"/>
        <v>,,,,,,,</v>
      </c>
      <c r="O149" s="142"/>
      <c r="P149" s="142"/>
      <c r="Q149" s="142"/>
      <c r="R149" s="142"/>
      <c r="S149" s="142"/>
      <c r="T149" s="142"/>
      <c r="U149" s="142"/>
      <c r="V149" s="142"/>
    </row>
    <row r="150" spans="1:22" x14ac:dyDescent="0.3">
      <c r="A150" s="125">
        <v>136</v>
      </c>
      <c r="B150" s="125">
        <v>20106534561</v>
      </c>
      <c r="C150" s="125" t="s">
        <v>154</v>
      </c>
      <c r="D150" s="125">
        <v>14450937</v>
      </c>
      <c r="E150" s="125" t="s">
        <v>374</v>
      </c>
      <c r="F150" s="125" t="s">
        <v>264</v>
      </c>
      <c r="G150" s="125">
        <v>50</v>
      </c>
      <c r="H150" s="125" t="s">
        <v>1071</v>
      </c>
      <c r="I150" s="125">
        <v>70</v>
      </c>
      <c r="J150" s="125" t="s">
        <v>349</v>
      </c>
      <c r="K150" s="125" t="s">
        <v>382</v>
      </c>
      <c r="L150" s="125" t="s">
        <v>810</v>
      </c>
      <c r="M150" s="126">
        <v>40182</v>
      </c>
      <c r="N150" s="121" t="str">
        <f t="shared" si="2"/>
        <v>Doctor of Philosophy  in Biomedical Sciences,Master of Science in Molecular biology,Bachelor of Science ,,,KCSE,KCPE,KSG(Strategic Leadership Development Program, Corporate Governace)</v>
      </c>
      <c r="O150" s="128" t="s">
        <v>1072</v>
      </c>
      <c r="P150" s="128" t="s">
        <v>1073</v>
      </c>
      <c r="Q150" s="127" t="s">
        <v>1074</v>
      </c>
      <c r="R150" s="127"/>
      <c r="S150" s="127"/>
      <c r="T150" s="125" t="s">
        <v>367</v>
      </c>
      <c r="U150" s="125" t="s">
        <v>806</v>
      </c>
      <c r="V150" s="125" t="s">
        <v>1075</v>
      </c>
    </row>
    <row r="151" spans="1:22" x14ac:dyDescent="0.3">
      <c r="A151" s="125">
        <v>137</v>
      </c>
      <c r="B151" s="125">
        <v>20060933865</v>
      </c>
      <c r="C151" s="125" t="s">
        <v>155</v>
      </c>
      <c r="D151" s="125">
        <v>9759334</v>
      </c>
      <c r="E151" s="125" t="s">
        <v>381</v>
      </c>
      <c r="F151" s="125" t="s">
        <v>265</v>
      </c>
      <c r="G151" s="125">
        <v>58</v>
      </c>
      <c r="H151" s="125" t="s">
        <v>1076</v>
      </c>
      <c r="I151" s="125">
        <v>70</v>
      </c>
      <c r="J151" s="125" t="s">
        <v>323</v>
      </c>
      <c r="K151" s="125" t="s">
        <v>373</v>
      </c>
      <c r="L151" s="125" t="s">
        <v>810</v>
      </c>
      <c r="M151" s="126">
        <v>38725</v>
      </c>
      <c r="N151" s="121" t="str">
        <f t="shared" si="2"/>
        <v>Doctor of Philosophy (Medical Microbiology),Master in Comparative Mammalian Physiology,Bachelor of Education (science),,,,,</v>
      </c>
      <c r="O151" s="128" t="s">
        <v>1077</v>
      </c>
      <c r="P151" s="128" t="s">
        <v>1078</v>
      </c>
      <c r="Q151" s="127" t="s">
        <v>1079</v>
      </c>
      <c r="R151" s="125"/>
      <c r="S151" s="125"/>
      <c r="T151" s="125"/>
      <c r="U151" s="125"/>
      <c r="V151" s="125"/>
    </row>
    <row r="152" spans="1:22" x14ac:dyDescent="0.3">
      <c r="A152" s="125">
        <v>138</v>
      </c>
      <c r="B152" s="120">
        <v>20178600794</v>
      </c>
      <c r="C152" s="120" t="s">
        <v>156</v>
      </c>
      <c r="D152" s="120">
        <v>2376027</v>
      </c>
      <c r="E152" s="120" t="s">
        <v>381</v>
      </c>
      <c r="F152" s="121">
        <v>31082</v>
      </c>
      <c r="G152" s="120">
        <v>41</v>
      </c>
      <c r="H152" s="120" t="s">
        <v>1080</v>
      </c>
      <c r="I152" s="125">
        <v>70</v>
      </c>
      <c r="J152" s="120" t="s">
        <v>307</v>
      </c>
      <c r="K152" s="120" t="s">
        <v>380</v>
      </c>
      <c r="L152" s="120" t="s">
        <v>810</v>
      </c>
      <c r="M152" s="121">
        <v>42837</v>
      </c>
      <c r="N152" s="121" t="str">
        <f t="shared" si="2"/>
        <v>Doctor in philosophy,Master in biochemical science(medical microbiology),Bachelor of Science in  Biomedical Technology,,,KCSE,KCPE,</v>
      </c>
      <c r="O152" s="122" t="s">
        <v>1081</v>
      </c>
      <c r="P152" s="122" t="s">
        <v>1082</v>
      </c>
      <c r="Q152" s="123" t="s">
        <v>1083</v>
      </c>
      <c r="R152" s="120"/>
      <c r="S152" s="120"/>
      <c r="T152" s="120" t="s">
        <v>367</v>
      </c>
      <c r="U152" s="120" t="s">
        <v>806</v>
      </c>
      <c r="V152" s="120"/>
    </row>
    <row r="153" spans="1:22" x14ac:dyDescent="0.3">
      <c r="A153" s="125">
        <v>139</v>
      </c>
      <c r="B153" s="125">
        <v>20178601009</v>
      </c>
      <c r="C153" s="125" t="s">
        <v>157</v>
      </c>
      <c r="D153" s="125">
        <v>24946509</v>
      </c>
      <c r="E153" s="125" t="s">
        <v>381</v>
      </c>
      <c r="F153" s="125" t="s">
        <v>266</v>
      </c>
      <c r="G153" s="125">
        <v>41</v>
      </c>
      <c r="H153" s="125" t="s">
        <v>1084</v>
      </c>
      <c r="I153" s="125">
        <v>70</v>
      </c>
      <c r="J153" s="125" t="s">
        <v>307</v>
      </c>
      <c r="K153" s="125" t="s">
        <v>380</v>
      </c>
      <c r="L153" s="125" t="s">
        <v>810</v>
      </c>
      <c r="M153" s="126">
        <v>42740</v>
      </c>
      <c r="N153" s="121" t="str">
        <f t="shared" si="2"/>
        <v>Doctor of Philosophy  in Veterinary Science,Master of Science Immunilogy, Bachelor of Education (Science),,,KCSE,KCPE,</v>
      </c>
      <c r="O153" s="128" t="s">
        <v>1085</v>
      </c>
      <c r="P153" s="128" t="s">
        <v>1086</v>
      </c>
      <c r="Q153" s="127" t="s">
        <v>1087</v>
      </c>
      <c r="R153" s="125"/>
      <c r="S153" s="125"/>
      <c r="T153" s="125" t="s">
        <v>367</v>
      </c>
      <c r="U153" s="125" t="s">
        <v>806</v>
      </c>
      <c r="V153" s="125"/>
    </row>
    <row r="154" spans="1:22" x14ac:dyDescent="0.3">
      <c r="A154" s="125">
        <v>140</v>
      </c>
      <c r="B154" s="125">
        <v>20220599013</v>
      </c>
      <c r="C154" s="125" t="s">
        <v>158</v>
      </c>
      <c r="D154" s="125">
        <v>27925378</v>
      </c>
      <c r="E154" s="125" t="s">
        <v>381</v>
      </c>
      <c r="F154" s="125" t="s">
        <v>267</v>
      </c>
      <c r="G154" s="125">
        <v>38</v>
      </c>
      <c r="H154" s="125" t="s">
        <v>901</v>
      </c>
      <c r="I154" s="125">
        <v>70</v>
      </c>
      <c r="J154" s="125" t="s">
        <v>350</v>
      </c>
      <c r="K154" s="125" t="s">
        <v>380</v>
      </c>
      <c r="L154" s="125" t="s">
        <v>810</v>
      </c>
      <c r="M154" s="126">
        <v>44562</v>
      </c>
      <c r="N154" s="121" t="str">
        <f t="shared" si="2"/>
        <v>Doctor of Phillosophy,Master of Science,Bachelor of Science (in Biomedical Technology),,,KCSE,KCPE,</v>
      </c>
      <c r="O154" s="128" t="s">
        <v>1088</v>
      </c>
      <c r="P154" s="125" t="s">
        <v>1089</v>
      </c>
      <c r="Q154" s="127" t="s">
        <v>1090</v>
      </c>
      <c r="R154" s="125"/>
      <c r="S154" s="125"/>
      <c r="T154" s="125" t="s">
        <v>367</v>
      </c>
      <c r="U154" s="125" t="s">
        <v>806</v>
      </c>
      <c r="V154" s="125"/>
    </row>
    <row r="155" spans="1:22" x14ac:dyDescent="0.3">
      <c r="A155" s="125">
        <v>141</v>
      </c>
      <c r="B155" s="120">
        <v>20060933695</v>
      </c>
      <c r="C155" s="120" t="s">
        <v>159</v>
      </c>
      <c r="D155" s="120">
        <v>22153547</v>
      </c>
      <c r="E155" s="120" t="s">
        <v>374</v>
      </c>
      <c r="F155" s="120" t="s">
        <v>268</v>
      </c>
      <c r="G155" s="120">
        <v>45</v>
      </c>
      <c r="H155" s="120" t="s">
        <v>1091</v>
      </c>
      <c r="I155" s="125">
        <v>70</v>
      </c>
      <c r="J155" s="120" t="s">
        <v>334</v>
      </c>
      <c r="K155" s="120" t="s">
        <v>372</v>
      </c>
      <c r="L155" s="120" t="s">
        <v>810</v>
      </c>
      <c r="M155" s="121">
        <v>38758</v>
      </c>
      <c r="N155" s="121" t="str">
        <f t="shared" si="2"/>
        <v>,,,,,,,</v>
      </c>
      <c r="O155" s="120"/>
      <c r="P155" s="120"/>
      <c r="Q155" s="120"/>
      <c r="R155" s="120"/>
      <c r="S155" s="120"/>
      <c r="T155" s="120"/>
      <c r="U155" s="120"/>
      <c r="V155" s="120"/>
    </row>
    <row r="156" spans="1:22" x14ac:dyDescent="0.3">
      <c r="A156" s="125">
        <v>142</v>
      </c>
      <c r="B156" s="125">
        <v>20114215529</v>
      </c>
      <c r="C156" s="125" t="s">
        <v>160</v>
      </c>
      <c r="D156" s="125">
        <v>23575227</v>
      </c>
      <c r="E156" s="125" t="s">
        <v>374</v>
      </c>
      <c r="F156" s="125" t="s">
        <v>269</v>
      </c>
      <c r="G156" s="125">
        <v>42</v>
      </c>
      <c r="H156" s="125" t="s">
        <v>1092</v>
      </c>
      <c r="I156" s="125">
        <v>70</v>
      </c>
      <c r="J156" s="125" t="s">
        <v>351</v>
      </c>
      <c r="K156" s="125" t="s">
        <v>374</v>
      </c>
      <c r="L156" s="125" t="s">
        <v>810</v>
      </c>
      <c r="M156" s="126">
        <v>40549</v>
      </c>
      <c r="N156" s="121" t="str">
        <f t="shared" si="2"/>
        <v>,Masters of Science in tropical and infectious disease ,Bachelor of Science in Medical laboratory Science,,,KCSE,KCPE,</v>
      </c>
      <c r="O156" s="125"/>
      <c r="P156" s="127" t="s">
        <v>1093</v>
      </c>
      <c r="Q156" s="127" t="s">
        <v>1094</v>
      </c>
      <c r="R156" s="125"/>
      <c r="S156" s="125"/>
      <c r="T156" s="125" t="s">
        <v>367</v>
      </c>
      <c r="U156" s="125" t="s">
        <v>806</v>
      </c>
      <c r="V156" s="125"/>
    </row>
    <row r="157" spans="1:22" x14ac:dyDescent="0.3">
      <c r="A157" s="125">
        <v>143</v>
      </c>
      <c r="B157" s="125">
        <v>20178600867</v>
      </c>
      <c r="C157" s="125" t="s">
        <v>161</v>
      </c>
      <c r="D157" s="125">
        <v>10032595</v>
      </c>
      <c r="E157" s="125" t="s">
        <v>381</v>
      </c>
      <c r="F157" s="125" t="s">
        <v>270</v>
      </c>
      <c r="G157" s="125">
        <v>38</v>
      </c>
      <c r="H157" s="125" t="s">
        <v>1095</v>
      </c>
      <c r="I157" s="125">
        <v>60</v>
      </c>
      <c r="J157" s="125" t="s">
        <v>352</v>
      </c>
      <c r="K157" s="125" t="s">
        <v>374</v>
      </c>
      <c r="L157" s="125" t="s">
        <v>1096</v>
      </c>
      <c r="M157" s="126">
        <v>43018</v>
      </c>
      <c r="N157" s="121" t="str">
        <f t="shared" si="2"/>
        <v>,Master of Business Administration,Bachelor of Science in Medical laboratory Science,Advanced Diploma in Medical Laboratory Science,,KCSE,KCPE,</v>
      </c>
      <c r="O157" s="125"/>
      <c r="P157" s="127" t="s">
        <v>1097</v>
      </c>
      <c r="Q157" s="127" t="s">
        <v>1094</v>
      </c>
      <c r="R157" s="127" t="s">
        <v>1098</v>
      </c>
      <c r="S157" s="125"/>
      <c r="T157" s="125" t="s">
        <v>367</v>
      </c>
      <c r="U157" s="125" t="s">
        <v>806</v>
      </c>
      <c r="V157" s="125"/>
    </row>
    <row r="158" spans="1:22" x14ac:dyDescent="0.3">
      <c r="A158" s="125">
        <v>144</v>
      </c>
      <c r="B158" s="125">
        <v>20089223902</v>
      </c>
      <c r="C158" s="125" t="s">
        <v>162</v>
      </c>
      <c r="D158" s="125">
        <v>22469470</v>
      </c>
      <c r="E158" s="125" t="s">
        <v>374</v>
      </c>
      <c r="F158" s="125" t="s">
        <v>271</v>
      </c>
      <c r="G158" s="125">
        <v>43</v>
      </c>
      <c r="H158" s="125" t="s">
        <v>1099</v>
      </c>
      <c r="I158" s="125">
        <v>60</v>
      </c>
      <c r="J158" s="125" t="s">
        <v>311</v>
      </c>
      <c r="K158" s="125" t="s">
        <v>375</v>
      </c>
      <c r="L158" s="125" t="s">
        <v>810</v>
      </c>
      <c r="M158" s="126">
        <v>39451</v>
      </c>
      <c r="N158" s="121" t="str">
        <f t="shared" si="2"/>
        <v>Doctor of Philosophy  in Bioengeneering Sciences,Master of Science in Molecular Biology,Bachelor of Science (Biomedical Science and Technology) Medical Biotechnology option.,,,KCSE,KCPE,</v>
      </c>
      <c r="O158" s="127" t="s">
        <v>1100</v>
      </c>
      <c r="P158" s="128" t="s">
        <v>1101</v>
      </c>
      <c r="Q158" s="127" t="s">
        <v>1102</v>
      </c>
      <c r="R158" s="125"/>
      <c r="S158" s="125"/>
      <c r="T158" s="125" t="s">
        <v>367</v>
      </c>
      <c r="U158" s="125" t="s">
        <v>806</v>
      </c>
      <c r="V158" s="125"/>
    </row>
    <row r="159" spans="1:22" x14ac:dyDescent="0.3">
      <c r="A159" s="125">
        <v>145</v>
      </c>
      <c r="B159" s="125">
        <v>20210645838</v>
      </c>
      <c r="C159" s="125" t="s">
        <v>163</v>
      </c>
      <c r="D159" s="125">
        <v>32689152</v>
      </c>
      <c r="E159" s="125" t="s">
        <v>381</v>
      </c>
      <c r="F159" s="125" t="s">
        <v>272</v>
      </c>
      <c r="G159" s="125">
        <v>31</v>
      </c>
      <c r="H159" s="125" t="s">
        <v>1103</v>
      </c>
      <c r="I159" s="125">
        <v>60</v>
      </c>
      <c r="J159" s="125" t="s">
        <v>311</v>
      </c>
      <c r="K159" s="125" t="s">
        <v>375</v>
      </c>
      <c r="L159" s="125" t="s">
        <v>810</v>
      </c>
      <c r="M159" s="125" t="s">
        <v>1104</v>
      </c>
      <c r="N159" s="121" t="str">
        <f t="shared" si="2"/>
        <v>,,Bachelor of Technology in Biotechnology,,,KCSE,KCPE,</v>
      </c>
      <c r="O159" s="125"/>
      <c r="P159" s="125"/>
      <c r="Q159" s="127" t="s">
        <v>1105</v>
      </c>
      <c r="R159" s="125"/>
      <c r="S159" s="125"/>
      <c r="T159" s="125" t="s">
        <v>367</v>
      </c>
      <c r="U159" s="125" t="s">
        <v>806</v>
      </c>
      <c r="V159" s="125"/>
    </row>
    <row r="160" spans="1:22" x14ac:dyDescent="0.3">
      <c r="A160" s="125">
        <v>146</v>
      </c>
      <c r="B160" s="125">
        <v>20210646020</v>
      </c>
      <c r="C160" s="125" t="s">
        <v>164</v>
      </c>
      <c r="D160" s="125">
        <v>32747838</v>
      </c>
      <c r="E160" s="125" t="s">
        <v>381</v>
      </c>
      <c r="F160" s="126">
        <v>34949</v>
      </c>
      <c r="G160" s="125">
        <v>30</v>
      </c>
      <c r="H160" s="125" t="s">
        <v>1106</v>
      </c>
      <c r="I160" s="125">
        <v>60</v>
      </c>
      <c r="J160" s="125" t="s">
        <v>311</v>
      </c>
      <c r="K160" s="125" t="s">
        <v>375</v>
      </c>
      <c r="L160" s="125" t="s">
        <v>810</v>
      </c>
      <c r="M160" s="125" t="s">
        <v>1107</v>
      </c>
      <c r="N160" s="121" t="str">
        <f t="shared" si="2"/>
        <v>,,Bachelor of Science in Microbiology,,,KCSE,KCPE,</v>
      </c>
      <c r="O160" s="125"/>
      <c r="P160" s="125"/>
      <c r="Q160" s="127" t="s">
        <v>947</v>
      </c>
      <c r="R160" s="125"/>
      <c r="S160" s="125"/>
      <c r="T160" s="125" t="s">
        <v>367</v>
      </c>
      <c r="U160" s="125" t="s">
        <v>806</v>
      </c>
      <c r="V160" s="125"/>
    </row>
    <row r="161" spans="1:22" x14ac:dyDescent="0.3">
      <c r="A161" s="125">
        <v>147</v>
      </c>
      <c r="B161" s="125">
        <v>20220598334</v>
      </c>
      <c r="C161" s="125" t="s">
        <v>165</v>
      </c>
      <c r="D161" s="125">
        <v>29609713</v>
      </c>
      <c r="E161" s="125" t="s">
        <v>374</v>
      </c>
      <c r="F161" s="125" t="s">
        <v>273</v>
      </c>
      <c r="G161" s="125">
        <v>33</v>
      </c>
      <c r="H161" s="125" t="s">
        <v>901</v>
      </c>
      <c r="I161" s="125">
        <v>60</v>
      </c>
      <c r="J161" s="125" t="s">
        <v>311</v>
      </c>
      <c r="K161" s="125" t="s">
        <v>375</v>
      </c>
      <c r="L161" s="125" t="s">
        <v>810</v>
      </c>
      <c r="M161" s="125" t="s">
        <v>932</v>
      </c>
      <c r="N161" s="121" t="str">
        <f t="shared" si="2"/>
        <v>,Masters of Science in Molecular Biology and Bioinformatics,Bachelor of Science in Microbiology and Biotechnology,,,KCSE,KCPE,</v>
      </c>
      <c r="O161" s="125"/>
      <c r="P161" s="125" t="s">
        <v>1108</v>
      </c>
      <c r="Q161" s="128" t="s">
        <v>1109</v>
      </c>
      <c r="R161" s="125"/>
      <c r="S161" s="125"/>
      <c r="T161" s="125" t="s">
        <v>367</v>
      </c>
      <c r="U161" s="125" t="s">
        <v>806</v>
      </c>
      <c r="V161" s="125"/>
    </row>
    <row r="162" spans="1:22" ht="18" customHeight="1" x14ac:dyDescent="0.3">
      <c r="A162" s="125">
        <v>148</v>
      </c>
      <c r="B162" s="128">
        <v>20250067363</v>
      </c>
      <c r="C162" s="130" t="s">
        <v>166</v>
      </c>
      <c r="D162" s="130">
        <v>33506213</v>
      </c>
      <c r="E162" s="125" t="s">
        <v>374</v>
      </c>
      <c r="F162" s="126">
        <v>35583</v>
      </c>
      <c r="G162" s="125">
        <v>29</v>
      </c>
      <c r="H162" s="126">
        <v>46756</v>
      </c>
      <c r="I162" s="125">
        <v>60</v>
      </c>
      <c r="J162" s="130" t="s">
        <v>353</v>
      </c>
      <c r="K162" s="125" t="s">
        <v>375</v>
      </c>
      <c r="L162" s="125" t="s">
        <v>810</v>
      </c>
      <c r="M162" s="126">
        <v>45661</v>
      </c>
      <c r="N162" s="121" t="str">
        <f t="shared" si="2"/>
        <v>,,Bachelor of Science in Microbiology,,,KCSE,KCPE,</v>
      </c>
      <c r="O162" s="125"/>
      <c r="P162" s="125"/>
      <c r="Q162" s="125" t="s">
        <v>947</v>
      </c>
      <c r="R162" s="125"/>
      <c r="S162" s="125"/>
      <c r="T162" s="125" t="s">
        <v>367</v>
      </c>
      <c r="U162" s="125" t="s">
        <v>806</v>
      </c>
      <c r="V162" s="125"/>
    </row>
    <row r="163" spans="1:22" ht="15" customHeight="1" x14ac:dyDescent="0.3">
      <c r="A163" s="125">
        <v>149</v>
      </c>
      <c r="B163" s="128">
        <v>20250067371</v>
      </c>
      <c r="C163" s="130" t="s">
        <v>167</v>
      </c>
      <c r="D163" s="132">
        <v>35919539</v>
      </c>
      <c r="E163" s="125" t="s">
        <v>374</v>
      </c>
      <c r="F163" s="126">
        <v>36014</v>
      </c>
      <c r="G163" s="125">
        <v>27</v>
      </c>
      <c r="H163" s="126">
        <v>46757</v>
      </c>
      <c r="I163" s="125">
        <v>60</v>
      </c>
      <c r="J163" s="130" t="s">
        <v>353</v>
      </c>
      <c r="K163" s="125" t="s">
        <v>375</v>
      </c>
      <c r="L163" s="125" t="s">
        <v>810</v>
      </c>
      <c r="M163" s="126">
        <v>45693</v>
      </c>
      <c r="N163" s="121" t="str">
        <f t="shared" si="2"/>
        <v>,,Bachelor of Science (Molecular &amp; Cellular Biology),,,KCSE,KCPE,</v>
      </c>
      <c r="O163" s="125"/>
      <c r="P163" s="125"/>
      <c r="Q163" s="125" t="s">
        <v>1110</v>
      </c>
      <c r="R163" s="125"/>
      <c r="S163" s="125"/>
      <c r="T163" s="125" t="s">
        <v>367</v>
      </c>
      <c r="U163" s="125" t="s">
        <v>806</v>
      </c>
      <c r="V163" s="125"/>
    </row>
    <row r="164" spans="1:22" x14ac:dyDescent="0.3">
      <c r="A164" s="125">
        <v>150</v>
      </c>
      <c r="B164" s="125">
        <v>19911126965</v>
      </c>
      <c r="C164" s="125" t="s">
        <v>168</v>
      </c>
      <c r="D164" s="125">
        <v>8341746</v>
      </c>
      <c r="E164" s="125" t="s">
        <v>381</v>
      </c>
      <c r="F164" s="125" t="s">
        <v>274</v>
      </c>
      <c r="G164" s="125">
        <v>59</v>
      </c>
      <c r="H164" s="125" t="s">
        <v>1111</v>
      </c>
      <c r="I164" s="125">
        <v>60</v>
      </c>
      <c r="J164" s="125" t="s">
        <v>354</v>
      </c>
      <c r="K164" s="125" t="s">
        <v>376</v>
      </c>
      <c r="L164" s="125" t="s">
        <v>810</v>
      </c>
      <c r="M164" s="126">
        <v>33240</v>
      </c>
      <c r="N164" s="121" t="str">
        <f t="shared" si="2"/>
        <v>,,,Diploma in Industrial Microbiology,Certificate in Junior laboratory Technicians,KCSE,KCPE,</v>
      </c>
      <c r="O164" s="125"/>
      <c r="P164" s="125"/>
      <c r="Q164" s="125"/>
      <c r="R164" s="127" t="s">
        <v>1112</v>
      </c>
      <c r="S164" s="127" t="s">
        <v>1113</v>
      </c>
      <c r="T164" s="125" t="s">
        <v>367</v>
      </c>
      <c r="U164" s="125" t="s">
        <v>806</v>
      </c>
      <c r="V164" s="125"/>
    </row>
    <row r="165" spans="1:22" x14ac:dyDescent="0.3">
      <c r="A165" s="125">
        <v>151</v>
      </c>
      <c r="B165" s="125">
        <v>19901899011</v>
      </c>
      <c r="C165" s="125" t="s">
        <v>169</v>
      </c>
      <c r="D165" s="125">
        <v>7304854</v>
      </c>
      <c r="E165" s="125" t="s">
        <v>381</v>
      </c>
      <c r="F165" s="125" t="s">
        <v>275</v>
      </c>
      <c r="G165" s="125">
        <v>59</v>
      </c>
      <c r="H165" s="125" t="s">
        <v>1114</v>
      </c>
      <c r="I165" s="125">
        <v>60</v>
      </c>
      <c r="J165" s="125" t="s">
        <v>339</v>
      </c>
      <c r="K165" s="125" t="s">
        <v>377</v>
      </c>
      <c r="L165" s="125" t="s">
        <v>810</v>
      </c>
      <c r="M165" s="126">
        <v>32882</v>
      </c>
      <c r="N165" s="121" t="str">
        <f t="shared" si="2"/>
        <v>,,,,Certificate in Office Practice,KCSE,KCPE,</v>
      </c>
      <c r="O165" s="125"/>
      <c r="P165" s="125"/>
      <c r="Q165" s="125"/>
      <c r="R165" s="125"/>
      <c r="S165" s="127" t="s">
        <v>1115</v>
      </c>
      <c r="T165" s="125" t="s">
        <v>367</v>
      </c>
      <c r="U165" s="125" t="s">
        <v>806</v>
      </c>
      <c r="V165" s="125"/>
    </row>
    <row r="166" spans="1:22" x14ac:dyDescent="0.3">
      <c r="A166" s="125">
        <v>152</v>
      </c>
      <c r="B166" s="125">
        <v>20210645927</v>
      </c>
      <c r="C166" s="125" t="s">
        <v>170</v>
      </c>
      <c r="D166" s="125">
        <v>31141408</v>
      </c>
      <c r="E166" s="125" t="s">
        <v>381</v>
      </c>
      <c r="F166" s="125" t="s">
        <v>276</v>
      </c>
      <c r="G166" s="125">
        <v>31</v>
      </c>
      <c r="H166" s="125" t="s">
        <v>1116</v>
      </c>
      <c r="I166" s="125">
        <v>60</v>
      </c>
      <c r="J166" s="125" t="s">
        <v>319</v>
      </c>
      <c r="K166" s="125" t="s">
        <v>379</v>
      </c>
      <c r="L166" s="125" t="s">
        <v>810</v>
      </c>
      <c r="M166" s="126">
        <v>44386</v>
      </c>
      <c r="N166" s="121" t="str">
        <f t="shared" si="2"/>
        <v>,,Bachelor of Science in biochemistry ,,,KCSE,KCPE,</v>
      </c>
      <c r="O166" s="125"/>
      <c r="P166" s="125"/>
      <c r="Q166" s="127" t="s">
        <v>1117</v>
      </c>
      <c r="R166" s="125"/>
      <c r="S166" s="125"/>
      <c r="T166" s="125" t="s">
        <v>367</v>
      </c>
      <c r="U166" s="125" t="s">
        <v>806</v>
      </c>
      <c r="V166" s="125"/>
    </row>
    <row r="167" spans="1:22" x14ac:dyDescent="0.3">
      <c r="A167" s="125">
        <v>153</v>
      </c>
      <c r="B167" s="125">
        <v>20250011956</v>
      </c>
      <c r="C167" s="125" t="s">
        <v>171</v>
      </c>
      <c r="D167" s="125">
        <v>36066208</v>
      </c>
      <c r="E167" s="125" t="s">
        <v>374</v>
      </c>
      <c r="F167" s="126">
        <v>36136</v>
      </c>
      <c r="G167" s="125">
        <v>27</v>
      </c>
      <c r="H167" s="125" t="s">
        <v>1118</v>
      </c>
      <c r="I167" s="125">
        <v>60</v>
      </c>
      <c r="J167" s="125" t="s">
        <v>319</v>
      </c>
      <c r="K167" s="125" t="s">
        <v>379</v>
      </c>
      <c r="L167" s="125" t="s">
        <v>810</v>
      </c>
      <c r="M167" s="126">
        <v>45659</v>
      </c>
      <c r="N167" s="121" t="str">
        <f t="shared" si="2"/>
        <v>,,Bachelor of Science in biochemistry ,,,KCSE,KCPE,</v>
      </c>
      <c r="O167" s="125"/>
      <c r="P167" s="125"/>
      <c r="Q167" s="125" t="s">
        <v>1117</v>
      </c>
      <c r="R167" s="125"/>
      <c r="S167" s="125"/>
      <c r="T167" s="125" t="s">
        <v>367</v>
      </c>
      <c r="U167" s="125" t="s">
        <v>806</v>
      </c>
      <c r="V167" s="125"/>
    </row>
    <row r="168" spans="1:22" ht="15.75" customHeight="1" x14ac:dyDescent="0.3">
      <c r="A168" s="125">
        <v>154</v>
      </c>
      <c r="B168" s="128">
        <v>20250067305</v>
      </c>
      <c r="C168" s="130" t="s">
        <v>172</v>
      </c>
      <c r="D168" s="130">
        <v>25566424</v>
      </c>
      <c r="E168" s="125" t="s">
        <v>381</v>
      </c>
      <c r="F168" s="125" t="s">
        <v>277</v>
      </c>
      <c r="G168" s="125">
        <v>39</v>
      </c>
      <c r="H168" s="126">
        <v>46026</v>
      </c>
      <c r="I168" s="125">
        <v>60</v>
      </c>
      <c r="J168" s="130" t="s">
        <v>355</v>
      </c>
      <c r="K168" s="125" t="s">
        <v>379</v>
      </c>
      <c r="L168" s="125" t="s">
        <v>810</v>
      </c>
      <c r="M168" s="126">
        <v>45661</v>
      </c>
      <c r="N168" s="121" t="str">
        <f t="shared" si="2"/>
        <v>Doctor of Phillosophy in Biochemistry,Master of Science (BioChemistry),Bachelor of Science in biochemistry ,,,KCSE,KCPE,</v>
      </c>
      <c r="O168" s="127" t="s">
        <v>1119</v>
      </c>
      <c r="P168" s="125" t="s">
        <v>1120</v>
      </c>
      <c r="Q168" s="125" t="s">
        <v>1117</v>
      </c>
      <c r="R168" s="125"/>
      <c r="S168" s="125"/>
      <c r="T168" s="125" t="s">
        <v>367</v>
      </c>
      <c r="U168" s="125" t="s">
        <v>806</v>
      </c>
      <c r="V168" s="125"/>
    </row>
    <row r="169" spans="1:22" ht="15.6" x14ac:dyDescent="0.3">
      <c r="A169" s="118"/>
      <c r="B169" s="118"/>
      <c r="C169" s="143"/>
      <c r="D169" s="144" t="s">
        <v>1121</v>
      </c>
      <c r="E169" s="118"/>
      <c r="F169" s="118"/>
      <c r="G169" s="118"/>
      <c r="H169" s="140"/>
      <c r="I169" s="118"/>
      <c r="J169" s="143"/>
      <c r="K169" s="118"/>
      <c r="L169" s="118"/>
      <c r="M169" s="140"/>
      <c r="N169" s="121" t="str">
        <f t="shared" si="2"/>
        <v>,,,,,,,</v>
      </c>
      <c r="O169" s="118"/>
      <c r="P169" s="118"/>
      <c r="Q169" s="118"/>
      <c r="R169" s="118"/>
      <c r="S169" s="118"/>
      <c r="T169" s="118"/>
      <c r="U169" s="118"/>
      <c r="V169" s="118"/>
    </row>
    <row r="170" spans="1:22" x14ac:dyDescent="0.3">
      <c r="A170" s="125">
        <v>156</v>
      </c>
      <c r="B170" s="125">
        <v>20095593179</v>
      </c>
      <c r="C170" s="125" t="s">
        <v>173</v>
      </c>
      <c r="D170" s="125">
        <v>9124859</v>
      </c>
      <c r="E170" s="125" t="s">
        <v>374</v>
      </c>
      <c r="F170" s="126">
        <v>24473</v>
      </c>
      <c r="G170" s="125">
        <v>59</v>
      </c>
      <c r="H170" s="125" t="s">
        <v>907</v>
      </c>
      <c r="I170" s="125">
        <v>60</v>
      </c>
      <c r="J170" s="125" t="s">
        <v>356</v>
      </c>
      <c r="K170" s="125" t="s">
        <v>375</v>
      </c>
      <c r="L170" s="125" t="s">
        <v>810</v>
      </c>
      <c r="M170" s="126">
        <v>39821</v>
      </c>
      <c r="N170" s="121" t="str">
        <f t="shared" si="2"/>
        <v>,,Advanced Diploma in Management Studies,Diploma in Business Studies, Management studies,,KCSE,KCPE,</v>
      </c>
      <c r="O170" s="125"/>
      <c r="P170" s="125"/>
      <c r="Q170" s="125" t="s">
        <v>1122</v>
      </c>
      <c r="R170" s="127" t="s">
        <v>1123</v>
      </c>
      <c r="S170" s="125"/>
      <c r="T170" s="125" t="s">
        <v>367</v>
      </c>
      <c r="U170" s="125" t="s">
        <v>806</v>
      </c>
      <c r="V170" s="125"/>
    </row>
    <row r="171" spans="1:22" x14ac:dyDescent="0.3">
      <c r="A171" s="125">
        <v>157</v>
      </c>
      <c r="B171" s="125">
        <v>20106534197</v>
      </c>
      <c r="C171" s="125" t="s">
        <v>174</v>
      </c>
      <c r="D171" s="125">
        <v>22266918</v>
      </c>
      <c r="E171" s="125" t="s">
        <v>374</v>
      </c>
      <c r="F171" s="125" t="s">
        <v>278</v>
      </c>
      <c r="G171" s="125">
        <v>45</v>
      </c>
      <c r="H171" s="125" t="s">
        <v>1124</v>
      </c>
      <c r="I171" s="125">
        <v>60</v>
      </c>
      <c r="J171" s="125" t="s">
        <v>357</v>
      </c>
      <c r="K171" s="125" t="s">
        <v>377</v>
      </c>
      <c r="L171" s="125" t="s">
        <v>810</v>
      </c>
      <c r="M171" s="126">
        <v>40188</v>
      </c>
      <c r="N171" s="121" t="str">
        <f t="shared" si="2"/>
        <v>,,,Diploma in Security Management,,KCSE,KCPE,</v>
      </c>
      <c r="O171" s="125"/>
      <c r="P171" s="125"/>
      <c r="Q171" s="125"/>
      <c r="R171" s="127" t="s">
        <v>1125</v>
      </c>
      <c r="S171" s="127"/>
      <c r="T171" s="125" t="s">
        <v>367</v>
      </c>
      <c r="U171" s="125" t="s">
        <v>806</v>
      </c>
      <c r="V171" s="125"/>
    </row>
    <row r="172" spans="1:22" x14ac:dyDescent="0.3">
      <c r="A172" s="125">
        <v>158</v>
      </c>
      <c r="B172" s="125">
        <v>19930980954</v>
      </c>
      <c r="C172" s="125" t="s">
        <v>175</v>
      </c>
      <c r="D172" s="125">
        <v>10550840</v>
      </c>
      <c r="E172" s="125" t="s">
        <v>374</v>
      </c>
      <c r="F172" s="126">
        <v>25943</v>
      </c>
      <c r="G172" s="125">
        <v>54</v>
      </c>
      <c r="H172" s="125" t="s">
        <v>1126</v>
      </c>
      <c r="I172" s="125">
        <v>60</v>
      </c>
      <c r="J172" s="125" t="s">
        <v>341</v>
      </c>
      <c r="K172" s="125" t="s">
        <v>379</v>
      </c>
      <c r="L172" s="125" t="s">
        <v>810</v>
      </c>
      <c r="M172" s="126">
        <v>33979</v>
      </c>
      <c r="N172" s="121" t="str">
        <f t="shared" si="2"/>
        <v>,,,,,KCSE,KCPE,</v>
      </c>
      <c r="O172" s="125"/>
      <c r="P172" s="125"/>
      <c r="Q172" s="125"/>
      <c r="R172" s="125"/>
      <c r="S172" s="125"/>
      <c r="T172" s="125" t="s">
        <v>367</v>
      </c>
      <c r="U172" s="125" t="s">
        <v>806</v>
      </c>
      <c r="V172" s="125"/>
    </row>
    <row r="173" spans="1:22" x14ac:dyDescent="0.3">
      <c r="A173" s="125">
        <v>159</v>
      </c>
      <c r="B173" s="125">
        <v>20089223813</v>
      </c>
      <c r="C173" s="125" t="s">
        <v>176</v>
      </c>
      <c r="D173" s="125">
        <v>8735475</v>
      </c>
      <c r="E173" s="125" t="s">
        <v>374</v>
      </c>
      <c r="F173" s="126">
        <v>25420</v>
      </c>
      <c r="G173" s="125">
        <v>57</v>
      </c>
      <c r="H173" s="125" t="s">
        <v>1127</v>
      </c>
      <c r="I173" s="125">
        <v>60</v>
      </c>
      <c r="J173" s="125" t="s">
        <v>341</v>
      </c>
      <c r="K173" s="125" t="s">
        <v>379</v>
      </c>
      <c r="L173" s="125" t="s">
        <v>810</v>
      </c>
      <c r="M173" s="126">
        <v>39455</v>
      </c>
      <c r="N173" s="121" t="str">
        <f t="shared" si="2"/>
        <v>,,,,Certificate in National Youtj Service,KCSE,KCPE,</v>
      </c>
      <c r="O173" s="125"/>
      <c r="P173" s="125"/>
      <c r="Q173" s="125"/>
      <c r="R173" s="125"/>
      <c r="S173" s="125" t="s">
        <v>1128</v>
      </c>
      <c r="T173" s="125" t="s">
        <v>367</v>
      </c>
      <c r="U173" s="125" t="s">
        <v>806</v>
      </c>
      <c r="V173" s="125"/>
    </row>
    <row r="174" spans="1:22" x14ac:dyDescent="0.3">
      <c r="A174" s="125">
        <v>160</v>
      </c>
      <c r="B174" s="125">
        <v>20114215668</v>
      </c>
      <c r="C174" s="125" t="s">
        <v>177</v>
      </c>
      <c r="D174" s="125">
        <v>22353089</v>
      </c>
      <c r="E174" s="125" t="s">
        <v>374</v>
      </c>
      <c r="F174" s="125" t="s">
        <v>279</v>
      </c>
      <c r="G174" s="125">
        <v>46</v>
      </c>
      <c r="H174" s="125" t="s">
        <v>1129</v>
      </c>
      <c r="I174" s="125">
        <v>60</v>
      </c>
      <c r="J174" s="125" t="s">
        <v>358</v>
      </c>
      <c r="K174" s="125" t="s">
        <v>381</v>
      </c>
      <c r="L174" s="125" t="s">
        <v>810</v>
      </c>
      <c r="M174" s="126">
        <v>40545</v>
      </c>
      <c r="N174" s="121" t="str">
        <f t="shared" si="2"/>
        <v>,,,,,None,None,</v>
      </c>
      <c r="O174" s="125"/>
      <c r="P174" s="125"/>
      <c r="Q174" s="125"/>
      <c r="R174" s="125"/>
      <c r="S174" s="125"/>
      <c r="T174" s="125" t="s">
        <v>957</v>
      </c>
      <c r="U174" s="125" t="s">
        <v>957</v>
      </c>
      <c r="V174" s="125"/>
    </row>
    <row r="175" spans="1:22" x14ac:dyDescent="0.3">
      <c r="A175" s="125">
        <v>161</v>
      </c>
      <c r="B175" s="125">
        <v>20121211073</v>
      </c>
      <c r="C175" s="125" t="s">
        <v>178</v>
      </c>
      <c r="D175" s="125">
        <v>26038175</v>
      </c>
      <c r="E175" s="125" t="s">
        <v>374</v>
      </c>
      <c r="F175" s="126">
        <v>31329</v>
      </c>
      <c r="G175" s="125">
        <v>40</v>
      </c>
      <c r="H175" s="126">
        <v>45694</v>
      </c>
      <c r="I175" s="125">
        <v>60</v>
      </c>
      <c r="J175" s="125" t="s">
        <v>358</v>
      </c>
      <c r="K175" s="125" t="s">
        <v>381</v>
      </c>
      <c r="L175" s="125" t="s">
        <v>810</v>
      </c>
      <c r="M175" s="126">
        <v>40915</v>
      </c>
      <c r="N175" s="121" t="str">
        <f t="shared" si="2"/>
        <v>,,,,,None,None,</v>
      </c>
      <c r="O175" s="125"/>
      <c r="P175" s="125"/>
      <c r="Q175" s="125"/>
      <c r="R175" s="125"/>
      <c r="S175" s="125"/>
      <c r="T175" s="125" t="s">
        <v>957</v>
      </c>
      <c r="U175" s="125" t="s">
        <v>957</v>
      </c>
      <c r="V175" s="125"/>
    </row>
    <row r="176" spans="1:22" ht="15.6" x14ac:dyDescent="0.3">
      <c r="A176" s="118"/>
      <c r="B176" s="118"/>
      <c r="C176" s="118"/>
      <c r="D176" s="133" t="s">
        <v>1130</v>
      </c>
      <c r="E176" s="118"/>
      <c r="F176" s="118"/>
      <c r="G176" s="118"/>
      <c r="H176" s="118"/>
      <c r="I176" s="118"/>
      <c r="J176" s="118"/>
      <c r="K176" s="118"/>
      <c r="L176" s="118"/>
      <c r="M176" s="118"/>
      <c r="N176" s="121" t="str">
        <f t="shared" si="2"/>
        <v>,,,,,,,</v>
      </c>
      <c r="O176" s="118"/>
      <c r="P176" s="118"/>
      <c r="Q176" s="118"/>
      <c r="R176" s="118"/>
      <c r="S176" s="118"/>
      <c r="T176" s="118"/>
      <c r="U176" s="118"/>
      <c r="V176" s="118"/>
    </row>
    <row r="177" spans="1:22" x14ac:dyDescent="0.3">
      <c r="A177" s="125">
        <v>162</v>
      </c>
      <c r="B177" s="125">
        <v>20060933912</v>
      </c>
      <c r="C177" s="125" t="s">
        <v>179</v>
      </c>
      <c r="D177" s="125">
        <v>23888972</v>
      </c>
      <c r="E177" s="125" t="s">
        <v>381</v>
      </c>
      <c r="F177" s="125" t="s">
        <v>280</v>
      </c>
      <c r="G177" s="125">
        <v>45</v>
      </c>
      <c r="H177" s="125" t="s">
        <v>1131</v>
      </c>
      <c r="I177" s="125">
        <v>60</v>
      </c>
      <c r="J177" s="125" t="s">
        <v>359</v>
      </c>
      <c r="K177" s="125" t="s">
        <v>374</v>
      </c>
      <c r="L177" s="125" t="s">
        <v>810</v>
      </c>
      <c r="M177" s="126">
        <v>38724</v>
      </c>
      <c r="N177" s="121" t="str">
        <f t="shared" si="2"/>
        <v>,,Bachelorof Business Management ( Supplies and Procurement option),,,KCSE,KCPE,KISM</v>
      </c>
      <c r="O177" s="125"/>
      <c r="P177" s="125"/>
      <c r="Q177" s="127" t="s">
        <v>1132</v>
      </c>
      <c r="R177" s="125"/>
      <c r="S177" s="125"/>
      <c r="T177" s="125" t="s">
        <v>367</v>
      </c>
      <c r="U177" s="125" t="s">
        <v>806</v>
      </c>
      <c r="V177" s="125" t="s">
        <v>459</v>
      </c>
    </row>
    <row r="178" spans="1:22" x14ac:dyDescent="0.3">
      <c r="A178" s="125">
        <v>163</v>
      </c>
      <c r="B178" s="125">
        <v>19950950660</v>
      </c>
      <c r="C178" s="125" t="s">
        <v>180</v>
      </c>
      <c r="D178" s="125">
        <v>13494645</v>
      </c>
      <c r="E178" s="125" t="s">
        <v>374</v>
      </c>
      <c r="F178" s="126">
        <v>27395</v>
      </c>
      <c r="G178" s="125">
        <v>51</v>
      </c>
      <c r="H178" s="125" t="s">
        <v>1133</v>
      </c>
      <c r="I178" s="125">
        <v>60</v>
      </c>
      <c r="J178" s="125" t="s">
        <v>360</v>
      </c>
      <c r="K178" s="125" t="s">
        <v>372</v>
      </c>
      <c r="L178" s="125" t="s">
        <v>810</v>
      </c>
      <c r="M178" s="125" t="s">
        <v>1134</v>
      </c>
      <c r="N178" s="121" t="str">
        <f t="shared" si="2"/>
        <v>,,Bachelor of Science in procurement &amp; Contract Management,Diploma in Sales Management and Marketing,,KCSE,KCPE,</v>
      </c>
      <c r="O178" s="125"/>
      <c r="P178" s="120"/>
      <c r="Q178" s="127" t="s">
        <v>1135</v>
      </c>
      <c r="R178" s="127" t="s">
        <v>1136</v>
      </c>
      <c r="S178" s="125"/>
      <c r="T178" s="125" t="s">
        <v>367</v>
      </c>
      <c r="U178" s="125" t="s">
        <v>806</v>
      </c>
      <c r="V178" s="125"/>
    </row>
    <row r="179" spans="1:22" x14ac:dyDescent="0.3">
      <c r="A179" s="125">
        <v>164</v>
      </c>
      <c r="B179" s="125">
        <v>19990495595</v>
      </c>
      <c r="C179" s="125" t="s">
        <v>181</v>
      </c>
      <c r="D179" s="125">
        <v>10809560</v>
      </c>
      <c r="E179" s="125" t="s">
        <v>374</v>
      </c>
      <c r="F179" s="126">
        <v>25360</v>
      </c>
      <c r="G179" s="125">
        <v>57</v>
      </c>
      <c r="H179" s="125" t="s">
        <v>1137</v>
      </c>
      <c r="I179" s="125">
        <v>60</v>
      </c>
      <c r="J179" s="125" t="s">
        <v>359</v>
      </c>
      <c r="K179" s="125" t="s">
        <v>374</v>
      </c>
      <c r="L179" s="125" t="s">
        <v>810</v>
      </c>
      <c r="M179" s="126">
        <v>36172</v>
      </c>
      <c r="N179" s="121" t="str">
        <f t="shared" si="2"/>
        <v>,Master of Business Administration (Human Resource Management),Higher Diploma in Human Resources management,Diploma in Leadership Studies,Advanced Diploma in Business Tech Education Programme Advanced Diploma in Business Administration,KCSE,KCPE,Certified Human Resource Professional Kenya, HRM Professionals Examination Board</v>
      </c>
      <c r="O179" s="125"/>
      <c r="P179" s="125" t="s">
        <v>1138</v>
      </c>
      <c r="Q179" s="125" t="s">
        <v>1139</v>
      </c>
      <c r="R179" s="127" t="s">
        <v>1140</v>
      </c>
      <c r="S179" s="127" t="s">
        <v>1141</v>
      </c>
      <c r="T179" s="125" t="s">
        <v>367</v>
      </c>
      <c r="U179" s="125" t="s">
        <v>806</v>
      </c>
      <c r="V179" s="125" t="s">
        <v>1142</v>
      </c>
    </row>
    <row r="180" spans="1:22" x14ac:dyDescent="0.3">
      <c r="A180" s="125">
        <v>165</v>
      </c>
      <c r="B180" s="125">
        <v>19950950767</v>
      </c>
      <c r="C180" s="125" t="s">
        <v>182</v>
      </c>
      <c r="D180" s="125">
        <v>14519207</v>
      </c>
      <c r="E180" s="125" t="s">
        <v>374</v>
      </c>
      <c r="F180" s="125" t="s">
        <v>281</v>
      </c>
      <c r="G180" s="125">
        <v>51</v>
      </c>
      <c r="H180" s="125" t="s">
        <v>1143</v>
      </c>
      <c r="I180" s="125">
        <v>60</v>
      </c>
      <c r="J180" s="125" t="s">
        <v>361</v>
      </c>
      <c r="K180" s="125" t="s">
        <v>377</v>
      </c>
      <c r="L180" s="125" t="s">
        <v>810</v>
      </c>
      <c r="M180" s="125" t="s">
        <v>1144</v>
      </c>
      <c r="N180" s="121" t="str">
        <f t="shared" si="2"/>
        <v>,,,,,KCSE,KCPE,</v>
      </c>
      <c r="O180" s="125"/>
      <c r="P180" s="125"/>
      <c r="Q180" s="125"/>
      <c r="R180" s="125"/>
      <c r="S180" s="125"/>
      <c r="T180" s="125" t="s">
        <v>367</v>
      </c>
      <c r="U180" s="125" t="s">
        <v>806</v>
      </c>
      <c r="V180" s="125"/>
    </row>
    <row r="181" spans="1:22" x14ac:dyDescent="0.3">
      <c r="A181" s="125">
        <v>166</v>
      </c>
      <c r="B181" s="125">
        <v>20060933611</v>
      </c>
      <c r="C181" s="125" t="s">
        <v>183</v>
      </c>
      <c r="D181" s="125">
        <v>23616610</v>
      </c>
      <c r="E181" s="125" t="s">
        <v>381</v>
      </c>
      <c r="F181" s="126">
        <v>31080</v>
      </c>
      <c r="G181" s="125">
        <v>41</v>
      </c>
      <c r="H181" s="125" t="s">
        <v>1145</v>
      </c>
      <c r="I181" s="125">
        <v>60</v>
      </c>
      <c r="J181" s="125" t="s">
        <v>361</v>
      </c>
      <c r="K181" s="125" t="s">
        <v>377</v>
      </c>
      <c r="L181" s="125" t="s">
        <v>810</v>
      </c>
      <c r="M181" s="126">
        <v>38729</v>
      </c>
      <c r="N181" s="121" t="str">
        <f t="shared" si="2"/>
        <v>,,Bachelor of Commerce (procurement and Supply Chain Management Option),Diploma in Management - Purchase Supplies Option,Certificate in Business Management,KCSE,KCPE,</v>
      </c>
      <c r="O181" s="125"/>
      <c r="P181" s="125"/>
      <c r="Q181" s="125" t="s">
        <v>1146</v>
      </c>
      <c r="R181" s="125" t="s">
        <v>1147</v>
      </c>
      <c r="S181" s="125" t="s">
        <v>1148</v>
      </c>
      <c r="T181" s="125" t="s">
        <v>367</v>
      </c>
      <c r="U181" s="125" t="s">
        <v>806</v>
      </c>
      <c r="V181" s="125"/>
    </row>
    <row r="182" spans="1:22" x14ac:dyDescent="0.3">
      <c r="A182" s="125">
        <v>167</v>
      </c>
      <c r="B182" s="125">
        <v>20089223994</v>
      </c>
      <c r="C182" s="125" t="s">
        <v>184</v>
      </c>
      <c r="D182" s="125">
        <v>13878750</v>
      </c>
      <c r="E182" s="125" t="s">
        <v>374</v>
      </c>
      <c r="F182" s="125" t="s">
        <v>282</v>
      </c>
      <c r="G182" s="125">
        <v>50</v>
      </c>
      <c r="H182" s="125" t="s">
        <v>1149</v>
      </c>
      <c r="I182" s="125">
        <v>60</v>
      </c>
      <c r="J182" s="125" t="s">
        <v>362</v>
      </c>
      <c r="K182" s="125" t="s">
        <v>378</v>
      </c>
      <c r="L182" s="125" t="s">
        <v>810</v>
      </c>
      <c r="M182" s="126">
        <v>39449</v>
      </c>
      <c r="N182" s="121" t="str">
        <f t="shared" si="2"/>
        <v>,,,,Certificate in Purchasing and Supplies Management,KCSE,KCPE,</v>
      </c>
      <c r="O182" s="125"/>
      <c r="P182" s="125"/>
      <c r="Q182" s="125"/>
      <c r="R182" s="125"/>
      <c r="S182" s="125" t="s">
        <v>1150</v>
      </c>
      <c r="T182" s="125" t="s">
        <v>367</v>
      </c>
      <c r="U182" s="125" t="s">
        <v>806</v>
      </c>
      <c r="V182" s="125"/>
    </row>
    <row r="183" spans="1:22" x14ac:dyDescent="0.3">
      <c r="A183" s="125">
        <v>168</v>
      </c>
      <c r="B183" s="125">
        <v>20240300913</v>
      </c>
      <c r="C183" s="125" t="s">
        <v>185</v>
      </c>
      <c r="D183" s="125">
        <v>28808330</v>
      </c>
      <c r="E183" s="125" t="s">
        <v>374</v>
      </c>
      <c r="F183" s="125" t="s">
        <v>283</v>
      </c>
      <c r="G183" s="125">
        <v>35</v>
      </c>
      <c r="H183" s="125" t="s">
        <v>1151</v>
      </c>
      <c r="I183" s="125">
        <v>60</v>
      </c>
      <c r="J183" s="125" t="s">
        <v>319</v>
      </c>
      <c r="K183" s="125" t="s">
        <v>379</v>
      </c>
      <c r="L183" s="125" t="s">
        <v>810</v>
      </c>
      <c r="M183" s="126">
        <v>45299</v>
      </c>
      <c r="N183" s="121" t="str">
        <f t="shared" si="2"/>
        <v>,,Bachelor of Science in Procurement and Contract Management,Diploma Supply Chain Management,,KCSE,KCPE,KISM</v>
      </c>
      <c r="O183" s="125"/>
      <c r="P183" s="125"/>
      <c r="Q183" s="127" t="s">
        <v>1152</v>
      </c>
      <c r="R183" s="125" t="s">
        <v>1153</v>
      </c>
      <c r="S183" s="125"/>
      <c r="T183" s="125" t="s">
        <v>367</v>
      </c>
      <c r="U183" s="125" t="s">
        <v>806</v>
      </c>
      <c r="V183" s="125" t="s">
        <v>459</v>
      </c>
    </row>
    <row r="184" spans="1:22" ht="15.6" x14ac:dyDescent="0.3">
      <c r="A184" s="118"/>
      <c r="B184" s="118"/>
      <c r="C184" s="118"/>
      <c r="D184" s="133" t="s">
        <v>1154</v>
      </c>
      <c r="E184" s="118"/>
      <c r="F184" s="118"/>
      <c r="G184" s="118"/>
      <c r="H184" s="118"/>
      <c r="I184" s="118"/>
      <c r="J184" s="118"/>
      <c r="K184" s="118"/>
      <c r="L184" s="118"/>
      <c r="M184" s="118"/>
      <c r="N184" s="121" t="str">
        <f t="shared" si="2"/>
        <v>,,,,,,,</v>
      </c>
      <c r="O184" s="118"/>
      <c r="P184" s="118"/>
      <c r="Q184" s="118"/>
      <c r="R184" s="118"/>
      <c r="S184" s="118"/>
      <c r="T184" s="118"/>
      <c r="U184" s="118"/>
      <c r="V184" s="118"/>
    </row>
    <row r="185" spans="1:22" x14ac:dyDescent="0.3">
      <c r="A185" s="120">
        <v>169</v>
      </c>
      <c r="B185" s="120">
        <v>19961316675</v>
      </c>
      <c r="C185" s="120" t="s">
        <v>186</v>
      </c>
      <c r="D185" s="120">
        <v>8821281</v>
      </c>
      <c r="E185" s="120" t="s">
        <v>374</v>
      </c>
      <c r="F185" s="120" t="s">
        <v>284</v>
      </c>
      <c r="G185" s="120">
        <v>59</v>
      </c>
      <c r="H185" s="120" t="s">
        <v>1155</v>
      </c>
      <c r="I185" s="120">
        <v>70</v>
      </c>
      <c r="J185" s="120" t="s">
        <v>363</v>
      </c>
      <c r="K185" s="120" t="s">
        <v>383</v>
      </c>
      <c r="L185" s="120" t="s">
        <v>810</v>
      </c>
      <c r="M185" s="121">
        <v>35066</v>
      </c>
      <c r="N185" s="121" t="str">
        <f t="shared" si="2"/>
        <v>Doctor of Philosophy  in Biomedical Sciences,Master of Science in Zoology,Bachelor of Science Zoology,,,KCSE,KCPE,KSG ( Strategic Leadership Development Programme)</v>
      </c>
      <c r="O185" s="123" t="s">
        <v>1072</v>
      </c>
      <c r="P185" s="123" t="s">
        <v>1156</v>
      </c>
      <c r="Q185" s="123" t="s">
        <v>1157</v>
      </c>
      <c r="R185" s="120"/>
      <c r="S185" s="120"/>
      <c r="T185" s="120" t="s">
        <v>367</v>
      </c>
      <c r="U185" s="120" t="s">
        <v>806</v>
      </c>
      <c r="V185" s="120" t="s">
        <v>1158</v>
      </c>
    </row>
    <row r="186" spans="1:22" x14ac:dyDescent="0.3">
      <c r="A186" s="120">
        <v>170</v>
      </c>
      <c r="B186" s="120">
        <v>20131165402</v>
      </c>
      <c r="C186" s="120" t="s">
        <v>187</v>
      </c>
      <c r="D186" s="120">
        <v>23482428</v>
      </c>
      <c r="E186" s="120" t="s">
        <v>381</v>
      </c>
      <c r="F186" s="121">
        <v>27555</v>
      </c>
      <c r="G186" s="120">
        <v>50</v>
      </c>
      <c r="H186" s="120" t="s">
        <v>1159</v>
      </c>
      <c r="I186" s="120">
        <v>70</v>
      </c>
      <c r="J186" s="120" t="s">
        <v>323</v>
      </c>
      <c r="K186" s="120" t="s">
        <v>373</v>
      </c>
      <c r="L186" s="120" t="s">
        <v>810</v>
      </c>
      <c r="M186" s="121">
        <v>41277</v>
      </c>
      <c r="N186" s="121" t="str">
        <f t="shared" si="2"/>
        <v>Doctor of Philosophy  in Epidemiology,Master of Science of Philosophy,Bachelor of Science,,,KCSE,KCPE,</v>
      </c>
      <c r="O186" s="123" t="s">
        <v>1160</v>
      </c>
      <c r="P186" s="123" t="s">
        <v>1161</v>
      </c>
      <c r="Q186" s="123" t="s">
        <v>813</v>
      </c>
      <c r="R186" s="120"/>
      <c r="S186" s="120"/>
      <c r="T186" s="120" t="s">
        <v>367</v>
      </c>
      <c r="U186" s="120" t="s">
        <v>806</v>
      </c>
      <c r="V186" s="120"/>
    </row>
    <row r="187" spans="1:22" x14ac:dyDescent="0.3">
      <c r="A187" s="120">
        <v>171</v>
      </c>
      <c r="B187" s="125">
        <v>20114215503</v>
      </c>
      <c r="C187" s="125" t="s">
        <v>188</v>
      </c>
      <c r="D187" s="125">
        <v>22569012</v>
      </c>
      <c r="E187" s="125" t="s">
        <v>381</v>
      </c>
      <c r="F187" s="125" t="s">
        <v>285</v>
      </c>
      <c r="G187" s="125">
        <v>43</v>
      </c>
      <c r="H187" s="125" t="s">
        <v>1162</v>
      </c>
      <c r="I187" s="120">
        <v>70</v>
      </c>
      <c r="J187" s="125" t="s">
        <v>307</v>
      </c>
      <c r="K187" s="125" t="s">
        <v>380</v>
      </c>
      <c r="L187" s="125" t="s">
        <v>810</v>
      </c>
      <c r="M187" s="126">
        <v>40550</v>
      </c>
      <c r="N187" s="121" t="str">
        <f t="shared" si="2"/>
        <v>Doctor of Philosophy  in Immunology and Infectious Diseases,Master of Science,Bachelor of Science (cum laude) major:Biology minor:Chemistry,,,KCSE,KCPE,</v>
      </c>
      <c r="O187" s="127" t="s">
        <v>1163</v>
      </c>
      <c r="P187" s="127" t="s">
        <v>1089</v>
      </c>
      <c r="Q187" s="127" t="s">
        <v>1164</v>
      </c>
      <c r="R187" s="125"/>
      <c r="S187" s="125"/>
      <c r="T187" s="125" t="s">
        <v>367</v>
      </c>
      <c r="U187" s="125" t="s">
        <v>806</v>
      </c>
      <c r="V187" s="125"/>
    </row>
    <row r="188" spans="1:22" x14ac:dyDescent="0.3">
      <c r="A188" s="120">
        <v>172</v>
      </c>
      <c r="B188" s="125">
        <v>19911126834</v>
      </c>
      <c r="C188" s="125" t="s">
        <v>189</v>
      </c>
      <c r="D188" s="125">
        <v>8796575</v>
      </c>
      <c r="E188" s="125" t="s">
        <v>374</v>
      </c>
      <c r="F188" s="125" t="s">
        <v>286</v>
      </c>
      <c r="G188" s="125">
        <v>59</v>
      </c>
      <c r="H188" s="125" t="s">
        <v>1165</v>
      </c>
      <c r="I188" s="120">
        <v>70</v>
      </c>
      <c r="J188" s="125" t="s">
        <v>351</v>
      </c>
      <c r="K188" s="125" t="s">
        <v>374</v>
      </c>
      <c r="L188" s="125" t="s">
        <v>810</v>
      </c>
      <c r="M188" s="126">
        <v>33250</v>
      </c>
      <c r="N188" s="121" t="str">
        <f t="shared" si="2"/>
        <v>,Master of Science in Immunology,Higher Diploma in Medical Laboratory Science,Diploma in Medical Laboratory Sciences,,KCSE,KCPE,</v>
      </c>
      <c r="O188" s="125"/>
      <c r="P188" s="127" t="s">
        <v>1166</v>
      </c>
      <c r="Q188" s="125" t="s">
        <v>1167</v>
      </c>
      <c r="R188" s="127" t="s">
        <v>1168</v>
      </c>
      <c r="S188" s="125"/>
      <c r="T188" s="125" t="s">
        <v>367</v>
      </c>
      <c r="U188" s="125" t="s">
        <v>806</v>
      </c>
      <c r="V188" s="125"/>
    </row>
    <row r="189" spans="1:22" x14ac:dyDescent="0.3">
      <c r="A189" s="120">
        <v>173</v>
      </c>
      <c r="B189" s="125">
        <v>19920654331</v>
      </c>
      <c r="C189" s="125" t="s">
        <v>190</v>
      </c>
      <c r="D189" s="125">
        <v>10176803</v>
      </c>
      <c r="E189" s="125" t="s">
        <v>381</v>
      </c>
      <c r="F189" s="125" t="s">
        <v>287</v>
      </c>
      <c r="G189" s="125">
        <v>56</v>
      </c>
      <c r="H189" s="125" t="s">
        <v>1169</v>
      </c>
      <c r="I189" s="120">
        <v>70</v>
      </c>
      <c r="J189" s="125" t="s">
        <v>351</v>
      </c>
      <c r="K189" s="125" t="s">
        <v>374</v>
      </c>
      <c r="L189" s="125" t="s">
        <v>810</v>
      </c>
      <c r="M189" s="126">
        <v>33612</v>
      </c>
      <c r="N189" s="121" t="str">
        <f t="shared" si="2"/>
        <v>,Master of Science in Medical Laboratory Sciences(Hematology and Blood Transfusion),Bachelor of Science (Medical laboratory Science),,,KCSE,KCPE,KMLTTB ( Medical laboratory Technologist)</v>
      </c>
      <c r="O189" s="125"/>
      <c r="P189" s="125" t="s">
        <v>1170</v>
      </c>
      <c r="Q189" s="125" t="s">
        <v>1171</v>
      </c>
      <c r="R189" s="125"/>
      <c r="S189" s="125"/>
      <c r="T189" s="125" t="s">
        <v>367</v>
      </c>
      <c r="U189" s="125" t="s">
        <v>806</v>
      </c>
      <c r="V189" s="125" t="s">
        <v>1172</v>
      </c>
    </row>
    <row r="190" spans="1:22" x14ac:dyDescent="0.3">
      <c r="A190" s="120">
        <v>174</v>
      </c>
      <c r="B190" s="125">
        <v>20060933776</v>
      </c>
      <c r="C190" s="125" t="s">
        <v>191</v>
      </c>
      <c r="D190" s="125">
        <v>13643884</v>
      </c>
      <c r="E190" s="125" t="s">
        <v>381</v>
      </c>
      <c r="F190" s="125" t="s">
        <v>288</v>
      </c>
      <c r="G190" s="125">
        <v>50</v>
      </c>
      <c r="H190" s="125" t="s">
        <v>1173</v>
      </c>
      <c r="I190" s="120">
        <v>70</v>
      </c>
      <c r="J190" s="125" t="s">
        <v>351</v>
      </c>
      <c r="K190" s="125" t="s">
        <v>374</v>
      </c>
      <c r="L190" s="125" t="s">
        <v>810</v>
      </c>
      <c r="M190" s="126">
        <v>38726</v>
      </c>
      <c r="N190" s="121" t="str">
        <f t="shared" si="2"/>
        <v>Doctor of Immunology and infectious diseases,Master of Science,Bachelor of Science (cum laude) major:Biology minor:Chemistry,,,KCSE,KCPE,</v>
      </c>
      <c r="O190" s="125" t="s">
        <v>1174</v>
      </c>
      <c r="P190" s="125" t="s">
        <v>1089</v>
      </c>
      <c r="Q190" s="125" t="s">
        <v>1164</v>
      </c>
      <c r="R190" s="125"/>
      <c r="S190" s="125"/>
      <c r="T190" s="125" t="s">
        <v>367</v>
      </c>
      <c r="U190" s="125" t="s">
        <v>806</v>
      </c>
      <c r="V190" s="125"/>
    </row>
    <row r="191" spans="1:22" x14ac:dyDescent="0.3">
      <c r="A191" s="120">
        <v>175</v>
      </c>
      <c r="B191" s="135">
        <v>20160708732</v>
      </c>
      <c r="C191" s="135" t="s">
        <v>192</v>
      </c>
      <c r="D191" s="135">
        <v>25341165</v>
      </c>
      <c r="E191" s="135" t="s">
        <v>381</v>
      </c>
      <c r="F191" s="136">
        <v>31999</v>
      </c>
      <c r="G191" s="135">
        <v>38</v>
      </c>
      <c r="H191" s="135" t="s">
        <v>958</v>
      </c>
      <c r="I191" s="135">
        <v>60</v>
      </c>
      <c r="J191" s="135" t="s">
        <v>352</v>
      </c>
      <c r="K191" s="135" t="s">
        <v>374</v>
      </c>
      <c r="L191" s="135" t="s">
        <v>1175</v>
      </c>
      <c r="M191" s="136">
        <v>42379</v>
      </c>
      <c r="N191" s="121" t="str">
        <f t="shared" si="2"/>
        <v>,,,,,KCSE,KCPE,</v>
      </c>
      <c r="O191" s="135"/>
      <c r="P191" s="135"/>
      <c r="Q191" s="135"/>
      <c r="R191" s="135"/>
      <c r="S191" s="135"/>
      <c r="T191" s="135" t="s">
        <v>367</v>
      </c>
      <c r="U191" s="135" t="s">
        <v>806</v>
      </c>
      <c r="V191" s="135"/>
    </row>
    <row r="192" spans="1:22" x14ac:dyDescent="0.3">
      <c r="A192" s="120">
        <v>176</v>
      </c>
      <c r="B192" s="125">
        <v>20190641326</v>
      </c>
      <c r="C192" s="125" t="s">
        <v>193</v>
      </c>
      <c r="D192" s="125">
        <v>27576131</v>
      </c>
      <c r="E192" s="125" t="s">
        <v>374</v>
      </c>
      <c r="F192" s="125" t="s">
        <v>289</v>
      </c>
      <c r="G192" s="125">
        <v>36</v>
      </c>
      <c r="H192" s="125" t="s">
        <v>1176</v>
      </c>
      <c r="I192" s="125">
        <v>70</v>
      </c>
      <c r="J192" s="125" t="s">
        <v>351</v>
      </c>
      <c r="K192" s="125" t="s">
        <v>374</v>
      </c>
      <c r="L192" s="125" t="s">
        <v>810</v>
      </c>
      <c r="M192" s="126">
        <v>43625</v>
      </c>
      <c r="N192" s="121" t="str">
        <f t="shared" si="2"/>
        <v>,Master of Science in Biochemistry and Molecular Biology,Bachelor of Science (In Biochemistry),,,KCSE ,KCPE,</v>
      </c>
      <c r="O192" s="125"/>
      <c r="P192" s="125" t="s">
        <v>1177</v>
      </c>
      <c r="Q192" s="125" t="s">
        <v>1178</v>
      </c>
      <c r="R192" s="125"/>
      <c r="S192" s="125"/>
      <c r="T192" s="125" t="s">
        <v>1036</v>
      </c>
      <c r="U192" s="125" t="s">
        <v>806</v>
      </c>
      <c r="V192" s="125"/>
    </row>
    <row r="193" spans="1:22" x14ac:dyDescent="0.3">
      <c r="A193" s="120">
        <v>177</v>
      </c>
      <c r="B193" s="125">
        <v>20190119423</v>
      </c>
      <c r="C193" s="125" t="s">
        <v>194</v>
      </c>
      <c r="D193" s="125">
        <v>27175116</v>
      </c>
      <c r="E193" s="125" t="s">
        <v>374</v>
      </c>
      <c r="F193" s="125" t="s">
        <v>290</v>
      </c>
      <c r="G193" s="125">
        <v>37</v>
      </c>
      <c r="H193" s="125" t="s">
        <v>1179</v>
      </c>
      <c r="I193" s="125">
        <v>60</v>
      </c>
      <c r="J193" s="125" t="s">
        <v>311</v>
      </c>
      <c r="K193" s="125" t="s">
        <v>375</v>
      </c>
      <c r="L193" s="125" t="s">
        <v>810</v>
      </c>
      <c r="M193" s="125" t="s">
        <v>1005</v>
      </c>
      <c r="N193" s="121" t="str">
        <f t="shared" si="2"/>
        <v>,,Bachelor of Science (Molecular and Cellular Biology),,,KCSE ,KCPE,</v>
      </c>
      <c r="O193" s="125"/>
      <c r="P193" s="125"/>
      <c r="Q193" s="125" t="s">
        <v>1180</v>
      </c>
      <c r="R193" s="125"/>
      <c r="S193" s="125"/>
      <c r="T193" s="125" t="s">
        <v>1036</v>
      </c>
      <c r="U193" s="125" t="s">
        <v>806</v>
      </c>
      <c r="V193" s="125"/>
    </row>
    <row r="194" spans="1:22" x14ac:dyDescent="0.3">
      <c r="A194" s="120">
        <v>178</v>
      </c>
      <c r="B194" s="125">
        <v>20210646088</v>
      </c>
      <c r="C194" s="125" t="s">
        <v>195</v>
      </c>
      <c r="D194" s="125">
        <v>27841844</v>
      </c>
      <c r="E194" s="125" t="s">
        <v>381</v>
      </c>
      <c r="F194" s="126">
        <v>33032</v>
      </c>
      <c r="G194" s="125">
        <v>35</v>
      </c>
      <c r="H194" s="125" t="s">
        <v>1181</v>
      </c>
      <c r="I194" s="125">
        <v>60</v>
      </c>
      <c r="J194" s="125" t="s">
        <v>311</v>
      </c>
      <c r="K194" s="125" t="s">
        <v>375</v>
      </c>
      <c r="L194" s="125" t="s">
        <v>810</v>
      </c>
      <c r="M194" s="126">
        <v>44415</v>
      </c>
      <c r="N194" s="121" t="str">
        <f t="shared" si="2"/>
        <v>,Master of Science in Medical Virology,Bachelor of Science in Medical Laboratory Science,,,KCSE,KCPE,KMLTTB ( Medical laboratory Technologist)</v>
      </c>
      <c r="O194" s="125"/>
      <c r="P194" s="125" t="s">
        <v>1182</v>
      </c>
      <c r="Q194" s="125" t="s">
        <v>1183</v>
      </c>
      <c r="R194" s="125"/>
      <c r="S194" s="125"/>
      <c r="T194" s="125" t="s">
        <v>367</v>
      </c>
      <c r="U194" s="125" t="s">
        <v>806</v>
      </c>
      <c r="V194" s="125" t="s">
        <v>1172</v>
      </c>
    </row>
    <row r="195" spans="1:22" ht="15.75" customHeight="1" x14ac:dyDescent="0.3">
      <c r="A195" s="120">
        <v>179</v>
      </c>
      <c r="B195" s="125">
        <v>20250067355</v>
      </c>
      <c r="C195" s="130" t="s">
        <v>196</v>
      </c>
      <c r="D195" s="130">
        <v>33587562</v>
      </c>
      <c r="E195" s="125" t="s">
        <v>381</v>
      </c>
      <c r="F195" s="125" t="s">
        <v>291</v>
      </c>
      <c r="G195" s="125">
        <v>29</v>
      </c>
      <c r="H195" s="126">
        <v>46756</v>
      </c>
      <c r="I195" s="125">
        <v>60</v>
      </c>
      <c r="J195" s="130" t="s">
        <v>364</v>
      </c>
      <c r="K195" s="125" t="s">
        <v>375</v>
      </c>
      <c r="L195" s="125" t="s">
        <v>810</v>
      </c>
      <c r="M195" s="126">
        <v>45693</v>
      </c>
      <c r="N195" s="121" t="str">
        <f t="shared" si="2"/>
        <v>,,Bachelor of Science (Biology),,,KCSE,KCPE,</v>
      </c>
      <c r="O195" s="125"/>
      <c r="P195" s="125"/>
      <c r="Q195" s="125" t="s">
        <v>1184</v>
      </c>
      <c r="R195" s="125"/>
      <c r="S195" s="125"/>
      <c r="T195" s="125" t="s">
        <v>367</v>
      </c>
      <c r="U195" s="125" t="s">
        <v>806</v>
      </c>
      <c r="V195" s="125"/>
    </row>
    <row r="196" spans="1:22" x14ac:dyDescent="0.3">
      <c r="A196" s="120">
        <v>180</v>
      </c>
      <c r="B196" s="125">
        <v>20106534503</v>
      </c>
      <c r="C196" s="125" t="s">
        <v>197</v>
      </c>
      <c r="D196" s="125">
        <v>22324592</v>
      </c>
      <c r="E196" s="125" t="s">
        <v>374</v>
      </c>
      <c r="F196" s="125" t="s">
        <v>292</v>
      </c>
      <c r="G196" s="125">
        <v>46</v>
      </c>
      <c r="H196" s="125" t="s">
        <v>1185</v>
      </c>
      <c r="I196" s="125">
        <v>60</v>
      </c>
      <c r="J196" s="125" t="s">
        <v>313</v>
      </c>
      <c r="K196" s="125" t="s">
        <v>377</v>
      </c>
      <c r="L196" s="125" t="s">
        <v>810</v>
      </c>
      <c r="M196" s="126">
        <v>40185</v>
      </c>
      <c r="N196" s="121" t="str">
        <f t="shared" ref="N196:N200" si="3">CONCATENATE(O196,",",P196,",",Q196,",",R196,",",S196,",",T196,",",U196,",",V196)</f>
        <v>,,,Diploma in Industrial Microbiology,Certificate in Science Laboratory Technician,KCSE,KCPE,</v>
      </c>
      <c r="O196" s="125"/>
      <c r="P196" s="125"/>
      <c r="Q196" s="125"/>
      <c r="R196" s="125" t="s">
        <v>1112</v>
      </c>
      <c r="S196" s="125" t="s">
        <v>1186</v>
      </c>
      <c r="T196" s="125" t="s">
        <v>367</v>
      </c>
      <c r="U196" s="125" t="s">
        <v>806</v>
      </c>
      <c r="V196" s="125"/>
    </row>
    <row r="197" spans="1:22" x14ac:dyDescent="0.3">
      <c r="A197" s="120">
        <v>181</v>
      </c>
      <c r="B197" s="125">
        <v>20220598203</v>
      </c>
      <c r="C197" s="125" t="s">
        <v>198</v>
      </c>
      <c r="D197" s="125">
        <v>33612960</v>
      </c>
      <c r="E197" s="125" t="s">
        <v>381</v>
      </c>
      <c r="F197" s="125" t="s">
        <v>293</v>
      </c>
      <c r="G197" s="125">
        <v>28</v>
      </c>
      <c r="H197" s="125" t="s">
        <v>901</v>
      </c>
      <c r="I197" s="125">
        <v>60</v>
      </c>
      <c r="J197" s="125" t="s">
        <v>319</v>
      </c>
      <c r="K197" s="125" t="s">
        <v>379</v>
      </c>
      <c r="L197" s="125" t="s">
        <v>810</v>
      </c>
      <c r="M197" s="125" t="s">
        <v>1187</v>
      </c>
      <c r="N197" s="121" t="str">
        <f t="shared" si="3"/>
        <v>,,Bachelor of Science in Microbiology,,,KCSE,KCPE,</v>
      </c>
      <c r="O197" s="125"/>
      <c r="P197" s="125"/>
      <c r="Q197" s="125" t="s">
        <v>947</v>
      </c>
      <c r="R197" s="125"/>
      <c r="S197" s="125"/>
      <c r="T197" s="125" t="s">
        <v>367</v>
      </c>
      <c r="U197" s="125" t="s">
        <v>806</v>
      </c>
      <c r="V197" s="125"/>
    </row>
    <row r="198" spans="1:22" x14ac:dyDescent="0.3">
      <c r="A198" s="120">
        <v>182</v>
      </c>
      <c r="B198" s="125">
        <v>20240300921</v>
      </c>
      <c r="C198" s="125" t="s">
        <v>199</v>
      </c>
      <c r="D198" s="125">
        <v>29883776</v>
      </c>
      <c r="E198" s="125" t="s">
        <v>374</v>
      </c>
      <c r="F198" s="125" t="s">
        <v>294</v>
      </c>
      <c r="G198" s="125">
        <v>34</v>
      </c>
      <c r="H198" s="125" t="s">
        <v>972</v>
      </c>
      <c r="I198" s="125">
        <v>60</v>
      </c>
      <c r="J198" s="125" t="s">
        <v>319</v>
      </c>
      <c r="K198" s="125" t="s">
        <v>379</v>
      </c>
      <c r="L198" s="125" t="s">
        <v>810</v>
      </c>
      <c r="M198" s="126">
        <v>45302</v>
      </c>
      <c r="N198" s="121" t="str">
        <f t="shared" si="3"/>
        <v>,,Bachelor of Science (Hoticulture with IT),,,KCSE,KCPE,</v>
      </c>
      <c r="O198" s="125"/>
      <c r="P198" s="125"/>
      <c r="Q198" s="125" t="s">
        <v>1188</v>
      </c>
      <c r="R198" s="125"/>
      <c r="S198" s="125"/>
      <c r="T198" s="125" t="s">
        <v>367</v>
      </c>
      <c r="U198" s="125" t="s">
        <v>806</v>
      </c>
      <c r="V198" s="125"/>
    </row>
    <row r="199" spans="1:22" x14ac:dyDescent="0.3">
      <c r="A199" s="120">
        <v>183</v>
      </c>
      <c r="B199" s="128">
        <v>20250067321</v>
      </c>
      <c r="C199" s="125" t="s">
        <v>200</v>
      </c>
      <c r="D199" s="127">
        <v>37328025</v>
      </c>
      <c r="E199" s="125" t="s">
        <v>381</v>
      </c>
      <c r="F199" s="126">
        <v>36560</v>
      </c>
      <c r="G199" s="127">
        <v>26</v>
      </c>
      <c r="H199" s="128" t="s">
        <v>974</v>
      </c>
      <c r="I199" s="125">
        <v>60</v>
      </c>
      <c r="J199" s="125" t="s">
        <v>319</v>
      </c>
      <c r="K199" s="125" t="s">
        <v>379</v>
      </c>
      <c r="L199" s="125" t="s">
        <v>810</v>
      </c>
      <c r="M199" s="145">
        <v>45693</v>
      </c>
      <c r="N199" s="121" t="str">
        <f t="shared" si="3"/>
        <v>,,Bachelor of Science in applied Bioengineering,,,KCSE,KCPE,</v>
      </c>
      <c r="O199" s="125"/>
      <c r="P199" s="125"/>
      <c r="Q199" s="125" t="s">
        <v>1189</v>
      </c>
      <c r="R199" s="125"/>
      <c r="S199" s="125"/>
      <c r="T199" s="125" t="s">
        <v>367</v>
      </c>
      <c r="U199" s="125" t="s">
        <v>806</v>
      </c>
      <c r="V199" s="125"/>
    </row>
    <row r="200" spans="1:22" x14ac:dyDescent="0.3">
      <c r="A200" s="120">
        <v>184</v>
      </c>
      <c r="B200" s="128">
        <v>20250067313</v>
      </c>
      <c r="C200" s="125" t="s">
        <v>201</v>
      </c>
      <c r="D200" s="127">
        <v>37016360</v>
      </c>
      <c r="E200" s="125" t="s">
        <v>374</v>
      </c>
      <c r="F200" s="125" t="s">
        <v>295</v>
      </c>
      <c r="G200" s="127">
        <v>28</v>
      </c>
      <c r="H200" s="128" t="s">
        <v>974</v>
      </c>
      <c r="I200" s="125">
        <v>60</v>
      </c>
      <c r="J200" s="125" t="s">
        <v>319</v>
      </c>
      <c r="K200" s="125" t="s">
        <v>379</v>
      </c>
      <c r="L200" s="125" t="s">
        <v>810</v>
      </c>
      <c r="M200" s="145">
        <v>45693</v>
      </c>
      <c r="N200" s="121" t="str">
        <f t="shared" si="3"/>
        <v>,,Bachelor of Science (Biology),,,,,</v>
      </c>
      <c r="O200" s="125"/>
      <c r="P200" s="125"/>
      <c r="Q200" s="125" t="s">
        <v>1184</v>
      </c>
      <c r="R200" s="125"/>
      <c r="S200" s="125"/>
      <c r="T200" s="125"/>
      <c r="U200" s="125"/>
      <c r="V200" s="125"/>
    </row>
  </sheetData>
  <mergeCells count="1">
    <mergeCell ref="O1:V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82"/>
  <sheetViews>
    <sheetView workbookViewId="0">
      <selection activeCell="A92" sqref="A92:B92"/>
    </sheetView>
  </sheetViews>
  <sheetFormatPr defaultRowHeight="14.4" x14ac:dyDescent="0.3"/>
  <cols>
    <col min="1" max="1" width="12" style="148" bestFit="1" customWidth="1"/>
    <col min="2" max="2" width="10.5546875" style="147" bestFit="1" customWidth="1"/>
    <col min="3" max="16384" width="8.88671875" style="70"/>
  </cols>
  <sheetData>
    <row r="1" spans="1:2" x14ac:dyDescent="0.3">
      <c r="A1" s="146">
        <v>2012024370</v>
      </c>
      <c r="B1" s="147" t="s">
        <v>1190</v>
      </c>
    </row>
    <row r="2" spans="1:2" x14ac:dyDescent="0.3">
      <c r="A2" s="146">
        <v>2013091337</v>
      </c>
      <c r="B2" s="147" t="s">
        <v>1191</v>
      </c>
    </row>
    <row r="3" spans="1:2" x14ac:dyDescent="0.3">
      <c r="A3" s="146">
        <v>19901899011</v>
      </c>
      <c r="B3" s="147" t="s">
        <v>1192</v>
      </c>
    </row>
    <row r="4" spans="1:2" x14ac:dyDescent="0.3">
      <c r="A4" s="146">
        <v>19901899045</v>
      </c>
      <c r="B4" s="147" t="s">
        <v>1193</v>
      </c>
    </row>
    <row r="5" spans="1:2" x14ac:dyDescent="0.3">
      <c r="A5" s="146">
        <v>19911126834</v>
      </c>
      <c r="B5" s="147" t="s">
        <v>1194</v>
      </c>
    </row>
    <row r="6" spans="1:2" x14ac:dyDescent="0.3">
      <c r="A6" s="146">
        <v>19911126965</v>
      </c>
      <c r="B6" s="147" t="s">
        <v>1195</v>
      </c>
    </row>
    <row r="7" spans="1:2" x14ac:dyDescent="0.3">
      <c r="A7" s="146">
        <v>19920654331</v>
      </c>
      <c r="B7" s="147" t="s">
        <v>1196</v>
      </c>
    </row>
    <row r="8" spans="1:2" x14ac:dyDescent="0.3">
      <c r="A8" s="146">
        <v>19920654349</v>
      </c>
      <c r="B8" s="147" t="s">
        <v>1197</v>
      </c>
    </row>
    <row r="9" spans="1:2" x14ac:dyDescent="0.3">
      <c r="A9" s="146">
        <v>19920654357</v>
      </c>
      <c r="B9" s="147" t="s">
        <v>1198</v>
      </c>
    </row>
    <row r="10" spans="1:2" x14ac:dyDescent="0.3">
      <c r="A10" s="146">
        <v>19920654373</v>
      </c>
      <c r="B10" s="147" t="s">
        <v>1199</v>
      </c>
    </row>
    <row r="11" spans="1:2" x14ac:dyDescent="0.3">
      <c r="A11" s="146">
        <v>19930980954</v>
      </c>
      <c r="B11" s="147" t="s">
        <v>1200</v>
      </c>
    </row>
    <row r="12" spans="1:2" x14ac:dyDescent="0.3">
      <c r="A12" s="146">
        <v>19930980988</v>
      </c>
      <c r="B12" s="147" t="s">
        <v>1199</v>
      </c>
    </row>
    <row r="13" spans="1:2" x14ac:dyDescent="0.3">
      <c r="A13" s="146">
        <v>19930980996</v>
      </c>
      <c r="B13" s="147" t="s">
        <v>1195</v>
      </c>
    </row>
    <row r="14" spans="1:2" x14ac:dyDescent="0.3">
      <c r="A14" s="146">
        <v>19930981023</v>
      </c>
      <c r="B14" s="147" t="s">
        <v>1201</v>
      </c>
    </row>
    <row r="15" spans="1:2" x14ac:dyDescent="0.3">
      <c r="A15" s="146">
        <v>19950950660</v>
      </c>
      <c r="B15" s="147" t="s">
        <v>1202</v>
      </c>
    </row>
    <row r="16" spans="1:2" x14ac:dyDescent="0.3">
      <c r="A16" s="146">
        <v>19950950686</v>
      </c>
      <c r="B16" s="147" t="s">
        <v>1203</v>
      </c>
    </row>
    <row r="17" spans="1:2" x14ac:dyDescent="0.3">
      <c r="A17" s="146">
        <v>19950950767</v>
      </c>
      <c r="B17" s="147" t="s">
        <v>1204</v>
      </c>
    </row>
    <row r="18" spans="1:2" x14ac:dyDescent="0.3">
      <c r="A18" s="146">
        <v>19950950775</v>
      </c>
      <c r="B18" s="147" t="s">
        <v>1205</v>
      </c>
    </row>
    <row r="19" spans="1:2" x14ac:dyDescent="0.3">
      <c r="A19" s="146">
        <v>19961316667</v>
      </c>
      <c r="B19" s="147" t="s">
        <v>1206</v>
      </c>
    </row>
    <row r="20" spans="1:2" x14ac:dyDescent="0.3">
      <c r="A20" s="146">
        <v>19961316675</v>
      </c>
      <c r="B20" s="147" t="s">
        <v>1207</v>
      </c>
    </row>
    <row r="21" spans="1:2" x14ac:dyDescent="0.3">
      <c r="A21" s="146">
        <v>19980490640</v>
      </c>
      <c r="B21" s="147" t="s">
        <v>1195</v>
      </c>
    </row>
    <row r="22" spans="1:2" x14ac:dyDescent="0.3">
      <c r="A22" s="146">
        <v>19990495595</v>
      </c>
      <c r="B22" s="147" t="s">
        <v>1208</v>
      </c>
    </row>
    <row r="23" spans="1:2" x14ac:dyDescent="0.3">
      <c r="A23" s="146">
        <v>19990495650</v>
      </c>
      <c r="B23" s="147" t="s">
        <v>1194</v>
      </c>
    </row>
    <row r="24" spans="1:2" x14ac:dyDescent="0.3">
      <c r="A24" s="146">
        <v>19990495773</v>
      </c>
      <c r="B24" s="147" t="s">
        <v>1199</v>
      </c>
    </row>
    <row r="25" spans="1:2" x14ac:dyDescent="0.3">
      <c r="A25" s="146">
        <v>19990495812</v>
      </c>
      <c r="B25" s="147" t="s">
        <v>1209</v>
      </c>
    </row>
    <row r="26" spans="1:2" x14ac:dyDescent="0.3">
      <c r="A26" s="146">
        <v>20000078914</v>
      </c>
      <c r="B26" s="147" t="s">
        <v>1195</v>
      </c>
    </row>
    <row r="27" spans="1:2" x14ac:dyDescent="0.3">
      <c r="A27" s="146">
        <v>20010746137</v>
      </c>
      <c r="B27" s="147" t="s">
        <v>1210</v>
      </c>
    </row>
    <row r="28" spans="1:2" x14ac:dyDescent="0.3">
      <c r="A28" s="146">
        <v>20020838693</v>
      </c>
      <c r="B28" s="147" t="s">
        <v>1211</v>
      </c>
    </row>
    <row r="29" spans="1:2" x14ac:dyDescent="0.3">
      <c r="A29" s="146">
        <v>20030731445</v>
      </c>
      <c r="B29" s="147" t="s">
        <v>1194</v>
      </c>
    </row>
    <row r="30" spans="1:2" x14ac:dyDescent="0.3">
      <c r="A30" s="146">
        <v>20060933611</v>
      </c>
      <c r="B30" s="147" t="s">
        <v>1212</v>
      </c>
    </row>
    <row r="31" spans="1:2" x14ac:dyDescent="0.3">
      <c r="A31" s="146">
        <v>20060933629</v>
      </c>
      <c r="B31" s="147" t="s">
        <v>1213</v>
      </c>
    </row>
    <row r="32" spans="1:2" x14ac:dyDescent="0.3">
      <c r="A32" s="146">
        <v>20060933695</v>
      </c>
      <c r="B32" s="147" t="s">
        <v>1214</v>
      </c>
    </row>
    <row r="33" spans="1:2" x14ac:dyDescent="0.3">
      <c r="A33" s="146">
        <v>20060933768</v>
      </c>
      <c r="B33" s="147" t="s">
        <v>1197</v>
      </c>
    </row>
    <row r="34" spans="1:2" x14ac:dyDescent="0.3">
      <c r="A34" s="146">
        <v>20060933776</v>
      </c>
      <c r="B34" s="147" t="s">
        <v>1215</v>
      </c>
    </row>
    <row r="35" spans="1:2" x14ac:dyDescent="0.3">
      <c r="A35" s="146">
        <v>20060933849</v>
      </c>
      <c r="B35" s="147" t="s">
        <v>1195</v>
      </c>
    </row>
    <row r="36" spans="1:2" x14ac:dyDescent="0.3">
      <c r="A36" s="146">
        <v>20060933865</v>
      </c>
      <c r="B36" s="147" t="s">
        <v>1216</v>
      </c>
    </row>
    <row r="37" spans="1:2" x14ac:dyDescent="0.3">
      <c r="A37" s="146">
        <v>20060933912</v>
      </c>
      <c r="B37" s="147" t="s">
        <v>1199</v>
      </c>
    </row>
    <row r="38" spans="1:2" x14ac:dyDescent="0.3">
      <c r="A38" s="146">
        <v>20060933970</v>
      </c>
      <c r="B38" s="147" t="s">
        <v>1194</v>
      </c>
    </row>
    <row r="39" spans="1:2" x14ac:dyDescent="0.3">
      <c r="A39" s="146">
        <v>20060934015</v>
      </c>
      <c r="B39" s="147" t="s">
        <v>1199</v>
      </c>
    </row>
    <row r="40" spans="1:2" x14ac:dyDescent="0.3">
      <c r="A40" s="146">
        <v>20077017719</v>
      </c>
      <c r="B40" s="147" t="s">
        <v>1217</v>
      </c>
    </row>
    <row r="41" spans="1:2" x14ac:dyDescent="0.3">
      <c r="A41" s="146">
        <v>20077017769</v>
      </c>
      <c r="B41" s="147" t="s">
        <v>1218</v>
      </c>
    </row>
    <row r="42" spans="1:2" x14ac:dyDescent="0.3">
      <c r="A42" s="146">
        <v>20077017955</v>
      </c>
      <c r="B42" s="147" t="s">
        <v>1219</v>
      </c>
    </row>
    <row r="43" spans="1:2" x14ac:dyDescent="0.3">
      <c r="A43" s="146">
        <v>20077018155</v>
      </c>
      <c r="B43" s="147" t="s">
        <v>1220</v>
      </c>
    </row>
    <row r="44" spans="1:2" x14ac:dyDescent="0.3">
      <c r="A44" s="146">
        <v>20077018202</v>
      </c>
      <c r="B44" s="147" t="s">
        <v>1195</v>
      </c>
    </row>
    <row r="45" spans="1:2" x14ac:dyDescent="0.3">
      <c r="A45" s="146">
        <v>20077018228</v>
      </c>
      <c r="B45" s="147" t="s">
        <v>1202</v>
      </c>
    </row>
    <row r="46" spans="1:2" x14ac:dyDescent="0.3">
      <c r="A46" s="146">
        <v>20077018309</v>
      </c>
      <c r="B46" s="147" t="s">
        <v>1221</v>
      </c>
    </row>
    <row r="47" spans="1:2" x14ac:dyDescent="0.3">
      <c r="A47" s="146">
        <v>20077018317</v>
      </c>
      <c r="B47" s="147" t="s">
        <v>1222</v>
      </c>
    </row>
    <row r="48" spans="1:2" x14ac:dyDescent="0.3">
      <c r="A48" s="146">
        <v>20077018333</v>
      </c>
      <c r="B48" s="147" t="s">
        <v>1194</v>
      </c>
    </row>
    <row r="49" spans="1:2" x14ac:dyDescent="0.3">
      <c r="A49" s="146">
        <v>20077018391</v>
      </c>
      <c r="B49" s="147" t="s">
        <v>1223</v>
      </c>
    </row>
    <row r="50" spans="1:2" x14ac:dyDescent="0.3">
      <c r="A50" s="146">
        <v>20077018406</v>
      </c>
      <c r="B50" s="147" t="s">
        <v>1195</v>
      </c>
    </row>
    <row r="51" spans="1:2" x14ac:dyDescent="0.3">
      <c r="A51" s="146">
        <v>20089223805</v>
      </c>
      <c r="B51" s="147" t="s">
        <v>1204</v>
      </c>
    </row>
    <row r="52" spans="1:2" x14ac:dyDescent="0.3">
      <c r="A52" s="146">
        <v>20089223813</v>
      </c>
      <c r="B52" s="147" t="s">
        <v>1195</v>
      </c>
    </row>
    <row r="53" spans="1:2" x14ac:dyDescent="0.3">
      <c r="A53" s="146">
        <v>20089223821</v>
      </c>
      <c r="B53" s="147" t="s">
        <v>1195</v>
      </c>
    </row>
    <row r="54" spans="1:2" x14ac:dyDescent="0.3">
      <c r="A54" s="146">
        <v>20089223839</v>
      </c>
      <c r="B54" s="147" t="s">
        <v>1224</v>
      </c>
    </row>
    <row r="55" spans="1:2" x14ac:dyDescent="0.3">
      <c r="A55" s="146">
        <v>20089223902</v>
      </c>
      <c r="B55" s="147" t="s">
        <v>1225</v>
      </c>
    </row>
    <row r="56" spans="1:2" x14ac:dyDescent="0.3">
      <c r="A56" s="146">
        <v>20089223944</v>
      </c>
      <c r="B56" s="147" t="s">
        <v>1226</v>
      </c>
    </row>
    <row r="57" spans="1:2" x14ac:dyDescent="0.3">
      <c r="A57" s="146">
        <v>20089223978</v>
      </c>
      <c r="B57" s="147" t="s">
        <v>1227</v>
      </c>
    </row>
    <row r="58" spans="1:2" x14ac:dyDescent="0.3">
      <c r="A58" s="146">
        <v>20089223994</v>
      </c>
      <c r="B58" s="147" t="s">
        <v>1228</v>
      </c>
    </row>
    <row r="59" spans="1:2" x14ac:dyDescent="0.3">
      <c r="A59" s="146">
        <v>20089224039</v>
      </c>
      <c r="B59" s="147" t="s">
        <v>1195</v>
      </c>
    </row>
    <row r="60" spans="1:2" x14ac:dyDescent="0.3">
      <c r="A60" s="146">
        <v>20095593179</v>
      </c>
      <c r="B60" s="147" t="s">
        <v>1229</v>
      </c>
    </row>
    <row r="61" spans="1:2" x14ac:dyDescent="0.3">
      <c r="A61" s="146">
        <v>20095593234</v>
      </c>
      <c r="B61" s="147" t="s">
        <v>1222</v>
      </c>
    </row>
    <row r="62" spans="1:2" x14ac:dyDescent="0.3">
      <c r="A62" s="146">
        <v>20106534197</v>
      </c>
      <c r="B62" s="147" t="s">
        <v>1194</v>
      </c>
    </row>
    <row r="63" spans="1:2" x14ac:dyDescent="0.3">
      <c r="A63" s="146">
        <v>20106534294</v>
      </c>
      <c r="B63" s="147" t="s">
        <v>1230</v>
      </c>
    </row>
    <row r="64" spans="1:2" x14ac:dyDescent="0.3">
      <c r="A64" s="146">
        <v>20106534472</v>
      </c>
      <c r="B64" s="147" t="s">
        <v>1231</v>
      </c>
    </row>
    <row r="65" spans="1:2" x14ac:dyDescent="0.3">
      <c r="A65" s="146">
        <v>20106534503</v>
      </c>
      <c r="B65" s="147" t="s">
        <v>1204</v>
      </c>
    </row>
    <row r="66" spans="1:2" x14ac:dyDescent="0.3">
      <c r="A66" s="146">
        <v>20106534561</v>
      </c>
      <c r="B66" s="147" t="s">
        <v>1232</v>
      </c>
    </row>
    <row r="67" spans="1:2" x14ac:dyDescent="0.3">
      <c r="A67" s="146">
        <v>20114215472</v>
      </c>
      <c r="B67" s="147" t="s">
        <v>1221</v>
      </c>
    </row>
    <row r="68" spans="1:2" x14ac:dyDescent="0.3">
      <c r="A68" s="146">
        <v>20114215503</v>
      </c>
      <c r="B68" s="147" t="s">
        <v>1194</v>
      </c>
    </row>
    <row r="69" spans="1:2" x14ac:dyDescent="0.3">
      <c r="A69" s="146">
        <v>20114215529</v>
      </c>
      <c r="B69" s="147" t="s">
        <v>1194</v>
      </c>
    </row>
    <row r="70" spans="1:2" x14ac:dyDescent="0.3">
      <c r="A70" s="146">
        <v>20114215537</v>
      </c>
      <c r="B70" s="147" t="s">
        <v>1233</v>
      </c>
    </row>
    <row r="71" spans="1:2" x14ac:dyDescent="0.3">
      <c r="A71" s="146">
        <v>20114215626</v>
      </c>
      <c r="B71" s="147" t="s">
        <v>1194</v>
      </c>
    </row>
    <row r="72" spans="1:2" x14ac:dyDescent="0.3">
      <c r="A72" s="146">
        <v>20114215634</v>
      </c>
      <c r="B72" s="147" t="s">
        <v>1234</v>
      </c>
    </row>
    <row r="73" spans="1:2" x14ac:dyDescent="0.3">
      <c r="A73" s="146">
        <v>20114215668</v>
      </c>
      <c r="B73" s="147" t="s">
        <v>1235</v>
      </c>
    </row>
    <row r="74" spans="1:2" x14ac:dyDescent="0.3">
      <c r="A74" s="146">
        <v>20114215676</v>
      </c>
      <c r="B74" s="147" t="s">
        <v>1199</v>
      </c>
    </row>
    <row r="75" spans="1:2" x14ac:dyDescent="0.3">
      <c r="A75" s="146">
        <v>20114215731</v>
      </c>
      <c r="B75" s="147" t="s">
        <v>1236</v>
      </c>
    </row>
    <row r="76" spans="1:2" x14ac:dyDescent="0.3">
      <c r="A76" s="146">
        <v>20121210938</v>
      </c>
      <c r="B76" s="147" t="s">
        <v>1237</v>
      </c>
    </row>
    <row r="77" spans="1:2" x14ac:dyDescent="0.3">
      <c r="A77" s="146">
        <v>20121211057</v>
      </c>
      <c r="B77" s="147" t="s">
        <v>1235</v>
      </c>
    </row>
    <row r="78" spans="1:2" x14ac:dyDescent="0.3">
      <c r="A78" s="146">
        <v>20121211073</v>
      </c>
      <c r="B78" s="147" t="s">
        <v>1238</v>
      </c>
    </row>
    <row r="79" spans="1:2" x14ac:dyDescent="0.3">
      <c r="A79" s="146">
        <v>20121211099</v>
      </c>
      <c r="B79" s="147" t="s">
        <v>1239</v>
      </c>
    </row>
    <row r="80" spans="1:2" x14ac:dyDescent="0.3">
      <c r="A80" s="146">
        <v>20131165402</v>
      </c>
      <c r="B80" s="147" t="s">
        <v>1216</v>
      </c>
    </row>
    <row r="81" spans="1:2" x14ac:dyDescent="0.3">
      <c r="A81" s="146">
        <v>20142576234</v>
      </c>
      <c r="B81" s="147" t="s">
        <v>1240</v>
      </c>
    </row>
    <row r="82" spans="1:2" x14ac:dyDescent="0.3">
      <c r="A82" s="146">
        <v>20142576250</v>
      </c>
      <c r="B82" s="147" t="s">
        <v>1241</v>
      </c>
    </row>
    <row r="83" spans="1:2" x14ac:dyDescent="0.3">
      <c r="A83" s="146">
        <v>20152655226</v>
      </c>
      <c r="B83" s="147" t="s">
        <v>1202</v>
      </c>
    </row>
    <row r="84" spans="1:2" x14ac:dyDescent="0.3">
      <c r="A84" s="146">
        <v>20152655365</v>
      </c>
      <c r="B84" s="147" t="s">
        <v>1238</v>
      </c>
    </row>
    <row r="85" spans="1:2" x14ac:dyDescent="0.3">
      <c r="A85" s="146">
        <v>20152655412</v>
      </c>
      <c r="B85" s="147" t="s">
        <v>1241</v>
      </c>
    </row>
    <row r="86" spans="1:2" x14ac:dyDescent="0.3">
      <c r="A86" s="146">
        <v>20152655585</v>
      </c>
      <c r="B86" s="147" t="s">
        <v>1242</v>
      </c>
    </row>
    <row r="87" spans="1:2" x14ac:dyDescent="0.3">
      <c r="A87" s="146">
        <v>20160708651</v>
      </c>
      <c r="B87" s="147" t="s">
        <v>1202</v>
      </c>
    </row>
    <row r="88" spans="1:2" x14ac:dyDescent="0.3">
      <c r="A88" s="146">
        <v>20160708685</v>
      </c>
      <c r="B88" s="147" t="s">
        <v>1243</v>
      </c>
    </row>
    <row r="89" spans="1:2" x14ac:dyDescent="0.3">
      <c r="A89" s="146">
        <v>20160708732</v>
      </c>
      <c r="B89" s="147" t="s">
        <v>1244</v>
      </c>
    </row>
    <row r="90" spans="1:2" x14ac:dyDescent="0.3">
      <c r="A90" s="146">
        <v>20160708766</v>
      </c>
      <c r="B90" s="147" t="s">
        <v>1244</v>
      </c>
    </row>
    <row r="91" spans="1:2" x14ac:dyDescent="0.3">
      <c r="A91" s="146">
        <v>20160708902</v>
      </c>
      <c r="B91" s="147" t="s">
        <v>1245</v>
      </c>
    </row>
    <row r="92" spans="1:2" x14ac:dyDescent="0.3">
      <c r="A92" s="146">
        <v>20178600786</v>
      </c>
      <c r="B92" s="147" t="s">
        <v>1246</v>
      </c>
    </row>
    <row r="93" spans="1:2" x14ac:dyDescent="0.3">
      <c r="A93" s="146">
        <v>20178600794</v>
      </c>
      <c r="B93" s="147" t="s">
        <v>1247</v>
      </c>
    </row>
    <row r="94" spans="1:2" x14ac:dyDescent="0.3">
      <c r="A94" s="146">
        <v>20178600817</v>
      </c>
      <c r="B94" s="147" t="s">
        <v>1242</v>
      </c>
    </row>
    <row r="95" spans="1:2" x14ac:dyDescent="0.3">
      <c r="A95" s="146">
        <v>20178600833</v>
      </c>
      <c r="B95" s="147" t="s">
        <v>1242</v>
      </c>
    </row>
    <row r="96" spans="1:2" x14ac:dyDescent="0.3">
      <c r="A96" s="146">
        <v>20178600867</v>
      </c>
      <c r="B96" s="147" t="s">
        <v>1248</v>
      </c>
    </row>
    <row r="97" spans="1:2" x14ac:dyDescent="0.3">
      <c r="A97" s="146">
        <v>20178600948</v>
      </c>
      <c r="B97" s="147" t="s">
        <v>1249</v>
      </c>
    </row>
    <row r="98" spans="1:2" x14ac:dyDescent="0.3">
      <c r="A98" s="146">
        <v>20178600980</v>
      </c>
      <c r="B98" s="147" t="s">
        <v>1250</v>
      </c>
    </row>
    <row r="99" spans="1:2" x14ac:dyDescent="0.3">
      <c r="A99" s="146">
        <v>20178601009</v>
      </c>
      <c r="B99" s="147" t="s">
        <v>1226</v>
      </c>
    </row>
    <row r="100" spans="1:2" x14ac:dyDescent="0.3">
      <c r="A100" s="146">
        <v>20178601041</v>
      </c>
      <c r="B100" s="147" t="s">
        <v>1022</v>
      </c>
    </row>
    <row r="101" spans="1:2" x14ac:dyDescent="0.3">
      <c r="A101" s="146">
        <v>20181472223</v>
      </c>
      <c r="B101" s="147" t="s">
        <v>1251</v>
      </c>
    </row>
    <row r="102" spans="1:2" x14ac:dyDescent="0.3">
      <c r="A102" s="146">
        <v>20181472320</v>
      </c>
      <c r="B102" s="147" t="s">
        <v>1252</v>
      </c>
    </row>
    <row r="103" spans="1:2" x14ac:dyDescent="0.3">
      <c r="A103" s="146">
        <v>20181472524</v>
      </c>
      <c r="B103" s="147" t="s">
        <v>1253</v>
      </c>
    </row>
    <row r="104" spans="1:2" x14ac:dyDescent="0.3">
      <c r="A104" s="146">
        <v>20190118042</v>
      </c>
      <c r="B104" s="147" t="s">
        <v>1005</v>
      </c>
    </row>
    <row r="105" spans="1:2" x14ac:dyDescent="0.3">
      <c r="A105" s="146">
        <v>20190118631</v>
      </c>
      <c r="B105" s="147" t="s">
        <v>1254</v>
      </c>
    </row>
    <row r="106" spans="1:2" x14ac:dyDescent="0.3">
      <c r="A106" s="146">
        <v>20190119343</v>
      </c>
      <c r="B106" s="147" t="s">
        <v>1237</v>
      </c>
    </row>
    <row r="107" spans="1:2" x14ac:dyDescent="0.3">
      <c r="A107" s="146">
        <v>20190119423</v>
      </c>
      <c r="B107" s="147" t="s">
        <v>1255</v>
      </c>
    </row>
    <row r="108" spans="1:2" x14ac:dyDescent="0.3">
      <c r="A108" s="146">
        <v>20190119450</v>
      </c>
      <c r="B108" s="147" t="s">
        <v>1191</v>
      </c>
    </row>
    <row r="109" spans="1:2" x14ac:dyDescent="0.3">
      <c r="A109" s="146">
        <v>20190641326</v>
      </c>
      <c r="B109" s="147" t="s">
        <v>1256</v>
      </c>
    </row>
    <row r="110" spans="1:2" x14ac:dyDescent="0.3">
      <c r="A110" s="146">
        <v>20190641465</v>
      </c>
      <c r="B110" s="147" t="s">
        <v>1257</v>
      </c>
    </row>
    <row r="111" spans="1:2" x14ac:dyDescent="0.3">
      <c r="A111" s="146">
        <v>20200484002</v>
      </c>
      <c r="B111" s="147" t="s">
        <v>1199</v>
      </c>
    </row>
    <row r="112" spans="1:2" x14ac:dyDescent="0.3">
      <c r="A112" s="146">
        <v>20200484010</v>
      </c>
      <c r="B112" s="147" t="s">
        <v>1258</v>
      </c>
    </row>
    <row r="113" spans="1:2" x14ac:dyDescent="0.3">
      <c r="A113" s="146">
        <v>20210645838</v>
      </c>
      <c r="B113" s="147" t="s">
        <v>1104</v>
      </c>
    </row>
    <row r="114" spans="1:2" x14ac:dyDescent="0.3">
      <c r="A114" s="146">
        <v>20210645927</v>
      </c>
      <c r="B114" s="147" t="s">
        <v>1259</v>
      </c>
    </row>
    <row r="115" spans="1:2" x14ac:dyDescent="0.3">
      <c r="A115" s="146">
        <v>20210645935</v>
      </c>
      <c r="B115" s="147" t="s">
        <v>1259</v>
      </c>
    </row>
    <row r="116" spans="1:2" x14ac:dyDescent="0.3">
      <c r="A116" s="146">
        <v>20210645977</v>
      </c>
      <c r="B116" s="147" t="s">
        <v>1237</v>
      </c>
    </row>
    <row r="117" spans="1:2" x14ac:dyDescent="0.3">
      <c r="A117" s="146">
        <v>20210646020</v>
      </c>
      <c r="B117" s="147" t="s">
        <v>1255</v>
      </c>
    </row>
    <row r="118" spans="1:2" x14ac:dyDescent="0.3">
      <c r="A118" s="146">
        <v>20210646046</v>
      </c>
      <c r="B118" s="147" t="s">
        <v>1260</v>
      </c>
    </row>
    <row r="119" spans="1:2" x14ac:dyDescent="0.3">
      <c r="A119" s="146">
        <v>20210646062</v>
      </c>
      <c r="B119" s="147" t="s">
        <v>1260</v>
      </c>
    </row>
    <row r="120" spans="1:2" x14ac:dyDescent="0.3">
      <c r="A120" s="146">
        <v>20210646088</v>
      </c>
      <c r="B120" s="147" t="s">
        <v>1261</v>
      </c>
    </row>
    <row r="121" spans="1:2" x14ac:dyDescent="0.3">
      <c r="A121" s="146">
        <v>20210646208</v>
      </c>
      <c r="B121" s="147" t="s">
        <v>1237</v>
      </c>
    </row>
    <row r="122" spans="1:2" x14ac:dyDescent="0.3">
      <c r="A122" s="146">
        <v>20210646216</v>
      </c>
      <c r="B122" s="147" t="s">
        <v>1222</v>
      </c>
    </row>
    <row r="123" spans="1:2" x14ac:dyDescent="0.3">
      <c r="A123" s="146">
        <v>20220597833</v>
      </c>
      <c r="B123" s="147" t="s">
        <v>1191</v>
      </c>
    </row>
    <row r="124" spans="1:2" x14ac:dyDescent="0.3">
      <c r="A124" s="146">
        <v>20220597906</v>
      </c>
      <c r="B124" s="147" t="s">
        <v>937</v>
      </c>
    </row>
    <row r="125" spans="1:2" x14ac:dyDescent="0.3">
      <c r="A125" s="146">
        <v>20220597922</v>
      </c>
      <c r="B125" s="147" t="s">
        <v>1024</v>
      </c>
    </row>
    <row r="126" spans="1:2" x14ac:dyDescent="0.3">
      <c r="A126" s="146">
        <v>20220597964</v>
      </c>
      <c r="B126" s="147" t="s">
        <v>1262</v>
      </c>
    </row>
    <row r="127" spans="1:2" x14ac:dyDescent="0.3">
      <c r="A127" s="146">
        <v>20220598059</v>
      </c>
      <c r="B127" s="147" t="s">
        <v>1222</v>
      </c>
    </row>
    <row r="128" spans="1:2" x14ac:dyDescent="0.3">
      <c r="A128" s="146">
        <v>20220598067</v>
      </c>
      <c r="B128" s="147" t="s">
        <v>1222</v>
      </c>
    </row>
    <row r="129" spans="1:2" x14ac:dyDescent="0.3">
      <c r="A129" s="146">
        <v>20220598130</v>
      </c>
      <c r="B129" s="147" t="s">
        <v>1199</v>
      </c>
    </row>
    <row r="130" spans="1:2" x14ac:dyDescent="0.3">
      <c r="A130" s="146">
        <v>20220598180</v>
      </c>
      <c r="B130" s="147" t="s">
        <v>1255</v>
      </c>
    </row>
    <row r="131" spans="1:2" x14ac:dyDescent="0.3">
      <c r="A131" s="146">
        <v>20220598203</v>
      </c>
      <c r="B131" s="147" t="s">
        <v>1187</v>
      </c>
    </row>
    <row r="132" spans="1:2" x14ac:dyDescent="0.3">
      <c r="A132" s="146">
        <v>20220598253</v>
      </c>
      <c r="B132" s="147" t="s">
        <v>978</v>
      </c>
    </row>
    <row r="133" spans="1:2" x14ac:dyDescent="0.3">
      <c r="A133" s="146">
        <v>20220598318</v>
      </c>
      <c r="B133" s="147" t="s">
        <v>1263</v>
      </c>
    </row>
    <row r="134" spans="1:2" x14ac:dyDescent="0.3">
      <c r="A134" s="146">
        <v>20220598334</v>
      </c>
      <c r="B134" s="147" t="s">
        <v>1263</v>
      </c>
    </row>
    <row r="135" spans="1:2" x14ac:dyDescent="0.3">
      <c r="A135" s="146">
        <v>20220598342</v>
      </c>
      <c r="B135" s="147" t="s">
        <v>932</v>
      </c>
    </row>
    <row r="136" spans="1:2" x14ac:dyDescent="0.3">
      <c r="A136" s="146">
        <v>20220598512</v>
      </c>
      <c r="B136" s="147" t="s">
        <v>1190</v>
      </c>
    </row>
    <row r="137" spans="1:2" x14ac:dyDescent="0.3">
      <c r="A137" s="146">
        <v>20220598546</v>
      </c>
      <c r="B137" s="147" t="s">
        <v>1190</v>
      </c>
    </row>
    <row r="138" spans="1:2" x14ac:dyDescent="0.3">
      <c r="A138" s="146">
        <v>20220598562</v>
      </c>
      <c r="B138" s="147" t="s">
        <v>1191</v>
      </c>
    </row>
    <row r="139" spans="1:2" x14ac:dyDescent="0.3">
      <c r="A139" s="146">
        <v>20220598740</v>
      </c>
      <c r="B139" s="147" t="s">
        <v>1190</v>
      </c>
    </row>
    <row r="140" spans="1:2" x14ac:dyDescent="0.3">
      <c r="A140" s="146">
        <v>20220598839</v>
      </c>
      <c r="B140" s="147" t="s">
        <v>1191</v>
      </c>
    </row>
    <row r="141" spans="1:2" x14ac:dyDescent="0.3">
      <c r="A141" s="146">
        <v>20220598889</v>
      </c>
      <c r="B141" s="147" t="s">
        <v>1190</v>
      </c>
    </row>
    <row r="142" spans="1:2" x14ac:dyDescent="0.3">
      <c r="A142" s="146">
        <v>20220598960</v>
      </c>
      <c r="B142" s="147" t="s">
        <v>1191</v>
      </c>
    </row>
    <row r="143" spans="1:2" x14ac:dyDescent="0.3">
      <c r="A143" s="146">
        <v>20220599013</v>
      </c>
      <c r="B143" s="147" t="s">
        <v>1202</v>
      </c>
    </row>
    <row r="144" spans="1:2" x14ac:dyDescent="0.3">
      <c r="A144" s="146">
        <v>20240036700</v>
      </c>
      <c r="B144" s="147" t="s">
        <v>1264</v>
      </c>
    </row>
    <row r="145" spans="1:2" x14ac:dyDescent="0.3">
      <c r="A145" s="146">
        <v>20240090217</v>
      </c>
      <c r="B145" s="147" t="s">
        <v>1095</v>
      </c>
    </row>
    <row r="146" spans="1:2" x14ac:dyDescent="0.3">
      <c r="A146" s="146">
        <v>20240300890</v>
      </c>
      <c r="B146" s="147" t="s">
        <v>1199</v>
      </c>
    </row>
    <row r="147" spans="1:2" x14ac:dyDescent="0.3">
      <c r="A147" s="146">
        <v>20240300905</v>
      </c>
      <c r="B147" s="147" t="s">
        <v>1265</v>
      </c>
    </row>
    <row r="148" spans="1:2" x14ac:dyDescent="0.3">
      <c r="A148" s="146">
        <v>20240300913</v>
      </c>
      <c r="B148" s="147" t="s">
        <v>1266</v>
      </c>
    </row>
    <row r="149" spans="1:2" x14ac:dyDescent="0.3">
      <c r="A149" s="146">
        <v>20240300921</v>
      </c>
      <c r="B149" s="147" t="s">
        <v>1267</v>
      </c>
    </row>
    <row r="150" spans="1:2" x14ac:dyDescent="0.3">
      <c r="A150" s="146">
        <v>20240300939</v>
      </c>
      <c r="B150" s="147" t="s">
        <v>969</v>
      </c>
    </row>
    <row r="151" spans="1:2" x14ac:dyDescent="0.3">
      <c r="A151" s="146">
        <v>20240300947</v>
      </c>
      <c r="B151" s="147" t="s">
        <v>1266</v>
      </c>
    </row>
    <row r="152" spans="1:2" x14ac:dyDescent="0.3">
      <c r="A152" s="146">
        <v>20240300955</v>
      </c>
      <c r="B152" s="147" t="s">
        <v>969</v>
      </c>
    </row>
    <row r="153" spans="1:2" x14ac:dyDescent="0.3">
      <c r="A153" s="146">
        <v>20240300971</v>
      </c>
      <c r="B153" s="147" t="s">
        <v>1267</v>
      </c>
    </row>
    <row r="154" spans="1:2" x14ac:dyDescent="0.3">
      <c r="A154" s="146">
        <v>20240300989</v>
      </c>
      <c r="B154" s="147" t="s">
        <v>1268</v>
      </c>
    </row>
    <row r="155" spans="1:2" x14ac:dyDescent="0.3">
      <c r="A155" s="146">
        <v>20240300997</v>
      </c>
      <c r="B155" s="147" t="s">
        <v>1265</v>
      </c>
    </row>
    <row r="156" spans="1:2" x14ac:dyDescent="0.3">
      <c r="A156" s="146">
        <v>20250007868</v>
      </c>
      <c r="B156" s="147" t="s">
        <v>1254</v>
      </c>
    </row>
    <row r="157" spans="1:2" x14ac:dyDescent="0.3">
      <c r="A157" s="146">
        <v>20250007931</v>
      </c>
      <c r="B157" s="147" t="s">
        <v>1269</v>
      </c>
    </row>
    <row r="158" spans="1:2" x14ac:dyDescent="0.3">
      <c r="A158" s="146">
        <v>20250007973</v>
      </c>
      <c r="B158" s="147" t="s">
        <v>1270</v>
      </c>
    </row>
    <row r="159" spans="1:2" x14ac:dyDescent="0.3">
      <c r="A159" s="146">
        <v>20250008018</v>
      </c>
      <c r="B159" s="147" t="s">
        <v>1270</v>
      </c>
    </row>
    <row r="160" spans="1:2" x14ac:dyDescent="0.3">
      <c r="A160" s="146">
        <v>20250011100</v>
      </c>
      <c r="B160" s="147" t="s">
        <v>1269</v>
      </c>
    </row>
    <row r="161" spans="1:2" x14ac:dyDescent="0.3">
      <c r="A161" s="146">
        <v>20250011207</v>
      </c>
      <c r="B161" s="147" t="s">
        <v>1254</v>
      </c>
    </row>
    <row r="162" spans="1:2" x14ac:dyDescent="0.3">
      <c r="A162" s="146">
        <v>20250011215</v>
      </c>
      <c r="B162" s="147" t="s">
        <v>1254</v>
      </c>
    </row>
    <row r="163" spans="1:2" x14ac:dyDescent="0.3">
      <c r="A163" s="146">
        <v>20250011956</v>
      </c>
      <c r="B163" s="147" t="s">
        <v>1270</v>
      </c>
    </row>
    <row r="164" spans="1:2" x14ac:dyDescent="0.3">
      <c r="A164" s="146">
        <v>20250067232</v>
      </c>
      <c r="B164" s="147" t="s">
        <v>1264</v>
      </c>
    </row>
    <row r="165" spans="1:2" x14ac:dyDescent="0.3">
      <c r="A165" s="146">
        <v>20250067240</v>
      </c>
      <c r="B165" s="147" t="s">
        <v>1264</v>
      </c>
    </row>
    <row r="166" spans="1:2" x14ac:dyDescent="0.3">
      <c r="A166" s="146">
        <v>20250067258</v>
      </c>
      <c r="B166" s="147" t="s">
        <v>1264</v>
      </c>
    </row>
    <row r="167" spans="1:2" x14ac:dyDescent="0.3">
      <c r="A167" s="146">
        <v>20250067266</v>
      </c>
      <c r="B167" s="147" t="s">
        <v>1264</v>
      </c>
    </row>
    <row r="168" spans="1:2" x14ac:dyDescent="0.3">
      <c r="A168" s="146">
        <v>20250067274</v>
      </c>
      <c r="B168" s="147" t="s">
        <v>1264</v>
      </c>
    </row>
    <row r="169" spans="1:2" x14ac:dyDescent="0.3">
      <c r="A169" s="146">
        <v>20250067282</v>
      </c>
      <c r="B169" s="147" t="s">
        <v>1264</v>
      </c>
    </row>
    <row r="170" spans="1:2" x14ac:dyDescent="0.3">
      <c r="A170" s="146">
        <v>20250067290</v>
      </c>
      <c r="B170" s="147" t="s">
        <v>1255</v>
      </c>
    </row>
    <row r="171" spans="1:2" x14ac:dyDescent="0.3">
      <c r="A171" s="146">
        <v>20250067305</v>
      </c>
      <c r="B171" s="147" t="s">
        <v>1255</v>
      </c>
    </row>
    <row r="172" spans="1:2" x14ac:dyDescent="0.3">
      <c r="A172" s="146">
        <v>20250067313</v>
      </c>
      <c r="B172" s="147" t="s">
        <v>1264</v>
      </c>
    </row>
    <row r="173" spans="1:2" x14ac:dyDescent="0.3">
      <c r="A173" s="146">
        <v>20250067321</v>
      </c>
      <c r="B173" s="147" t="s">
        <v>1264</v>
      </c>
    </row>
    <row r="174" spans="1:2" x14ac:dyDescent="0.3">
      <c r="A174" s="146">
        <v>20250067339</v>
      </c>
      <c r="B174" s="147" t="s">
        <v>1264</v>
      </c>
    </row>
    <row r="175" spans="1:2" x14ac:dyDescent="0.3">
      <c r="A175" s="146">
        <v>20250067355</v>
      </c>
      <c r="B175" s="147" t="s">
        <v>1264</v>
      </c>
    </row>
    <row r="176" spans="1:2" x14ac:dyDescent="0.3">
      <c r="A176" s="146">
        <v>20250067363</v>
      </c>
      <c r="B176" s="147" t="s">
        <v>1255</v>
      </c>
    </row>
    <row r="177" spans="1:2" x14ac:dyDescent="0.3">
      <c r="A177" s="146">
        <v>20250067371</v>
      </c>
      <c r="B177" s="147" t="s">
        <v>1264</v>
      </c>
    </row>
    <row r="178" spans="1:2" x14ac:dyDescent="0.3">
      <c r="A178" s="146">
        <v>20250089137</v>
      </c>
      <c r="B178" s="147" t="s">
        <v>1264</v>
      </c>
    </row>
    <row r="179" spans="1:2" x14ac:dyDescent="0.3">
      <c r="A179" s="146">
        <v>20250089145</v>
      </c>
      <c r="B179" s="147" t="s">
        <v>1264</v>
      </c>
    </row>
    <row r="180" spans="1:2" x14ac:dyDescent="0.3">
      <c r="A180" s="146">
        <v>20250089153</v>
      </c>
      <c r="B180" s="147" t="s">
        <v>1255</v>
      </c>
    </row>
    <row r="181" spans="1:2" x14ac:dyDescent="0.3">
      <c r="A181" s="146">
        <v>20250089161</v>
      </c>
      <c r="B181" s="147" t="s">
        <v>1269</v>
      </c>
    </row>
    <row r="182" spans="1:2" x14ac:dyDescent="0.3">
      <c r="A182" s="146">
        <v>20250118499</v>
      </c>
      <c r="B182" s="147" t="s">
        <v>1264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MASTER STAFF DATA</vt:lpstr>
      <vt:lpstr>CASUALS</vt:lpstr>
      <vt:lpstr>JOB GROUPS</vt:lpstr>
      <vt:lpstr>CAREER GUIDELINES</vt:lpstr>
      <vt:lpstr>VOLUNTEERS</vt:lpstr>
      <vt:lpstr>RAW STAFF DATA</vt:lpstr>
      <vt:lpstr>FIRST APPOINTMENT 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Gladys Njoroge</dc:creator>
  <cp:lastModifiedBy>Patrick Mwaura</cp:lastModifiedBy>
  <cp:lastPrinted>2022-06-10T11:41:10Z</cp:lastPrinted>
  <dcterms:created xsi:type="dcterms:W3CDTF">2018-12-04T13:32:34Z</dcterms:created>
  <dcterms:modified xsi:type="dcterms:W3CDTF">2026-06-19T10:13:03Z</dcterms:modified>
</cp:coreProperties>
</file>