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SAS\Documents\"/>
    </mc:Choice>
  </mc:AlternateContent>
  <bookViews>
    <workbookView xWindow="0" yWindow="0" windowWidth="6636" windowHeight="3948" activeTab="2"/>
  </bookViews>
  <sheets>
    <sheet name="Strategic Issue 3" sheetId="3" r:id="rId1"/>
    <sheet name="Budget" sheetId="4" r:id="rId2"/>
    <sheet name="Section functions" sheetId="5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1" i="3" l="1"/>
  <c r="AB30" i="3" l="1"/>
  <c r="AB25" i="3"/>
  <c r="AB22" i="3"/>
  <c r="AB18" i="3"/>
  <c r="AB14" i="3"/>
  <c r="H22" i="4" l="1"/>
  <c r="G22" i="4"/>
  <c r="H10" i="4"/>
  <c r="H7" i="4"/>
  <c r="G11" i="4"/>
  <c r="H12" i="4" s="1"/>
  <c r="G3" i="4"/>
  <c r="G4" i="4"/>
  <c r="H5" i="4" s="1"/>
  <c r="G5" i="4"/>
  <c r="G6" i="4"/>
  <c r="G7" i="4"/>
  <c r="G8" i="4"/>
  <c r="G9" i="4"/>
  <c r="G10" i="4"/>
  <c r="G12" i="4"/>
  <c r="G13" i="4"/>
  <c r="G14" i="4"/>
  <c r="G15" i="4"/>
  <c r="G16" i="4"/>
  <c r="G17" i="4"/>
  <c r="H17" i="4" s="1"/>
  <c r="G18" i="4"/>
  <c r="H18" i="4" s="1"/>
  <c r="G19" i="4"/>
  <c r="H19" i="4" s="1"/>
  <c r="G20" i="4"/>
  <c r="H21" i="4" s="1"/>
  <c r="G21" i="4"/>
  <c r="G23" i="4"/>
  <c r="H23" i="4" s="1"/>
  <c r="G24" i="4"/>
  <c r="H79" i="4" s="1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H16" i="4" l="1"/>
  <c r="G2" i="4" l="1"/>
  <c r="H3" i="4" s="1"/>
  <c r="H80" i="4" s="1"/>
  <c r="G80" i="4" l="1"/>
</calcChain>
</file>

<file path=xl/sharedStrings.xml><?xml version="1.0" encoding="utf-8"?>
<sst xmlns="http://schemas.openxmlformats.org/spreadsheetml/2006/main" count="488" uniqueCount="309">
  <si>
    <t>Activity</t>
  </si>
  <si>
    <t>Function Linkage</t>
  </si>
  <si>
    <t>(ii), (iii), (vi)</t>
  </si>
  <si>
    <t>Disease models and predictive analytics reports.</t>
  </si>
  <si>
    <t>(v), (ix)</t>
  </si>
  <si>
    <t>Performance Indicator</t>
  </si>
  <si>
    <t>1. Develop and Implement Data Governance, Policies and Systems</t>
  </si>
  <si>
    <t>(i), (iv), (x)</t>
  </si>
  <si>
    <t>Approved data governance framework and functional data systems.</t>
  </si>
  <si>
    <t>No. of policies developed/reviewed; data quality and system uptime.</t>
  </si>
  <si>
    <t>High-quality data analysis and research support outputs.</t>
  </si>
  <si>
    <t>3. Disease Modeling, Epidemiological Analysis and Predictive Analytics</t>
  </si>
  <si>
    <t>(vii), (viii), (xvi), (xvii), (xviii)</t>
  </si>
  <si>
    <t>4. Monitoring, Evaluation and Impact Assessment of Research Programs</t>
  </si>
  <si>
    <t>M&amp;E and impact assessment reports.</t>
  </si>
  <si>
    <t>No. of M&amp;E reports produced; evaluation studies completed.</t>
  </si>
  <si>
    <t>5. Bioinformatics, Innovation, Capacity Building and Knowledge Dissemination</t>
  </si>
  <si>
    <t>(xi), (xii), (xiii), (xiv), (xv), (xix), (xx)</t>
  </si>
  <si>
    <t>Advanced analytics outputs, trained staff, and publications.</t>
  </si>
  <si>
    <t>DRAFT 0 ANNUAL WORKPLAN 2026-2027</t>
  </si>
  <si>
    <t>Result Areas</t>
  </si>
  <si>
    <t>Sub Activities</t>
  </si>
  <si>
    <t xml:space="preserve"> Exptected Output</t>
  </si>
  <si>
    <t>Impact</t>
  </si>
  <si>
    <t>Target</t>
  </si>
  <si>
    <t>Means of Verification (MoV)</t>
  </si>
  <si>
    <t>Q1</t>
  </si>
  <si>
    <t>Q2</t>
  </si>
  <si>
    <t>Q3</t>
  </si>
  <si>
    <t>Q4</t>
  </si>
  <si>
    <t>Estimated Cost</t>
  </si>
  <si>
    <t>Responsibility</t>
  </si>
  <si>
    <t>Source of Funds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</si>
  <si>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</si>
  <si>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</si>
  <si>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</si>
  <si>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</si>
  <si>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</si>
  <si>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</si>
  <si>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</si>
  <si>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</si>
  <si>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</si>
  <si>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</si>
  <si>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</si>
  <si>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</si>
  <si>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Y4</t>
  </si>
  <si>
    <t xml:space="preserve">Lead </t>
  </si>
  <si>
    <t>Support</t>
  </si>
  <si>
    <t>Strategic Issue 3: Weak institutional capability for health research excellence</t>
  </si>
  <si>
    <t xml:space="preserve">Strategic Goal 3: To build institutional capacity to achieve excellence in health research through training, infrastructure development, enhancement of corporate governance and collaborations. </t>
  </si>
  <si>
    <t xml:space="preserve">Key Result Area 4:  Legal, regulatory and policy framework </t>
  </si>
  <si>
    <t>Outcome: Data management analytics and strategies developed and implemented</t>
  </si>
  <si>
    <t>Strategic Objective 3: To develop data management analytics and protection strategies</t>
  </si>
  <si>
    <t xml:space="preserve">i. Develop and review data policies and strategies
</t>
  </si>
  <si>
    <t xml:space="preserve">ii. Establish data governance frameworks
</t>
  </si>
  <si>
    <t xml:space="preserve">iii. Manage databases and data systems 
</t>
  </si>
  <si>
    <t xml:space="preserve">iv. Ensure data security and integrity; 
</t>
  </si>
  <si>
    <t>v. Automate data collection processes.</t>
  </si>
  <si>
    <t xml:space="preserve">i. Collect and manage data
</t>
  </si>
  <si>
    <t xml:space="preserve">ii. Analyze and interpret biological and health data
</t>
  </si>
  <si>
    <t xml:space="preserve">iii. Support study design and reporting
</t>
  </si>
  <si>
    <t xml:space="preserve">
iv. Provide statistical and analytical support to researchers.</t>
  </si>
  <si>
    <t xml:space="preserve">i. Conduct epidemiological studies
</t>
  </si>
  <si>
    <t xml:space="preserve">ii. Analyze disease patterns and trends; 
</t>
  </si>
  <si>
    <t xml:space="preserve">iii. Develop predictive and machine learning models
</t>
  </si>
  <si>
    <t>iv. Design and assess disease control programs.</t>
  </si>
  <si>
    <t xml:space="preserve">i. Provide M&amp;E services; evaluate research outcomes
</t>
  </si>
  <si>
    <t xml:space="preserve">ii. Assess economic and health impact of disease interventions
</t>
  </si>
  <si>
    <t>iii. Generate performance reports.</t>
  </si>
  <si>
    <t xml:space="preserve">i. Conduct bioinformatics and genomic analysis
</t>
  </si>
  <si>
    <t xml:space="preserve">ii. Develop computational tools
</t>
  </si>
  <si>
    <t xml:space="preserve">iii. Train staff and researchers
</t>
  </si>
  <si>
    <t xml:space="preserve">iv. Publish findings
</t>
  </si>
  <si>
    <t>v. Support conferences and scientific dissemination.</t>
  </si>
  <si>
    <t>No. of data governance frameworks developed.</t>
  </si>
  <si>
    <t xml:space="preserve">No. of Databases  and systems developed and managed.  </t>
  </si>
  <si>
    <t>No. of data security and integrity protocols installed .</t>
  </si>
  <si>
    <t xml:space="preserve">No. of automated data collection processes developed. </t>
  </si>
  <si>
    <t>DSAS</t>
  </si>
  <si>
    <t>RPDD</t>
  </si>
  <si>
    <t>1 Operational framework</t>
  </si>
  <si>
    <t>Improved accessibility and reliability.</t>
  </si>
  <si>
    <t xml:space="preserve">Improved data governance. </t>
  </si>
  <si>
    <t>99.9% Uptime and zero data loss</t>
  </si>
  <si>
    <t>RPDD and ICT</t>
  </si>
  <si>
    <t>2 Key pipelines automated</t>
  </si>
  <si>
    <t>Singed policy documents and board meeting minutes</t>
  </si>
  <si>
    <t xml:space="preserve">Terms of reference/ Charter and Governance committee/council meeting minutes. </t>
  </si>
  <si>
    <t>System uptime reports and
 databases maintance logs</t>
  </si>
  <si>
    <t>Security audit reports , pentest certificates 
and incident logs</t>
  </si>
  <si>
    <t>System functional specifications, API documentations and UAT(User Acceptance Testing) sign-off</t>
  </si>
  <si>
    <t>% of datasets with&lt;1% error rate ; completion rate</t>
  </si>
  <si>
    <t>Enhanced quality and credibility of research outputs. Ensures findings are based on clean, trustworthy data</t>
  </si>
  <si>
    <t>15 datasets archived with 100% integrity</t>
  </si>
  <si>
    <t>Validation reports, Audit logs and data management plans</t>
  </si>
  <si>
    <t>No. of reports produced with 100% accuracy score</t>
  </si>
  <si>
    <t>Scientific excellence: Translate raw data into actionable insights</t>
  </si>
  <si>
    <t xml:space="preserve">12 analytical reports published/shared </t>
  </si>
  <si>
    <t>Statistical reports (Bio- modelling outputs)</t>
  </si>
  <si>
    <t>No. of protocols approved, design quality score</t>
  </si>
  <si>
    <t xml:space="preserve">Methodological rigor: Increases grant success and minizes research bias. </t>
  </si>
  <si>
    <t>8 study protocols finalized and approved</t>
  </si>
  <si>
    <t>% Researcher satisfaction; No. of documented consults</t>
  </si>
  <si>
    <t>Capacity building: Empowers researchers with advanced data literacy skills</t>
  </si>
  <si>
    <t>30 consultations; 4 training workshops</t>
  </si>
  <si>
    <t xml:space="preserve">Feedback surveys; service logs; Training certificates issued. </t>
  </si>
  <si>
    <t>Workshop 1</t>
  </si>
  <si>
    <t>Workshop 2</t>
  </si>
  <si>
    <t>No. of studies finalized; stakeholders adoption</t>
  </si>
  <si>
    <t>Early warning: Identifies emerging health threats before they become crisis</t>
  </si>
  <si>
    <t>4 comprehensive studies completed</t>
  </si>
  <si>
    <t>Published study reports ; policy briefs</t>
  </si>
  <si>
    <t>Accuracy of trend pojections; No. of reports.</t>
  </si>
  <si>
    <t xml:space="preserve">Resource allocation: Helps health officials put staff/supplies where they are needed most. </t>
  </si>
  <si>
    <t>12 monthly trend reports produced</t>
  </si>
  <si>
    <t>Monthly surveillance reports; dashboards</t>
  </si>
  <si>
    <t>Model precision metrics ( recall, specification, sensisitivity, Brier score, ROC) ; uptime</t>
  </si>
  <si>
    <t xml:space="preserve">Proactive responses: Moves public health from reactive " damage control" to proactive prevention. </t>
  </si>
  <si>
    <t>2 functional models e.g Outbreaks/ Risk/pandemic</t>
  </si>
  <si>
    <t>Model source codes; technical manuals; validation reports</t>
  </si>
  <si>
    <t>% improvement in program efficiencies</t>
  </si>
  <si>
    <t xml:space="preserve">Accountability: Proves which health programs work and which need to be stopped or fixed. </t>
  </si>
  <si>
    <t>2 evaluations of diseses control programs</t>
  </si>
  <si>
    <t>Evaluation reports; M&amp;E frameworks.</t>
  </si>
  <si>
    <t xml:space="preserve">Continuous improvements: Identifies program failures early to pivot strategies and save resources. </t>
  </si>
  <si>
    <t>4 comprehensive M&amp;E reports (1 per quarter)</t>
  </si>
  <si>
    <t>M&amp;E reports, evaluation case studies</t>
  </si>
  <si>
    <t>RPDD and Planning</t>
  </si>
  <si>
    <t>Measurable change in health metrics; Cost benefit ratio</t>
  </si>
  <si>
    <t xml:space="preserve">Investiment justification: Provides hard data to donors and government that the research saved lives and money. </t>
  </si>
  <si>
    <t>Impact assessment reports; ROI models.</t>
  </si>
  <si>
    <t xml:space="preserve">2 impact assessment reports (e.g ROI/DALY) </t>
  </si>
  <si>
    <t>Timeliness of reports;stakeholders usage rate (%).</t>
  </si>
  <si>
    <t>Operational transparency: Keeps leadership informed in real-time preventing "blind spots" in management.</t>
  </si>
  <si>
    <t xml:space="preserve">12 monthly performance dashboards. </t>
  </si>
  <si>
    <t xml:space="preserve">Performance dashboard; Board minutes. </t>
  </si>
  <si>
    <t>No. of complex analysis performed</t>
  </si>
  <si>
    <t xml:space="preserve">Precision medicine: Unlocks deep biological insights that lead to targeted , more effective health treatments. </t>
  </si>
  <si>
    <t>6 Genomic studies completed</t>
  </si>
  <si>
    <t>Tool functionality; User adoption rate (%)</t>
  </si>
  <si>
    <t xml:space="preserve">Innovation: Automates complex tasks, allowing researchers to work faster and with fewer errors. </t>
  </si>
  <si>
    <t>1 new tool/pipeline launched</t>
  </si>
  <si>
    <t>Software repositories (GitHub); Technical manuals</t>
  </si>
  <si>
    <t>% Improvement in pre/post test scores</t>
  </si>
  <si>
    <t xml:space="preserve">Sustainability: Ensures the institution is not dependent on outside consultants for technical expertise. </t>
  </si>
  <si>
    <t xml:space="preserve">150 personnel trained (4 major sessions) </t>
  </si>
  <si>
    <t xml:space="preserve">Training certificates; attendance logs. </t>
  </si>
  <si>
    <t>RPDD, Capacity directorate , ICT</t>
  </si>
  <si>
    <t>Journal impact factor; No. of citations</t>
  </si>
  <si>
    <t>Global authority: Validates research through peer review and builds the institution's reputation</t>
  </si>
  <si>
    <t>10 peer reviewed papers published</t>
  </si>
  <si>
    <t xml:space="preserve">Published articles; DOI (Digital Object IDs ). </t>
  </si>
  <si>
    <t>No. of delegates quality of feedback</t>
  </si>
  <si>
    <t xml:space="preserve">Knowledge exchange: connects local researchers with global experts to foster new collaborations. </t>
  </si>
  <si>
    <t>3 scientific conferences hosted/supported</t>
  </si>
  <si>
    <t>Conference proceedings; Event reports</t>
  </si>
  <si>
    <t>Protection againist data breaches.</t>
  </si>
  <si>
    <t>Increased efficiency and speed.</t>
  </si>
  <si>
    <t xml:space="preserve">RPDD, CBPGMD </t>
  </si>
  <si>
    <t>RPDD, Corporate Communication.</t>
  </si>
  <si>
    <t>Bio- ,Statistical reports; Processed sequence data</t>
  </si>
  <si>
    <t>Uptime and 0 data loss</t>
  </si>
  <si>
    <t xml:space="preserve">Activity </t>
  </si>
  <si>
    <t>Subactivity</t>
  </si>
  <si>
    <t>Details</t>
  </si>
  <si>
    <t>Quantity</t>
  </si>
  <si>
    <t xml:space="preserve">Unit price </t>
  </si>
  <si>
    <t>Zero Data Loss</t>
  </si>
  <si>
    <t>Zero Vulnerabilities</t>
  </si>
  <si>
    <t>API Development</t>
  </si>
  <si>
    <t>3 New Policies</t>
  </si>
  <si>
    <t>i. Develop and review data policies and strategies</t>
  </si>
  <si>
    <t>Stakeholder Input &amp; Review</t>
  </si>
  <si>
    <t>Policy Drafting</t>
  </si>
  <si>
    <t>1 Operational Framework</t>
  </si>
  <si>
    <t>ii. Establish data governance frameworks</t>
  </si>
  <si>
    <t>Charter Development</t>
  </si>
  <si>
    <t>Board/Council Approval</t>
  </si>
  <si>
    <t>Zero Critical Vulnerabilities</t>
  </si>
  <si>
    <t>iv. Ensure data security and integrity</t>
  </si>
  <si>
    <t>Vulnerability Assessment</t>
  </si>
  <si>
    <t>Protocol Implementation</t>
  </si>
  <si>
    <t>2 Key Pipelines Automated</t>
  </si>
  <si>
    <t>v. Automate data collection processes</t>
  </si>
  <si>
    <t>Staff Capacity</t>
  </si>
  <si>
    <t>12 Analytical Reports</t>
  </si>
  <si>
    <t>ii. Analyze and interpret data</t>
  </si>
  <si>
    <t>Research Hardware</t>
  </si>
  <si>
    <t>Qualified Workforce</t>
  </si>
  <si>
    <t>iv. Statistical/Analytical support</t>
  </si>
  <si>
    <t>Advanced Training</t>
  </si>
  <si>
    <t>Continuous Coaching</t>
  </si>
  <si>
    <t>Capacity Building</t>
  </si>
  <si>
    <t>Monitoring Support</t>
  </si>
  <si>
    <t>Monthly statistical coaching/consultancy sessions</t>
  </si>
  <si>
    <t>Scientific Excellence</t>
  </si>
  <si>
    <t>V. Bioinformatics &amp; Innovation</t>
  </si>
  <si>
    <t>High-End Server Cluster</t>
  </si>
  <si>
    <t>2x AMD EPYC (64 cores), 2x RTX 4090 GPUs, 256GB RAM</t>
  </si>
  <si>
    <t>99.9% Uptime</t>
  </si>
  <si>
    <t>I. Data Governance &amp; Systems</t>
  </si>
  <si>
    <t>Central Power Backup</t>
  </si>
  <si>
    <t>Smart UPS 3KVA (For server rack protection)</t>
  </si>
  <si>
    <t>Enterprise Virtualization</t>
  </si>
  <si>
    <t>Proxmox/Docker Setup &amp; Cloud Sync (Consultancy)</t>
  </si>
  <si>
    <t>Network Security</t>
  </si>
  <si>
    <t>Firewall, VPN Setup &amp; SSL Certificates (Annual)</t>
  </si>
  <si>
    <t>Operational Support</t>
  </si>
  <si>
    <t>Communication &amp; Data</t>
  </si>
  <si>
    <t>Mobile Data/Airtime &amp; High-Speed MiFi Backups</t>
  </si>
  <si>
    <r>
      <t>The total budget for a 40-person, 2-day
 policy workshop and drafting phase is </t>
    </r>
    <r>
      <rPr>
        <sz val="10"/>
        <color rgb="FF0A0A0A"/>
        <rFont val="Arial"/>
        <family val="2"/>
      </rPr>
      <t>3,200,000, 
covering 1,120,000 for DSA, 480,000 for 
venue/refreshments, 100,000 for transport, 
and 1,200,000 for the consultant/legal drafting fee.</t>
    </r>
  </si>
  <si>
    <t xml:space="preserve">Venue and refreshments for policy workshop 
DSA: 40 X14000, 
Conference: 4000 X 40 X 7 days,
Transport/Fuel:  200000 </t>
  </si>
  <si>
    <t>Monthly expert mentorship/statistical coaching sessions (Facilitation fee of the coach)</t>
  </si>
  <si>
    <r>
      <t xml:space="preserve">Sitting allowance: 8 X 20000X4 , 
Board Lunch : 2000X8X4 , 
Board Mileage: 50000X4, 
Refreshments:20000X4 , 
</t>
    </r>
    <r>
      <rPr>
        <sz val="11"/>
        <color rgb="FFFF0000"/>
        <rFont val="Aptos Narrow"/>
        <charset val="1"/>
        <scheme val="minor"/>
      </rPr>
      <t>Meeting allowances and printing of Terms of Reference</t>
    </r>
  </si>
  <si>
    <t>Tablets</t>
  </si>
  <si>
    <t>Automated CSPro-REDCap integration for secure, offline-to-cloud research data pipelines.</t>
  </si>
  <si>
    <t>Mobile tablets configured for offline/online field data collection and  synchronization and tools development.</t>
  </si>
  <si>
    <t>2TB External Drives (Physical backup of data systems)</t>
  </si>
  <si>
    <t>Penetration Testing (Pen-Test) by certified Ethical Hackers</t>
  </si>
  <si>
    <t>MFA (Multi-Factor Authentication) license and setup for 60 users</t>
  </si>
  <si>
    <t>Data Science &amp; ML Bootcamp (Professional training for lead team)
Conference:  4000X12X7, 
DSA: 12X14000X7 , 
Transport/Fuel: 100000</t>
  </si>
  <si>
    <t>Backup Storage  and archiving</t>
  </si>
  <si>
    <t>DSA: 20 X 14,000X5
Conference: 20 X 4,000X5
Transport/Fuel: 250,000 (lump sum)</t>
  </si>
  <si>
    <t>i7/i9 High-end Tower PCs for bio-modeling (GPU-accelerated for ML)</t>
  </si>
  <si>
    <t>Data Science &amp; ML 6-Month Bootcamp (Specialized)</t>
  </si>
  <si>
    <t>Cooling system</t>
  </si>
  <si>
    <t>Maintenance</t>
  </si>
  <si>
    <t>Server room</t>
  </si>
  <si>
    <t xml:space="preserve">Dual Net face plate </t>
  </si>
  <si>
    <t>Single net face plate</t>
  </si>
  <si>
    <t>Cable label printer</t>
  </si>
  <si>
    <t xml:space="preserve">LAN Cable tester </t>
  </si>
  <si>
    <t>Access Point</t>
  </si>
  <si>
    <t>Ups for switches</t>
  </si>
  <si>
    <t>Cable ties set</t>
  </si>
  <si>
    <t>RJ45 Box</t>
  </si>
  <si>
    <t>Clips Set</t>
  </si>
  <si>
    <t>Patrice Boxes</t>
  </si>
  <si>
    <t>Patch Cable 1m</t>
  </si>
  <si>
    <t>Patch Cable 3m</t>
  </si>
  <si>
    <t>Cable organizer</t>
  </si>
  <si>
    <t>Computer Repair Tool Kit</t>
  </si>
  <si>
    <t>38 in 1 electron screw driver set</t>
  </si>
  <si>
    <t>Flash Disk 16Gb</t>
  </si>
  <si>
    <t>UPS 1.5KvA</t>
  </si>
  <si>
    <t>Smart UPS 3KVA</t>
  </si>
  <si>
    <t>Linux System Setup &amp; Virtualization (Proxmox / Docker)</t>
  </si>
  <si>
    <t>Network &amp; Security Setup (VPN, Firewall, SSL Certificates)</t>
  </si>
  <si>
    <t>Backup Configuration (Konza or Off-site Integration)- Archival, backup, and DR hosting</t>
  </si>
  <si>
    <t>Cable 2.5mm sq.m (E.A)  (Roll)</t>
  </si>
  <si>
    <t>Cable 1.5mm sq.m (E.A)  (Roll)</t>
  </si>
  <si>
    <t>13A Socket  crab Tree single (Pcs)</t>
  </si>
  <si>
    <t>Top Plug 13Amps (Pcs)</t>
  </si>
  <si>
    <t>Shallow patress Box (Pcs)</t>
  </si>
  <si>
    <t>Insulating tape Globe red (Pcs)</t>
  </si>
  <si>
    <t>30Amps AVS sollateck (Pcs)</t>
  </si>
  <si>
    <t>Electric kettle</t>
  </si>
  <si>
    <t>Water dispenser (Hot &amp; Cold)</t>
  </si>
  <si>
    <t xml:space="preserve"> Office desk 1.5m</t>
  </si>
  <si>
    <t xml:space="preserve">Office chairs medium, Fabric-black </t>
  </si>
  <si>
    <t>locker Steel cabinet</t>
  </si>
  <si>
    <t>Coffee table</t>
  </si>
  <si>
    <t>Mesh Office Chairs</t>
  </si>
  <si>
    <t>Visitors Chairs</t>
  </si>
  <si>
    <t>4 way workstation</t>
  </si>
  <si>
    <t>Office Point magnetic white board 8*4ft</t>
  </si>
  <si>
    <t>CentOS / Rocky Linux Server (Base OS)</t>
  </si>
  <si>
    <t>VPN (Virtual Private Network)</t>
  </si>
  <si>
    <t>SFTP (Secure File Transfer Protocol)</t>
  </si>
  <si>
    <t>RBAC (Role-Based Access Control)</t>
  </si>
  <si>
    <t>Audit Logging &amp; Monitoring</t>
  </si>
  <si>
    <t>Encryption Tools</t>
  </si>
  <si>
    <t>Industrial gloves</t>
  </si>
  <si>
    <t>Bar soap 1kg</t>
  </si>
  <si>
    <t>Dustbins</t>
  </si>
  <si>
    <t>Papertowels</t>
  </si>
  <si>
    <t>Printing and duplication</t>
  </si>
  <si>
    <t xml:space="preserve">Expert Modeling </t>
  </si>
  <si>
    <t>Data Science &amp; ML 6-Month Bootcamp (per person)</t>
  </si>
  <si>
    <t>Server intalling and nonfigurations consultations</t>
  </si>
  <si>
    <t>Consultations</t>
  </si>
  <si>
    <t>Operations</t>
  </si>
  <si>
    <t>GOK</t>
  </si>
  <si>
    <t>2. Data Collection, Analysis and Research Support Services</t>
  </si>
  <si>
    <t xml:space="preserve">MacBook Air M3 13" (16GB RAM/512GB SSD) </t>
  </si>
  <si>
    <t>0 critical vulnerabilities; 4 Reports</t>
  </si>
  <si>
    <t>3 policies</t>
  </si>
  <si>
    <t>ISREC approval letters; final protocols</t>
  </si>
  <si>
    <t>Section functions</t>
  </si>
  <si>
    <t>(iii) Support in the design, development, and reporting of research studies</t>
  </si>
  <si>
    <t>(iv) Undertake data safeguarding and management of databases, softwares and workflows</t>
  </si>
  <si>
    <t>(vii) Establish the ecological, epidemiological and natural history of a disease.</t>
  </si>
  <si>
    <t>(viii) Design, monitor and assess disease control programmes.</t>
  </si>
  <si>
    <t>(x) Identify valuable data sources and automate collection processes.</t>
  </si>
  <si>
    <t>(xii) Assist scientists by providing effective analysis and feedback on all bioinformatics</t>
  </si>
  <si>
    <t>(xvi) Build predictive models and machine-learning algorithms.</t>
  </si>
  <si>
    <t>(xvii) Undertake model combinations through ensemble modeling.</t>
  </si>
  <si>
    <t>(xviii) Analyze large amounts of information to discover disease trends and patterns</t>
  </si>
  <si>
    <t>(xix) Conduct capacity building and mentorships in biostatistics and modeling.</t>
  </si>
  <si>
    <t>(xx) Disseminate scientific findings through publications, conferences, seminars and workshops</t>
  </si>
  <si>
    <t>(i) Assist in formulation, implementation and review of policies, strategies and guidelines on data analytics</t>
  </si>
  <si>
    <t>(ii) Collect, analyze and interpret biological and health science data across multiple research entities in the institute.</t>
  </si>
  <si>
    <t>(v) Provide monitoring and evaluation services to all research projects undertaken within the institution.</t>
  </si>
  <si>
    <t>(vi) Collect, analyze and interpret biological and health science data across multiple research entities in the institute.</t>
  </si>
  <si>
    <t>(ix) Evaluate the effects of a disease, and analysis of the costs and economic benefits of alternative control programmes.</t>
  </si>
  <si>
    <t>(xi) Perform research and analysis on all algorithms and coordinate with various teams and provide support to various research programs</t>
  </si>
  <si>
    <t>(xiii) Provide training to community and analyze various genome sequencing projects for various research projects</t>
  </si>
  <si>
    <t>(xiv) Manage all genomic and proteomic data and maintain knowledge on all scientific literature and prepare appropriate reports</t>
  </si>
  <si>
    <t>(xv) Design various new computational tools for bioinformatics and assemble and prepare data structures and determine an effective data analysis framework.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</si>
</sst>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&quot;Ksh&quot;#,##0.00"/>
  </numFmts>
  <fonts count="18">
    <font>
      <sz val="11"/>
      <color theme="1"/>
      <name val="Aptos Narrow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sz val="10"/>
      <color rgb="FF000000"/>
      <name val="Tahoma"/>
      <family val="2"/>
    </font>
    <font>
      <sz val="11"/>
      <color rgb="FF006100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charset val="1"/>
      <scheme val="minor"/>
    </font>
    <font>
      <sz val="10"/>
      <color rgb="FF0A0A0A"/>
      <name val="Arial"/>
      <family val="2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65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  <font>
      <sz val="11"/>
      <color rgb="FFFF0000"/>
      <name val="Aptos Narrow"/>
      <charset val="1"/>
      <scheme val="minor"/>
    </font>
    <font>
      <sz val="11"/>
      <color theme="1"/>
      <name val="Aptos Narrow"/>
      <charset val="1"/>
      <scheme val="minor"/>
    </font>
    <font>
      <sz val="11"/>
      <color theme="1"/>
      <name val="Aptos Display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6" fillId="8" borderId="0" applyNumberFormat="0" applyBorder="0" applyAlignment="0" applyProtection="0"/>
    <xf numFmtId="43" fontId="10" fillId="0" borderId="0" applyFont="0" applyFill="0" applyBorder="0" applyAlignment="0" applyProtection="0"/>
    <xf numFmtId="0" fontId="11" fillId="9" borderId="0" applyNumberFormat="0" applyBorder="0" applyAlignment="0" applyProtection="0"/>
    <xf numFmtId="0" fontId="12" fillId="10" borderId="0" applyNumberFormat="0" applyBorder="0" applyAlignment="0" applyProtection="0"/>
    <xf numFmtId="0" fontId="13" fillId="11" borderId="6" applyNumberFormat="0" applyAlignment="0" applyProtection="0"/>
    <xf numFmtId="0" fontId="14" fillId="12" borderId="0" applyNumberFormat="0" applyBorder="0" applyAlignment="0" applyProtection="0"/>
  </cellStyleXfs>
  <cellXfs count="77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5" fillId="7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vertical="center" wrapText="1"/>
    </xf>
    <xf numFmtId="0" fontId="6" fillId="8" borderId="1" xfId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3" fontId="0" fillId="0" borderId="0" xfId="0" applyNumberFormat="1"/>
    <xf numFmtId="0" fontId="8" fillId="0" borderId="0" xfId="0" applyFont="1"/>
    <xf numFmtId="3" fontId="2" fillId="0" borderId="1" xfId="0" applyNumberFormat="1" applyFont="1" applyBorder="1" applyAlignment="1">
      <alignment vertical="top"/>
    </xf>
    <xf numFmtId="0" fontId="0" fillId="0" borderId="0" xfId="0" applyAlignment="1">
      <alignment wrapText="1"/>
    </xf>
    <xf numFmtId="0" fontId="16" fillId="0" borderId="5" xfId="0" applyFont="1" applyBorder="1" applyAlignment="1">
      <alignment horizontal="left" vertical="top" wrapText="1"/>
    </xf>
    <xf numFmtId="0" fontId="17" fillId="0" borderId="0" xfId="0" applyFont="1" applyBorder="1"/>
    <xf numFmtId="3" fontId="0" fillId="0" borderId="5" xfId="0" applyNumberFormat="1" applyBorder="1" applyAlignment="1">
      <alignment horizontal="right" vertical="top" wrapText="1"/>
    </xf>
    <xf numFmtId="0" fontId="16" fillId="0" borderId="0" xfId="0" applyFont="1"/>
    <xf numFmtId="0" fontId="8" fillId="0" borderId="0" xfId="0" applyFont="1" applyAlignment="1"/>
    <xf numFmtId="0" fontId="0" fillId="0" borderId="0" xfId="0" applyAlignment="1"/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5" xfId="0" applyFont="1" applyBorder="1"/>
    <xf numFmtId="0" fontId="0" fillId="0" borderId="5" xfId="0" applyFill="1" applyBorder="1" applyAlignment="1">
      <alignment horizontal="left" vertical="top" wrapText="1"/>
    </xf>
    <xf numFmtId="0" fontId="17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3" fontId="0" fillId="0" borderId="5" xfId="0" applyNumberFormat="1" applyBorder="1" applyAlignment="1">
      <alignment vertical="top" wrapText="1"/>
    </xf>
    <xf numFmtId="43" fontId="17" fillId="0" borderId="0" xfId="2" applyFont="1" applyFill="1" applyBorder="1" applyAlignment="1"/>
    <xf numFmtId="43" fontId="17" fillId="0" borderId="5" xfId="2" applyFont="1" applyBorder="1" applyAlignment="1"/>
    <xf numFmtId="0" fontId="0" fillId="0" borderId="5" xfId="0" applyBorder="1" applyAlignment="1"/>
    <xf numFmtId="43" fontId="17" fillId="0" borderId="5" xfId="2" applyFont="1" applyFill="1" applyBorder="1" applyAlignment="1"/>
    <xf numFmtId="0" fontId="8" fillId="0" borderId="0" xfId="0" applyFont="1" applyAlignment="1">
      <alignment horizontal="right"/>
    </xf>
    <xf numFmtId="3" fontId="0" fillId="0" borderId="0" xfId="0" applyNumberFormat="1" applyFill="1" applyBorder="1" applyAlignment="1">
      <alignment horizontal="right" vertical="top" wrapText="1"/>
    </xf>
    <xf numFmtId="0" fontId="0" fillId="0" borderId="0" xfId="0" applyAlignment="1">
      <alignment horizontal="right"/>
    </xf>
    <xf numFmtId="164" fontId="2" fillId="0" borderId="0" xfId="0" applyNumberFormat="1" applyFont="1" applyAlignment="1">
      <alignment vertical="top"/>
    </xf>
    <xf numFmtId="164" fontId="3" fillId="2" borderId="1" xfId="0" applyNumberFormat="1" applyFont="1" applyFill="1" applyBorder="1" applyAlignment="1">
      <alignment horizontal="left" vertical="top" wrapText="1"/>
    </xf>
    <xf numFmtId="164" fontId="5" fillId="0" borderId="1" xfId="0" applyNumberFormat="1" applyFont="1" applyBorder="1" applyAlignment="1">
      <alignment vertical="top" wrapText="1"/>
    </xf>
    <xf numFmtId="164" fontId="6" fillId="8" borderId="1" xfId="1" applyNumberFormat="1" applyBorder="1" applyAlignment="1">
      <alignment horizontal="left" vertical="top" wrapText="1"/>
    </xf>
    <xf numFmtId="164" fontId="12" fillId="10" borderId="1" xfId="4" applyNumberFormat="1" applyBorder="1" applyAlignment="1">
      <alignment vertical="top" wrapText="1"/>
    </xf>
    <xf numFmtId="164" fontId="13" fillId="11" borderId="6" xfId="5" applyNumberFormat="1" applyAlignment="1">
      <alignment vertical="top" wrapText="1"/>
    </xf>
    <xf numFmtId="164" fontId="11" fillId="9" borderId="1" xfId="3" applyNumberFormat="1" applyBorder="1" applyAlignment="1">
      <alignment vertical="top" wrapText="1"/>
    </xf>
    <xf numFmtId="164" fontId="14" fillId="12" borderId="1" xfId="6" applyNumberFormat="1" applyBorder="1" applyAlignment="1">
      <alignment vertical="top" wrapText="1"/>
    </xf>
    <xf numFmtId="0" fontId="6" fillId="8" borderId="1" xfId="1" applyBorder="1" applyAlignment="1">
      <alignment vertical="top" wrapText="1"/>
    </xf>
    <xf numFmtId="0" fontId="12" fillId="10" borderId="1" xfId="4" applyBorder="1" applyAlignment="1">
      <alignment vertical="top" wrapText="1"/>
    </xf>
    <xf numFmtId="0" fontId="12" fillId="10" borderId="1" xfId="4" applyBorder="1" applyAlignment="1">
      <alignment horizontal="left" vertical="top" wrapText="1"/>
    </xf>
    <xf numFmtId="0" fontId="0" fillId="13" borderId="0" xfId="0" applyFill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7">
    <cellStyle name="60% - Accent4" xfId="6" builtinId="44"/>
    <cellStyle name="Bad" xfId="3" builtinId="27"/>
    <cellStyle name="Comma" xfId="2" builtinId="3"/>
    <cellStyle name="Good" xfId="1" builtinId="26"/>
    <cellStyle name="Input" xfId="5" builtinId="20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31"/>
  <sheetViews>
    <sheetView topLeftCell="A15" zoomScale="58" zoomScaleNormal="58" workbookViewId="0">
      <selection activeCell="AB32" sqref="AB32"/>
    </sheetView>
  </sheetViews>
  <sheetFormatPr defaultColWidth="9.19921875" defaultRowHeight="13.2"/>
  <cols>
    <col min="1" max="1" width="9.19921875" style="8"/>
    <col min="2" max="2" width="9.19921875" style="14"/>
    <col min="3" max="3" width="9.19921875" style="8"/>
    <col min="4" max="6" width="16.5" style="17" customWidth="1"/>
    <col min="7" max="7" width="20" style="18" customWidth="1"/>
    <col min="8" max="9" width="19.796875" style="8" customWidth="1"/>
    <col min="10" max="10" width="14.09765625" style="8" bestFit="1" customWidth="1"/>
    <col min="11" max="11" width="40.59765625" style="8" bestFit="1" customWidth="1"/>
    <col min="12" max="12" width="9.09765625" style="8" bestFit="1" customWidth="1"/>
    <col min="13" max="22" width="9.19921875" style="8"/>
    <col min="23" max="23" width="9.09765625" style="8" bestFit="1" customWidth="1"/>
    <col min="24" max="24" width="16.5" style="47" bestFit="1" customWidth="1"/>
    <col min="25" max="26" width="9.19921875" style="8"/>
    <col min="27" max="27" width="13.296875" style="8" customWidth="1"/>
    <col min="28" max="28" width="14.19921875" style="8" bestFit="1" customWidth="1"/>
    <col min="29" max="16384" width="9.19921875" style="8"/>
  </cols>
  <sheetData>
    <row r="1" spans="2:28" ht="13.8" thickBot="1"/>
    <row r="2" spans="2:28" ht="13.8" thickBot="1">
      <c r="B2" s="66" t="s">
        <v>19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15"/>
    </row>
    <row r="3" spans="2:28" ht="13.8" thickBot="1">
      <c r="B3" s="71"/>
      <c r="C3" s="72" t="s">
        <v>20</v>
      </c>
      <c r="D3" s="73" t="s">
        <v>0</v>
      </c>
      <c r="E3" s="74" t="s">
        <v>21</v>
      </c>
      <c r="F3" s="5" t="s">
        <v>1</v>
      </c>
      <c r="G3" s="73" t="s">
        <v>22</v>
      </c>
      <c r="H3" s="75" t="s">
        <v>5</v>
      </c>
      <c r="I3" s="70" t="s">
        <v>23</v>
      </c>
      <c r="J3" s="75" t="s">
        <v>24</v>
      </c>
      <c r="K3" s="75" t="s">
        <v>25</v>
      </c>
      <c r="L3" s="76" t="s">
        <v>26</v>
      </c>
      <c r="M3" s="76"/>
      <c r="N3" s="76"/>
      <c r="O3" s="76" t="s">
        <v>27</v>
      </c>
      <c r="P3" s="76"/>
      <c r="Q3" s="76"/>
      <c r="R3" s="76" t="s">
        <v>28</v>
      </c>
      <c r="S3" s="76"/>
      <c r="T3" s="76"/>
      <c r="U3" s="76" t="s">
        <v>29</v>
      </c>
      <c r="V3" s="76"/>
      <c r="W3" s="76"/>
      <c r="X3" s="48" t="s">
        <v>30</v>
      </c>
      <c r="Y3" s="75" t="s">
        <v>31</v>
      </c>
      <c r="Z3" s="75"/>
      <c r="AA3" s="70" t="s">
        <v>32</v>
      </c>
    </row>
    <row r="4" spans="2:28" ht="15" customHeight="1" thickBot="1">
      <c r="B4" s="71"/>
      <c r="C4" s="72"/>
      <c r="D4" s="73"/>
      <c r="E4" s="74"/>
      <c r="F4" s="5"/>
      <c r="G4" s="73"/>
      <c r="H4" s="75"/>
      <c r="I4" s="70"/>
      <c r="J4" s="75"/>
      <c r="K4" s="75"/>
      <c r="L4" s="4" t="s">
        <v>33</v>
      </c>
      <c r="M4" s="4" t="s">
        <v>34</v>
      </c>
      <c r="N4" s="4" t="s">
        <v>35</v>
      </c>
      <c r="O4" s="4" t="s">
        <v>36</v>
      </c>
      <c r="P4" s="4" t="s">
        <v>37</v>
      </c>
      <c r="Q4" s="4" t="s">
        <v>38</v>
      </c>
      <c r="R4" s="4" t="s">
        <v>39</v>
      </c>
      <c r="S4" s="4" t="s">
        <v>40</v>
      </c>
      <c r="T4" s="4" t="s">
        <v>41</v>
      </c>
      <c r="U4" s="4" t="s">
        <v>42</v>
      </c>
      <c r="V4" s="4" t="s">
        <v>43</v>
      </c>
      <c r="W4" s="4" t="s">
        <v>44</v>
      </c>
      <c r="X4" s="48" t="s">
        <v>45</v>
      </c>
      <c r="Y4" s="6" t="s">
        <v>46</v>
      </c>
      <c r="Z4" s="6" t="s">
        <v>47</v>
      </c>
      <c r="AA4" s="70"/>
    </row>
    <row r="5" spans="2:28" s="14" customFormat="1" ht="13.8" thickBot="1">
      <c r="B5" s="65" t="s">
        <v>48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1"/>
    </row>
    <row r="6" spans="2:28" s="14" customFormat="1" ht="13.8" thickBot="1">
      <c r="B6" s="65" t="s">
        <v>49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1"/>
    </row>
    <row r="7" spans="2:28" s="14" customFormat="1" ht="13.8" thickBot="1">
      <c r="B7" s="66">
        <v>4</v>
      </c>
      <c r="C7" s="67" t="s">
        <v>50</v>
      </c>
      <c r="D7" s="2"/>
      <c r="E7" s="2"/>
      <c r="F7" s="2"/>
      <c r="G7" s="3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49"/>
      <c r="Y7" s="11"/>
      <c r="Z7" s="11"/>
      <c r="AA7" s="15"/>
    </row>
    <row r="8" spans="2:28" s="14" customFormat="1" ht="13.8" thickBot="1">
      <c r="B8" s="66"/>
      <c r="C8" s="67"/>
      <c r="D8" s="68" t="s">
        <v>51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15"/>
    </row>
    <row r="9" spans="2:28" ht="13.8" thickBot="1">
      <c r="B9" s="66"/>
      <c r="C9" s="67"/>
      <c r="D9" s="64" t="s">
        <v>52</v>
      </c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15"/>
    </row>
    <row r="10" spans="2:28" ht="66.599999999999994" thickBot="1">
      <c r="B10" s="66"/>
      <c r="C10" s="67"/>
      <c r="D10" s="59" t="s">
        <v>6</v>
      </c>
      <c r="E10" s="7" t="s">
        <v>53</v>
      </c>
      <c r="F10" s="60" t="s">
        <v>7</v>
      </c>
      <c r="G10" s="69" t="s">
        <v>8</v>
      </c>
      <c r="H10" s="12" t="s">
        <v>9</v>
      </c>
      <c r="I10" s="12" t="s">
        <v>81</v>
      </c>
      <c r="J10" s="12" t="s">
        <v>286</v>
      </c>
      <c r="K10" s="12" t="s">
        <v>86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0">
        <v>1000000</v>
      </c>
      <c r="Y10" s="16" t="s">
        <v>78</v>
      </c>
      <c r="Z10" s="16" t="s">
        <v>79</v>
      </c>
      <c r="AA10" s="25" t="s">
        <v>282</v>
      </c>
    </row>
    <row r="11" spans="2:28" ht="66.599999999999994" thickBot="1">
      <c r="B11" s="66"/>
      <c r="C11" s="67"/>
      <c r="D11" s="59"/>
      <c r="E11" s="7" t="s">
        <v>54</v>
      </c>
      <c r="F11" s="60"/>
      <c r="G11" s="69"/>
      <c r="H11" s="12" t="s">
        <v>74</v>
      </c>
      <c r="I11" s="12" t="s">
        <v>82</v>
      </c>
      <c r="J11" s="12" t="s">
        <v>80</v>
      </c>
      <c r="K11" s="12" t="s">
        <v>87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0">
        <v>4000000</v>
      </c>
      <c r="Y11" s="16" t="s">
        <v>78</v>
      </c>
      <c r="Z11" s="16" t="s">
        <v>79</v>
      </c>
      <c r="AA11" s="25" t="s">
        <v>282</v>
      </c>
    </row>
    <row r="12" spans="2:28" ht="66.599999999999994" thickBot="1">
      <c r="B12" s="66"/>
      <c r="C12" s="67"/>
      <c r="D12" s="59"/>
      <c r="E12" s="7" t="s">
        <v>55</v>
      </c>
      <c r="F12" s="60"/>
      <c r="G12" s="69"/>
      <c r="H12" s="12" t="s">
        <v>75</v>
      </c>
      <c r="I12" s="12" t="s">
        <v>161</v>
      </c>
      <c r="J12" s="12" t="s">
        <v>83</v>
      </c>
      <c r="K12" s="10" t="s">
        <v>88</v>
      </c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0">
        <v>800000</v>
      </c>
      <c r="Y12" s="16" t="s">
        <v>78</v>
      </c>
      <c r="Z12" s="16" t="s">
        <v>84</v>
      </c>
      <c r="AA12" s="25" t="s">
        <v>282</v>
      </c>
    </row>
    <row r="13" spans="2:28" ht="66.599999999999994" thickBot="1">
      <c r="B13" s="66"/>
      <c r="C13" s="67"/>
      <c r="D13" s="59"/>
      <c r="E13" s="7" t="s">
        <v>56</v>
      </c>
      <c r="F13" s="60"/>
      <c r="G13" s="69"/>
      <c r="H13" s="12" t="s">
        <v>76</v>
      </c>
      <c r="I13" s="12" t="s">
        <v>156</v>
      </c>
      <c r="J13" s="12" t="s">
        <v>285</v>
      </c>
      <c r="K13" s="9" t="s">
        <v>89</v>
      </c>
      <c r="L13" s="12"/>
      <c r="M13" s="16"/>
      <c r="N13" s="20">
        <v>1</v>
      </c>
      <c r="O13" s="16"/>
      <c r="P13" s="16"/>
      <c r="Q13" s="20">
        <v>1</v>
      </c>
      <c r="R13" s="16"/>
      <c r="S13" s="16"/>
      <c r="T13" s="20">
        <v>1</v>
      </c>
      <c r="U13" s="16"/>
      <c r="V13" s="16"/>
      <c r="W13" s="20">
        <v>1</v>
      </c>
      <c r="X13" s="50">
        <v>1100000</v>
      </c>
      <c r="Y13" s="16" t="s">
        <v>78</v>
      </c>
      <c r="Z13" s="16" t="s">
        <v>84</v>
      </c>
      <c r="AA13" s="25" t="s">
        <v>282</v>
      </c>
    </row>
    <row r="14" spans="2:28" ht="40.200000000000003" thickBot="1">
      <c r="B14" s="66"/>
      <c r="C14" s="67"/>
      <c r="D14" s="59"/>
      <c r="E14" s="7" t="s">
        <v>57</v>
      </c>
      <c r="F14" s="60"/>
      <c r="G14" s="69"/>
      <c r="H14" s="12" t="s">
        <v>77</v>
      </c>
      <c r="I14" s="12" t="s">
        <v>157</v>
      </c>
      <c r="J14" s="12" t="s">
        <v>85</v>
      </c>
      <c r="K14" s="12" t="s">
        <v>90</v>
      </c>
      <c r="L14" s="16"/>
      <c r="M14" s="16"/>
      <c r="N14" s="16"/>
      <c r="O14" s="20">
        <v>1</v>
      </c>
      <c r="P14" s="16"/>
      <c r="Q14"/>
      <c r="R14" s="16"/>
      <c r="S14" s="20">
        <v>1</v>
      </c>
      <c r="T14" s="16"/>
      <c r="U14" s="16"/>
      <c r="V14" s="16"/>
      <c r="W14" s="16"/>
      <c r="X14" s="50">
        <v>4000000</v>
      </c>
      <c r="Y14" s="16" t="s">
        <v>78</v>
      </c>
      <c r="Z14" s="16" t="s">
        <v>84</v>
      </c>
      <c r="AA14" s="25" t="s">
        <v>282</v>
      </c>
      <c r="AB14" s="47">
        <f>SUM(X10:X14)</f>
        <v>10900000</v>
      </c>
    </row>
    <row r="15" spans="2:28" ht="66.599999999999994" thickBot="1">
      <c r="B15" s="66"/>
      <c r="C15" s="67"/>
      <c r="D15" s="59" t="s">
        <v>283</v>
      </c>
      <c r="E15" s="7" t="s">
        <v>58</v>
      </c>
      <c r="F15" s="60" t="s">
        <v>2</v>
      </c>
      <c r="G15" s="69" t="s">
        <v>10</v>
      </c>
      <c r="H15" s="12" t="s">
        <v>91</v>
      </c>
      <c r="I15" s="12" t="s">
        <v>92</v>
      </c>
      <c r="J15" s="12" t="s">
        <v>93</v>
      </c>
      <c r="K15" s="12" t="s">
        <v>94</v>
      </c>
      <c r="L15" s="11"/>
      <c r="M15" s="11"/>
      <c r="N15" s="11">
        <v>4</v>
      </c>
      <c r="O15" s="11"/>
      <c r="P15" s="11"/>
      <c r="Q15" s="11">
        <v>4</v>
      </c>
      <c r="R15" s="11"/>
      <c r="S15" s="11"/>
      <c r="T15" s="11">
        <v>5</v>
      </c>
      <c r="U15" s="11"/>
      <c r="V15" s="11"/>
      <c r="W15" s="11">
        <v>4</v>
      </c>
      <c r="X15" s="51">
        <v>750000</v>
      </c>
      <c r="Y15" s="11" t="s">
        <v>78</v>
      </c>
      <c r="Z15" s="11" t="s">
        <v>79</v>
      </c>
      <c r="AA15" s="25" t="s">
        <v>282</v>
      </c>
    </row>
    <row r="16" spans="2:28" ht="66.599999999999994" thickBot="1">
      <c r="B16" s="66"/>
      <c r="C16" s="67"/>
      <c r="D16" s="59"/>
      <c r="E16" s="7" t="s">
        <v>59</v>
      </c>
      <c r="F16" s="60"/>
      <c r="G16" s="69"/>
      <c r="H16" s="12" t="s">
        <v>95</v>
      </c>
      <c r="I16" s="12" t="s">
        <v>96</v>
      </c>
      <c r="J16" s="12" t="s">
        <v>97</v>
      </c>
      <c r="K16" s="12" t="s">
        <v>98</v>
      </c>
      <c r="L16" s="11"/>
      <c r="M16" s="11"/>
      <c r="N16" s="11"/>
      <c r="O16" s="55">
        <v>4</v>
      </c>
      <c r="P16" s="11"/>
      <c r="Q16" s="11"/>
      <c r="R16" s="11"/>
      <c r="S16" s="11"/>
      <c r="T16" s="55">
        <v>4</v>
      </c>
      <c r="U16" s="11"/>
      <c r="V16" s="11"/>
      <c r="W16" s="55">
        <v>4</v>
      </c>
      <c r="X16" s="51">
        <v>250000</v>
      </c>
      <c r="Y16" s="11" t="s">
        <v>78</v>
      </c>
      <c r="Z16" s="11" t="s">
        <v>79</v>
      </c>
      <c r="AA16" s="25" t="s">
        <v>282</v>
      </c>
    </row>
    <row r="17" spans="2:28" ht="53.4" thickBot="1">
      <c r="B17" s="66"/>
      <c r="C17" s="67"/>
      <c r="D17" s="59"/>
      <c r="E17" s="7" t="s">
        <v>60</v>
      </c>
      <c r="F17" s="60"/>
      <c r="G17" s="69"/>
      <c r="H17" s="12" t="s">
        <v>99</v>
      </c>
      <c r="I17" s="12" t="s">
        <v>100</v>
      </c>
      <c r="J17" s="12" t="s">
        <v>101</v>
      </c>
      <c r="K17" s="12" t="s">
        <v>287</v>
      </c>
      <c r="L17" s="11"/>
      <c r="M17" s="11"/>
      <c r="N17" s="55">
        <v>4</v>
      </c>
      <c r="O17" s="11"/>
      <c r="P17" s="11"/>
      <c r="Q17" s="11">
        <v>4</v>
      </c>
      <c r="R17" s="11"/>
      <c r="S17" s="11"/>
      <c r="T17" s="11">
        <v>4</v>
      </c>
      <c r="U17" s="11"/>
      <c r="V17" s="11"/>
      <c r="W17" s="11">
        <v>4</v>
      </c>
      <c r="X17" s="51">
        <v>400000</v>
      </c>
      <c r="Y17" s="11" t="s">
        <v>78</v>
      </c>
      <c r="Z17" s="11" t="s">
        <v>79</v>
      </c>
      <c r="AA17" s="25" t="s">
        <v>282</v>
      </c>
    </row>
    <row r="18" spans="2:28" ht="66.599999999999994" thickBot="1">
      <c r="B18" s="66"/>
      <c r="C18" s="67"/>
      <c r="D18" s="59"/>
      <c r="E18" s="7" t="s">
        <v>61</v>
      </c>
      <c r="F18" s="60"/>
      <c r="G18" s="69"/>
      <c r="H18" s="12" t="s">
        <v>102</v>
      </c>
      <c r="I18" s="12" t="s">
        <v>103</v>
      </c>
      <c r="J18" s="12" t="s">
        <v>104</v>
      </c>
      <c r="K18" s="12" t="s">
        <v>105</v>
      </c>
      <c r="L18" s="11"/>
      <c r="M18" s="11"/>
      <c r="N18" s="55">
        <v>7</v>
      </c>
      <c r="O18" s="56" t="s">
        <v>106</v>
      </c>
      <c r="P18" s="11"/>
      <c r="Q18" s="55">
        <v>10</v>
      </c>
      <c r="R18" s="56" t="s">
        <v>107</v>
      </c>
      <c r="S18" s="11"/>
      <c r="T18" s="55">
        <v>10</v>
      </c>
      <c r="U18" s="11"/>
      <c r="V18" s="56" t="s">
        <v>106</v>
      </c>
      <c r="W18" s="55">
        <v>3</v>
      </c>
      <c r="X18" s="51">
        <v>500000</v>
      </c>
      <c r="Y18" s="11" t="s">
        <v>78</v>
      </c>
      <c r="Z18" s="11" t="s">
        <v>79</v>
      </c>
      <c r="AA18" s="25" t="s">
        <v>282</v>
      </c>
      <c r="AB18" s="47">
        <f>SUM(X15:X18)</f>
        <v>1900000</v>
      </c>
    </row>
    <row r="19" spans="2:28" ht="87.45" customHeight="1" thickBot="1">
      <c r="B19" s="66"/>
      <c r="C19" s="67"/>
      <c r="D19" s="59" t="s">
        <v>11</v>
      </c>
      <c r="E19" s="7" t="s">
        <v>62</v>
      </c>
      <c r="F19" s="60" t="s">
        <v>12</v>
      </c>
      <c r="G19" s="61" t="s">
        <v>3</v>
      </c>
      <c r="H19" s="12" t="s">
        <v>108</v>
      </c>
      <c r="I19" s="12" t="s">
        <v>109</v>
      </c>
      <c r="J19" s="12" t="s">
        <v>110</v>
      </c>
      <c r="K19" s="12" t="s">
        <v>111</v>
      </c>
      <c r="L19" s="11"/>
      <c r="M19" s="55">
        <v>1</v>
      </c>
      <c r="N19" s="11"/>
      <c r="O19" s="11"/>
      <c r="P19" s="55">
        <v>1</v>
      </c>
      <c r="Q19" s="11"/>
      <c r="R19" s="11"/>
      <c r="S19" s="55">
        <v>1</v>
      </c>
      <c r="T19" s="11"/>
      <c r="U19" s="11"/>
      <c r="V19" s="11"/>
      <c r="W19" s="55">
        <v>1</v>
      </c>
      <c r="X19" s="54">
        <v>1000000</v>
      </c>
      <c r="Y19" s="11" t="s">
        <v>78</v>
      </c>
      <c r="Z19" s="11" t="s">
        <v>79</v>
      </c>
      <c r="AA19" s="25" t="s">
        <v>282</v>
      </c>
    </row>
    <row r="20" spans="2:28" ht="53.4" thickBot="1">
      <c r="B20" s="66"/>
      <c r="C20" s="67"/>
      <c r="D20" s="59"/>
      <c r="E20" s="7" t="s">
        <v>63</v>
      </c>
      <c r="F20" s="60"/>
      <c r="G20" s="62"/>
      <c r="H20" s="12" t="s">
        <v>112</v>
      </c>
      <c r="I20" s="12" t="s">
        <v>113</v>
      </c>
      <c r="J20" s="12" t="s">
        <v>114</v>
      </c>
      <c r="K20" s="12" t="s">
        <v>115</v>
      </c>
      <c r="L20" s="11"/>
      <c r="M20" s="11"/>
      <c r="N20" s="11"/>
      <c r="O20" s="55">
        <v>4</v>
      </c>
      <c r="P20" s="11"/>
      <c r="Q20" s="11"/>
      <c r="R20" s="55">
        <v>4</v>
      </c>
      <c r="S20" s="11"/>
      <c r="T20" s="11"/>
      <c r="U20" s="11"/>
      <c r="V20" s="55">
        <v>4</v>
      </c>
      <c r="W20" s="11"/>
      <c r="X20" s="54">
        <v>800000</v>
      </c>
      <c r="Y20" s="11" t="s">
        <v>78</v>
      </c>
      <c r="Z20" s="11" t="s">
        <v>79</v>
      </c>
      <c r="AA20" s="25" t="s">
        <v>282</v>
      </c>
    </row>
    <row r="21" spans="2:28" ht="79.8" thickBot="1">
      <c r="B21" s="66"/>
      <c r="C21" s="67"/>
      <c r="D21" s="59"/>
      <c r="E21" s="7" t="s">
        <v>64</v>
      </c>
      <c r="F21" s="60"/>
      <c r="G21" s="62"/>
      <c r="H21" s="12" t="s">
        <v>116</v>
      </c>
      <c r="I21" s="12" t="s">
        <v>117</v>
      </c>
      <c r="J21" s="12" t="s">
        <v>118</v>
      </c>
      <c r="K21" s="12" t="s">
        <v>119</v>
      </c>
      <c r="L21" s="11"/>
      <c r="M21" s="11"/>
      <c r="N21" s="11"/>
      <c r="O21" s="11"/>
      <c r="P21" s="11"/>
      <c r="Q21" s="55">
        <v>1</v>
      </c>
      <c r="R21" s="11"/>
      <c r="S21" s="11"/>
      <c r="T21" s="11"/>
      <c r="U21" s="11"/>
      <c r="V21" s="55">
        <v>1</v>
      </c>
      <c r="W21" s="11"/>
      <c r="X21" s="54">
        <v>1000000</v>
      </c>
      <c r="Y21" s="11" t="s">
        <v>78</v>
      </c>
      <c r="Z21" s="11" t="s">
        <v>79</v>
      </c>
      <c r="AA21" s="25" t="s">
        <v>282</v>
      </c>
    </row>
    <row r="22" spans="2:28" ht="53.4" thickBot="1">
      <c r="B22" s="66"/>
      <c r="C22" s="67"/>
      <c r="D22" s="59"/>
      <c r="E22" s="7" t="s">
        <v>65</v>
      </c>
      <c r="F22" s="60"/>
      <c r="G22" s="63"/>
      <c r="H22" s="12" t="s">
        <v>120</v>
      </c>
      <c r="I22" s="12" t="s">
        <v>121</v>
      </c>
      <c r="J22" s="12" t="s">
        <v>122</v>
      </c>
      <c r="K22" s="12" t="s">
        <v>123</v>
      </c>
      <c r="L22" s="11"/>
      <c r="M22" s="11"/>
      <c r="N22" s="11"/>
      <c r="O22" s="11"/>
      <c r="P22" s="11"/>
      <c r="Q22" s="11">
        <v>1</v>
      </c>
      <c r="R22" s="11"/>
      <c r="S22" s="11"/>
      <c r="T22" s="11"/>
      <c r="U22" s="11"/>
      <c r="V22" s="11"/>
      <c r="W22" s="11">
        <v>1</v>
      </c>
      <c r="X22" s="54">
        <v>800000</v>
      </c>
      <c r="Y22" s="11" t="s">
        <v>78</v>
      </c>
      <c r="Z22" s="11" t="s">
        <v>79</v>
      </c>
      <c r="AA22" s="25" t="s">
        <v>282</v>
      </c>
      <c r="AB22" s="47">
        <f>SUM(X19:X22)</f>
        <v>3600000</v>
      </c>
    </row>
    <row r="23" spans="2:28" ht="79.8" thickBot="1">
      <c r="B23" s="66"/>
      <c r="C23" s="67"/>
      <c r="D23" s="59" t="s">
        <v>13</v>
      </c>
      <c r="E23" s="7" t="s">
        <v>66</v>
      </c>
      <c r="F23" s="60" t="s">
        <v>4</v>
      </c>
      <c r="G23" s="61" t="s">
        <v>14</v>
      </c>
      <c r="H23" s="12" t="s">
        <v>15</v>
      </c>
      <c r="I23" s="12" t="s">
        <v>124</v>
      </c>
      <c r="J23" s="12" t="s">
        <v>125</v>
      </c>
      <c r="K23" s="12" t="s">
        <v>126</v>
      </c>
      <c r="L23" s="11"/>
      <c r="M23" s="11"/>
      <c r="N23" s="55">
        <v>1</v>
      </c>
      <c r="O23" s="11"/>
      <c r="P23" s="11"/>
      <c r="Q23" s="55">
        <v>1</v>
      </c>
      <c r="R23" s="11"/>
      <c r="S23" s="11"/>
      <c r="T23" s="55">
        <v>1</v>
      </c>
      <c r="U23" s="11"/>
      <c r="V23" s="11"/>
      <c r="W23" s="55">
        <v>1</v>
      </c>
      <c r="X23" s="52">
        <v>300000</v>
      </c>
      <c r="Y23" s="11" t="s">
        <v>78</v>
      </c>
      <c r="Z23" s="11" t="s">
        <v>127</v>
      </c>
      <c r="AA23" s="25" t="s">
        <v>282</v>
      </c>
    </row>
    <row r="24" spans="2:28" ht="117.45" customHeight="1" thickBot="1">
      <c r="B24" s="66"/>
      <c r="C24" s="67"/>
      <c r="D24" s="59"/>
      <c r="E24" s="7" t="s">
        <v>67</v>
      </c>
      <c r="F24" s="60"/>
      <c r="G24" s="62"/>
      <c r="H24" s="12" t="s">
        <v>128</v>
      </c>
      <c r="I24" s="12" t="s">
        <v>129</v>
      </c>
      <c r="J24" s="12" t="s">
        <v>131</v>
      </c>
      <c r="K24" s="12" t="s">
        <v>130</v>
      </c>
      <c r="L24" s="11"/>
      <c r="M24" s="11"/>
      <c r="N24" s="11"/>
      <c r="O24" s="11"/>
      <c r="P24" s="11"/>
      <c r="Q24" s="11"/>
      <c r="R24" s="55">
        <v>1</v>
      </c>
      <c r="S24" s="11"/>
      <c r="T24" s="11"/>
      <c r="U24" s="11"/>
      <c r="V24" s="11"/>
      <c r="W24" s="55">
        <v>1</v>
      </c>
      <c r="X24" s="52">
        <v>400000</v>
      </c>
      <c r="Y24" s="11" t="s">
        <v>78</v>
      </c>
      <c r="Z24" s="11" t="s">
        <v>127</v>
      </c>
      <c r="AA24" s="25" t="s">
        <v>282</v>
      </c>
    </row>
    <row r="25" spans="2:28" ht="79.8" thickBot="1">
      <c r="B25" s="66"/>
      <c r="C25" s="67"/>
      <c r="D25" s="59"/>
      <c r="E25" s="7" t="s">
        <v>68</v>
      </c>
      <c r="F25" s="60"/>
      <c r="G25" s="63"/>
      <c r="H25" s="12" t="s">
        <v>132</v>
      </c>
      <c r="I25" s="12" t="s">
        <v>133</v>
      </c>
      <c r="J25" s="12" t="s">
        <v>134</v>
      </c>
      <c r="K25" s="12" t="s">
        <v>135</v>
      </c>
      <c r="L25" s="11"/>
      <c r="M25" s="11"/>
      <c r="N25" s="55">
        <v>1</v>
      </c>
      <c r="O25" s="11"/>
      <c r="P25" s="11"/>
      <c r="Q25" s="55">
        <v>5</v>
      </c>
      <c r="R25" s="11"/>
      <c r="S25" s="55">
        <v>3</v>
      </c>
      <c r="T25" s="11"/>
      <c r="U25" s="11"/>
      <c r="V25" s="11"/>
      <c r="W25" s="55">
        <v>3</v>
      </c>
      <c r="X25" s="52">
        <v>300000</v>
      </c>
      <c r="Y25" s="11" t="s">
        <v>78</v>
      </c>
      <c r="Z25" s="11" t="s">
        <v>127</v>
      </c>
      <c r="AA25" s="25" t="s">
        <v>282</v>
      </c>
      <c r="AB25" s="47">
        <f>SUM(X23:X25)</f>
        <v>1000000</v>
      </c>
    </row>
    <row r="26" spans="2:28" ht="66.599999999999994" thickBot="1">
      <c r="B26" s="66"/>
      <c r="C26" s="67"/>
      <c r="D26" s="59" t="s">
        <v>16</v>
      </c>
      <c r="E26" s="7" t="s">
        <v>69</v>
      </c>
      <c r="F26" s="60" t="s">
        <v>17</v>
      </c>
      <c r="G26" s="61" t="s">
        <v>18</v>
      </c>
      <c r="H26" s="12" t="s">
        <v>136</v>
      </c>
      <c r="I26" s="12" t="s">
        <v>137</v>
      </c>
      <c r="J26" s="12" t="s">
        <v>138</v>
      </c>
      <c r="K26" s="12" t="s">
        <v>160</v>
      </c>
      <c r="L26" s="11"/>
      <c r="M26" s="11"/>
      <c r="N26" s="55">
        <v>1</v>
      </c>
      <c r="O26" s="11"/>
      <c r="P26" s="11"/>
      <c r="Q26" s="55">
        <v>3</v>
      </c>
      <c r="R26" s="11"/>
      <c r="S26" s="11"/>
      <c r="T26" s="55">
        <v>2</v>
      </c>
      <c r="U26" s="11"/>
      <c r="V26" s="11"/>
      <c r="W26" s="11"/>
      <c r="X26" s="53">
        <v>10100000</v>
      </c>
      <c r="Y26" s="11" t="s">
        <v>78</v>
      </c>
      <c r="Z26" s="11" t="s">
        <v>79</v>
      </c>
      <c r="AA26" s="25" t="s">
        <v>282</v>
      </c>
    </row>
    <row r="27" spans="2:28" ht="66.599999999999994" thickBot="1">
      <c r="B27" s="66"/>
      <c r="C27" s="67"/>
      <c r="D27" s="59"/>
      <c r="E27" s="2" t="s">
        <v>70</v>
      </c>
      <c r="F27" s="60"/>
      <c r="G27" s="62"/>
      <c r="H27" s="11" t="s">
        <v>139</v>
      </c>
      <c r="I27" s="11" t="s">
        <v>140</v>
      </c>
      <c r="J27" s="11" t="s">
        <v>141</v>
      </c>
      <c r="K27" s="11" t="s">
        <v>142</v>
      </c>
      <c r="L27" s="11"/>
      <c r="M27" s="11"/>
      <c r="N27" s="11"/>
      <c r="O27" s="11"/>
      <c r="P27" s="11"/>
      <c r="Q27" s="11"/>
      <c r="R27" s="11"/>
      <c r="S27" s="11"/>
      <c r="T27" s="11"/>
      <c r="U27" s="55">
        <v>1</v>
      </c>
      <c r="V27" s="11"/>
      <c r="W27" s="11"/>
      <c r="X27" s="53">
        <v>1000000</v>
      </c>
      <c r="Y27" s="11" t="s">
        <v>78</v>
      </c>
      <c r="Z27" s="11" t="s">
        <v>79</v>
      </c>
      <c r="AA27" s="25" t="s">
        <v>282</v>
      </c>
    </row>
    <row r="28" spans="2:28" ht="66.599999999999994" thickBot="1">
      <c r="B28" s="66"/>
      <c r="C28" s="67"/>
      <c r="D28" s="59"/>
      <c r="E28" s="2" t="s">
        <v>71</v>
      </c>
      <c r="F28" s="60"/>
      <c r="G28" s="62"/>
      <c r="H28" s="11" t="s">
        <v>143</v>
      </c>
      <c r="I28" s="11" t="s">
        <v>144</v>
      </c>
      <c r="J28" s="11" t="s">
        <v>145</v>
      </c>
      <c r="K28" s="11" t="s">
        <v>146</v>
      </c>
      <c r="L28" s="11"/>
      <c r="M28" s="11"/>
      <c r="N28" s="55">
        <v>30</v>
      </c>
      <c r="O28" s="11"/>
      <c r="P28" s="11"/>
      <c r="Q28" s="55">
        <v>60</v>
      </c>
      <c r="R28" s="11"/>
      <c r="S28" s="11"/>
      <c r="T28" s="11"/>
      <c r="U28" s="55">
        <v>70</v>
      </c>
      <c r="V28" s="11"/>
      <c r="W28" s="11"/>
      <c r="X28" s="53">
        <v>500000</v>
      </c>
      <c r="Y28" s="11" t="s">
        <v>78</v>
      </c>
      <c r="Z28" s="11" t="s">
        <v>147</v>
      </c>
      <c r="AA28" s="25" t="s">
        <v>282</v>
      </c>
    </row>
    <row r="29" spans="2:28" ht="66.599999999999994" thickBot="1">
      <c r="B29" s="66"/>
      <c r="C29" s="67"/>
      <c r="D29" s="59"/>
      <c r="E29" s="2" t="s">
        <v>72</v>
      </c>
      <c r="F29" s="60"/>
      <c r="G29" s="62"/>
      <c r="H29" s="11" t="s">
        <v>148</v>
      </c>
      <c r="I29" s="11" t="s">
        <v>149</v>
      </c>
      <c r="J29" s="11" t="s">
        <v>150</v>
      </c>
      <c r="K29" s="11" t="s">
        <v>151</v>
      </c>
      <c r="L29" s="11"/>
      <c r="M29" s="11"/>
      <c r="N29" s="55">
        <v>2</v>
      </c>
      <c r="O29" s="11"/>
      <c r="P29" s="11"/>
      <c r="Q29" s="55">
        <v>4</v>
      </c>
      <c r="R29" s="11"/>
      <c r="S29" s="11"/>
      <c r="T29" s="55">
        <v>4</v>
      </c>
      <c r="U29" s="11"/>
      <c r="V29" s="11"/>
      <c r="W29" s="11"/>
      <c r="X29" s="53">
        <v>500000</v>
      </c>
      <c r="Y29" s="11" t="s">
        <v>78</v>
      </c>
      <c r="Z29" s="11" t="s">
        <v>158</v>
      </c>
      <c r="AA29" s="25" t="s">
        <v>282</v>
      </c>
    </row>
    <row r="30" spans="2:28" ht="51.45" customHeight="1" thickBot="1">
      <c r="B30" s="66"/>
      <c r="C30" s="67"/>
      <c r="D30" s="59"/>
      <c r="E30" s="19" t="s">
        <v>73</v>
      </c>
      <c r="F30" s="60"/>
      <c r="G30" s="63"/>
      <c r="H30" s="13" t="s">
        <v>152</v>
      </c>
      <c r="I30" s="13" t="s">
        <v>153</v>
      </c>
      <c r="J30" s="13" t="s">
        <v>154</v>
      </c>
      <c r="K30" s="13" t="s">
        <v>155</v>
      </c>
      <c r="L30" s="13"/>
      <c r="M30" s="13"/>
      <c r="N30" s="13"/>
      <c r="O30" s="13"/>
      <c r="P30" s="13"/>
      <c r="Q30" s="55">
        <v>2</v>
      </c>
      <c r="R30" s="13"/>
      <c r="S30" s="13"/>
      <c r="T30" s="13"/>
      <c r="U30" s="13"/>
      <c r="V30" s="13"/>
      <c r="W30" s="55">
        <v>1</v>
      </c>
      <c r="X30" s="53">
        <v>606500</v>
      </c>
      <c r="Y30" s="13" t="s">
        <v>78</v>
      </c>
      <c r="Z30" s="13" t="s">
        <v>159</v>
      </c>
      <c r="AA30" s="25" t="s">
        <v>282</v>
      </c>
      <c r="AB30" s="47">
        <f>SUM(X26:X30)</f>
        <v>12706500</v>
      </c>
    </row>
    <row r="31" spans="2:28">
      <c r="AB31" s="47">
        <f>SUM(AB30,AB25,AB22,AB18,AB14)</f>
        <v>30106500</v>
      </c>
    </row>
  </sheetData>
  <mergeCells count="37">
    <mergeCell ref="AA3:AA4"/>
    <mergeCell ref="B2:Z2"/>
    <mergeCell ref="B3:B4"/>
    <mergeCell ref="C3:C4"/>
    <mergeCell ref="D3:D4"/>
    <mergeCell ref="E3:E4"/>
    <mergeCell ref="G3:G4"/>
    <mergeCell ref="H3:H4"/>
    <mergeCell ref="I3:I4"/>
    <mergeCell ref="J3:J4"/>
    <mergeCell ref="K3:K4"/>
    <mergeCell ref="L3:N3"/>
    <mergeCell ref="O3:Q3"/>
    <mergeCell ref="R3:T3"/>
    <mergeCell ref="U3:W3"/>
    <mergeCell ref="Y3:Z3"/>
    <mergeCell ref="D9:Z9"/>
    <mergeCell ref="B5:Z5"/>
    <mergeCell ref="B6:Z6"/>
    <mergeCell ref="B7:B30"/>
    <mergeCell ref="C7:C30"/>
    <mergeCell ref="D8:Z8"/>
    <mergeCell ref="D10:D14"/>
    <mergeCell ref="D15:D18"/>
    <mergeCell ref="D19:D22"/>
    <mergeCell ref="F10:F14"/>
    <mergeCell ref="G10:G14"/>
    <mergeCell ref="F15:F18"/>
    <mergeCell ref="F19:F22"/>
    <mergeCell ref="G15:G18"/>
    <mergeCell ref="D26:D30"/>
    <mergeCell ref="F26:F30"/>
    <mergeCell ref="D23:D25"/>
    <mergeCell ref="F23:F25"/>
    <mergeCell ref="G26:G30"/>
    <mergeCell ref="G23:G25"/>
    <mergeCell ref="G19:G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zoomScale="69" zoomScaleNormal="69" workbookViewId="0">
      <selection activeCell="D87" sqref="D87"/>
    </sheetView>
  </sheetViews>
  <sheetFormatPr defaultRowHeight="13.8"/>
  <cols>
    <col min="1" max="1" width="23.59765625" bestFit="1" customWidth="1"/>
    <col min="2" max="2" width="35.796875" bestFit="1" customWidth="1"/>
    <col min="3" max="3" width="33.19921875" style="30" customWidth="1"/>
    <col min="4" max="4" width="92.59765625" bestFit="1" customWidth="1"/>
    <col min="5" max="5" width="8.69921875" style="34" bestFit="1" customWidth="1"/>
    <col min="6" max="6" width="11.19921875" style="32" bestFit="1" customWidth="1"/>
    <col min="7" max="7" width="14.796875" style="46" bestFit="1" customWidth="1"/>
    <col min="8" max="8" width="10.796875" bestFit="1" customWidth="1"/>
  </cols>
  <sheetData>
    <row r="1" spans="1:8" ht="14.4" thickBot="1">
      <c r="A1" s="24" t="s">
        <v>24</v>
      </c>
      <c r="B1" s="24" t="s">
        <v>162</v>
      </c>
      <c r="C1" s="30" t="s">
        <v>163</v>
      </c>
      <c r="D1" s="24" t="s">
        <v>164</v>
      </c>
      <c r="E1" s="33" t="s">
        <v>165</v>
      </c>
      <c r="F1" s="31" t="s">
        <v>166</v>
      </c>
      <c r="G1" s="44" t="s">
        <v>30</v>
      </c>
    </row>
    <row r="2" spans="1:8" ht="55.8" thickBot="1">
      <c r="A2" s="22" t="s">
        <v>170</v>
      </c>
      <c r="B2" s="21" t="s">
        <v>171</v>
      </c>
      <c r="C2" s="27" t="s">
        <v>172</v>
      </c>
      <c r="D2" s="21" t="s">
        <v>211</v>
      </c>
      <c r="E2" s="21">
        <v>2</v>
      </c>
      <c r="F2" s="39">
        <v>1000000</v>
      </c>
      <c r="G2" s="29">
        <f>E2*F2</f>
        <v>2000000</v>
      </c>
    </row>
    <row r="3" spans="1:8" ht="67.8" thickBot="1">
      <c r="A3" s="21"/>
      <c r="B3" s="21"/>
      <c r="C3" s="27" t="s">
        <v>173</v>
      </c>
      <c r="D3" s="26" t="s">
        <v>210</v>
      </c>
      <c r="E3" s="21">
        <v>1</v>
      </c>
      <c r="F3" s="39">
        <v>2900000</v>
      </c>
      <c r="G3" s="29">
        <f t="shared" ref="G3:G67" si="0">E3*F3</f>
        <v>2900000</v>
      </c>
      <c r="H3" s="23">
        <f>SUM(G2:G3)</f>
        <v>4900000</v>
      </c>
    </row>
    <row r="4" spans="1:8" ht="42" thickBot="1">
      <c r="A4" s="22" t="s">
        <v>174</v>
      </c>
      <c r="B4" s="21" t="s">
        <v>175</v>
      </c>
      <c r="C4" s="27" t="s">
        <v>176</v>
      </c>
      <c r="D4" s="21" t="s">
        <v>222</v>
      </c>
      <c r="E4" s="21">
        <v>1</v>
      </c>
      <c r="F4" s="39">
        <v>2050000</v>
      </c>
      <c r="G4" s="29">
        <f t="shared" si="0"/>
        <v>2050000</v>
      </c>
    </row>
    <row r="5" spans="1:8" ht="69.599999999999994" thickBot="1">
      <c r="A5" s="21"/>
      <c r="B5" s="21"/>
      <c r="C5" s="27" t="s">
        <v>177</v>
      </c>
      <c r="D5" s="21" t="s">
        <v>213</v>
      </c>
      <c r="E5" s="21">
        <v>4</v>
      </c>
      <c r="F5" s="39">
        <v>246000</v>
      </c>
      <c r="G5" s="29">
        <f t="shared" si="0"/>
        <v>984000</v>
      </c>
      <c r="H5" s="23">
        <f>SUM(G4:G5)</f>
        <v>3034000</v>
      </c>
    </row>
    <row r="6" spans="1:8" ht="28.2" thickBot="1">
      <c r="A6" s="22" t="s">
        <v>178</v>
      </c>
      <c r="B6" s="21" t="s">
        <v>179</v>
      </c>
      <c r="C6" s="27" t="s">
        <v>180</v>
      </c>
      <c r="D6" s="27" t="s">
        <v>218</v>
      </c>
      <c r="E6" s="21">
        <v>1</v>
      </c>
      <c r="F6" s="39">
        <v>650000</v>
      </c>
      <c r="G6" s="29">
        <f t="shared" si="0"/>
        <v>650000</v>
      </c>
      <c r="H6" s="23"/>
    </row>
    <row r="7" spans="1:8" ht="14.4" thickBot="1">
      <c r="A7" s="21"/>
      <c r="B7" s="21"/>
      <c r="C7" s="27" t="s">
        <v>181</v>
      </c>
      <c r="D7" s="27" t="s">
        <v>219</v>
      </c>
      <c r="E7" s="21">
        <v>60</v>
      </c>
      <c r="F7" s="39">
        <v>7500</v>
      </c>
      <c r="G7" s="29">
        <f t="shared" si="0"/>
        <v>450000</v>
      </c>
      <c r="H7" s="23">
        <f>SUM(G6:G7)</f>
        <v>1100000</v>
      </c>
    </row>
    <row r="8" spans="1:8" ht="28.2" thickBot="1">
      <c r="A8" s="22" t="s">
        <v>182</v>
      </c>
      <c r="B8" s="21" t="s">
        <v>183</v>
      </c>
      <c r="C8" s="27" t="s">
        <v>169</v>
      </c>
      <c r="D8" s="21" t="s">
        <v>215</v>
      </c>
      <c r="E8" s="21">
        <v>1</v>
      </c>
      <c r="F8" s="39">
        <v>550000</v>
      </c>
      <c r="G8" s="29">
        <f t="shared" si="0"/>
        <v>550000</v>
      </c>
      <c r="H8" s="23"/>
    </row>
    <row r="9" spans="1:8" ht="14.4" thickBot="1">
      <c r="A9" s="22"/>
      <c r="B9" s="21"/>
      <c r="C9" s="27" t="s">
        <v>214</v>
      </c>
      <c r="D9" s="21" t="s">
        <v>216</v>
      </c>
      <c r="E9" s="21">
        <v>10</v>
      </c>
      <c r="F9" s="39">
        <v>20000</v>
      </c>
      <c r="G9" s="29">
        <f t="shared" si="0"/>
        <v>200000</v>
      </c>
      <c r="H9" s="23"/>
    </row>
    <row r="10" spans="1:8" ht="55.8" thickBot="1">
      <c r="A10" s="21"/>
      <c r="B10" s="21"/>
      <c r="C10" s="27" t="s">
        <v>184</v>
      </c>
      <c r="D10" s="27" t="s">
        <v>220</v>
      </c>
      <c r="E10" s="21">
        <v>2</v>
      </c>
      <c r="F10" s="39">
        <v>1512000</v>
      </c>
      <c r="G10" s="29">
        <f t="shared" si="0"/>
        <v>3024000</v>
      </c>
      <c r="H10" s="23">
        <f>SUM(G8:G10)</f>
        <v>3774000</v>
      </c>
    </row>
    <row r="11" spans="1:8" ht="14.4" thickBot="1">
      <c r="A11" s="22" t="s">
        <v>185</v>
      </c>
      <c r="B11" s="21" t="s">
        <v>186</v>
      </c>
      <c r="C11" s="27" t="s">
        <v>187</v>
      </c>
      <c r="D11" s="27" t="s">
        <v>284</v>
      </c>
      <c r="E11" s="21">
        <v>3</v>
      </c>
      <c r="F11" s="39">
        <v>300000</v>
      </c>
      <c r="G11" s="29">
        <f t="shared" si="0"/>
        <v>900000</v>
      </c>
      <c r="H11" s="23"/>
    </row>
    <row r="12" spans="1:8" ht="14.4" thickBot="1">
      <c r="A12" s="21"/>
      <c r="B12" s="21"/>
      <c r="C12" s="27" t="s">
        <v>277</v>
      </c>
      <c r="D12" s="27" t="s">
        <v>223</v>
      </c>
      <c r="E12" s="21">
        <v>3</v>
      </c>
      <c r="F12" s="39">
        <v>300000</v>
      </c>
      <c r="G12" s="29">
        <f t="shared" si="0"/>
        <v>900000</v>
      </c>
      <c r="H12" s="23">
        <f>SUM(G11:G12)</f>
        <v>1800000</v>
      </c>
    </row>
    <row r="13" spans="1:8" ht="14.4" thickBot="1">
      <c r="A13" s="22" t="s">
        <v>188</v>
      </c>
      <c r="B13" s="21" t="s">
        <v>189</v>
      </c>
      <c r="C13" s="27" t="s">
        <v>190</v>
      </c>
      <c r="D13" s="27" t="s">
        <v>278</v>
      </c>
      <c r="E13" s="21">
        <v>2</v>
      </c>
      <c r="F13" s="39">
        <v>180000</v>
      </c>
      <c r="G13" s="29">
        <f t="shared" si="0"/>
        <v>360000</v>
      </c>
      <c r="H13" s="23"/>
    </row>
    <row r="14" spans="1:8" ht="14.4" thickBot="1">
      <c r="A14" s="21"/>
      <c r="B14" s="21"/>
      <c r="C14" s="27" t="s">
        <v>191</v>
      </c>
      <c r="D14" s="21" t="s">
        <v>212</v>
      </c>
      <c r="E14" s="21">
        <v>12</v>
      </c>
      <c r="F14" s="39">
        <v>25000</v>
      </c>
      <c r="G14" s="29">
        <f t="shared" si="0"/>
        <v>300000</v>
      </c>
      <c r="H14" s="23"/>
    </row>
    <row r="15" spans="1:8" ht="14.4" thickBot="1">
      <c r="A15" s="21"/>
      <c r="B15" s="21"/>
      <c r="C15" s="27" t="s">
        <v>192</v>
      </c>
      <c r="D15" s="27" t="s">
        <v>224</v>
      </c>
      <c r="E15" s="21">
        <v>2</v>
      </c>
      <c r="F15" s="39">
        <v>250000</v>
      </c>
      <c r="G15" s="29">
        <f t="shared" si="0"/>
        <v>500000</v>
      </c>
      <c r="H15" s="23"/>
    </row>
    <row r="16" spans="1:8" ht="14.4" thickBot="1">
      <c r="A16" s="21"/>
      <c r="B16" s="21"/>
      <c r="C16" s="27" t="s">
        <v>193</v>
      </c>
      <c r="D16" s="21" t="s">
        <v>194</v>
      </c>
      <c r="E16" s="21">
        <v>12</v>
      </c>
      <c r="F16" s="39">
        <v>25000</v>
      </c>
      <c r="G16" s="29">
        <f t="shared" si="0"/>
        <v>300000</v>
      </c>
      <c r="H16" s="23">
        <f>SUM(G13:G16)</f>
        <v>1460000</v>
      </c>
    </row>
    <row r="17" spans="1:8" ht="14.4" thickBot="1">
      <c r="A17" s="22" t="s">
        <v>195</v>
      </c>
      <c r="B17" s="21" t="s">
        <v>196</v>
      </c>
      <c r="C17" s="27" t="s">
        <v>197</v>
      </c>
      <c r="D17" s="21" t="s">
        <v>198</v>
      </c>
      <c r="E17" s="21">
        <v>1</v>
      </c>
      <c r="F17" s="39">
        <v>9680000</v>
      </c>
      <c r="G17" s="29">
        <f t="shared" si="0"/>
        <v>9680000</v>
      </c>
      <c r="H17" s="23">
        <f>G17</f>
        <v>9680000</v>
      </c>
    </row>
    <row r="18" spans="1:8" ht="14.4" thickBot="1">
      <c r="A18" s="22" t="s">
        <v>199</v>
      </c>
      <c r="B18" s="21" t="s">
        <v>200</v>
      </c>
      <c r="C18" s="27" t="s">
        <v>201</v>
      </c>
      <c r="D18" s="21" t="s">
        <v>202</v>
      </c>
      <c r="E18" s="21">
        <v>1</v>
      </c>
      <c r="F18" s="39">
        <v>110000</v>
      </c>
      <c r="G18" s="29">
        <f t="shared" si="0"/>
        <v>110000</v>
      </c>
      <c r="H18" s="23">
        <f t="shared" ref="H18:H19" si="1">G18</f>
        <v>110000</v>
      </c>
    </row>
    <row r="19" spans="1:8" ht="14.4" thickBot="1">
      <c r="A19" s="22" t="s">
        <v>167</v>
      </c>
      <c r="B19" s="21" t="s">
        <v>200</v>
      </c>
      <c r="C19" s="27" t="s">
        <v>203</v>
      </c>
      <c r="D19" s="21" t="s">
        <v>204</v>
      </c>
      <c r="E19" s="21">
        <v>1</v>
      </c>
      <c r="F19" s="39">
        <v>250000</v>
      </c>
      <c r="G19" s="29">
        <f t="shared" si="0"/>
        <v>250000</v>
      </c>
      <c r="H19" s="23">
        <f t="shared" si="1"/>
        <v>250000</v>
      </c>
    </row>
    <row r="20" spans="1:8" ht="14.4" thickBot="1">
      <c r="A20" s="22" t="s">
        <v>168</v>
      </c>
      <c r="B20" s="21" t="s">
        <v>200</v>
      </c>
      <c r="C20" s="27" t="s">
        <v>205</v>
      </c>
      <c r="D20" s="21" t="s">
        <v>206</v>
      </c>
      <c r="E20" s="21">
        <v>1</v>
      </c>
      <c r="F20" s="39">
        <v>185000</v>
      </c>
      <c r="G20" s="29">
        <f t="shared" si="0"/>
        <v>185000</v>
      </c>
    </row>
    <row r="21" spans="1:8" ht="14.4" thickBot="1">
      <c r="A21" s="21"/>
      <c r="B21" s="21" t="s">
        <v>200</v>
      </c>
      <c r="C21" s="27" t="s">
        <v>221</v>
      </c>
      <c r="D21" s="27" t="s">
        <v>217</v>
      </c>
      <c r="E21" s="21">
        <v>7</v>
      </c>
      <c r="F21" s="39">
        <v>15000</v>
      </c>
      <c r="G21" s="29">
        <f t="shared" si="0"/>
        <v>105000</v>
      </c>
      <c r="H21" s="23">
        <f>SUM(G20:G21)</f>
        <v>290000</v>
      </c>
    </row>
    <row r="22" spans="1:8" ht="28.2" thickBot="1">
      <c r="A22" s="22"/>
      <c r="B22" s="21" t="s">
        <v>200</v>
      </c>
      <c r="C22" s="27" t="s">
        <v>279</v>
      </c>
      <c r="D22" s="35" t="s">
        <v>280</v>
      </c>
      <c r="E22" s="37">
        <v>2</v>
      </c>
      <c r="F22" s="41">
        <v>750000</v>
      </c>
      <c r="G22" s="29">
        <f>E22*F22</f>
        <v>1500000</v>
      </c>
      <c r="H22" s="23">
        <f>G22</f>
        <v>1500000</v>
      </c>
    </row>
    <row r="23" spans="1:8" ht="14.4" thickBot="1">
      <c r="A23" s="22" t="s">
        <v>225</v>
      </c>
      <c r="B23" s="21" t="s">
        <v>200</v>
      </c>
      <c r="C23" s="27" t="s">
        <v>226</v>
      </c>
      <c r="D23" s="21" t="s">
        <v>227</v>
      </c>
      <c r="E23" s="21">
        <v>1</v>
      </c>
      <c r="F23" s="40">
        <v>400000</v>
      </c>
      <c r="G23" s="29">
        <f t="shared" si="0"/>
        <v>400000</v>
      </c>
      <c r="H23" s="23">
        <f>G23</f>
        <v>400000</v>
      </c>
    </row>
    <row r="24" spans="1:8" ht="14.4" thickBot="1">
      <c r="A24" s="22" t="s">
        <v>207</v>
      </c>
      <c r="B24" s="21" t="s">
        <v>281</v>
      </c>
      <c r="C24" s="27" t="s">
        <v>208</v>
      </c>
      <c r="D24" s="21" t="s">
        <v>209</v>
      </c>
      <c r="E24" s="21">
        <v>12</v>
      </c>
      <c r="F24" s="39">
        <v>15000</v>
      </c>
      <c r="G24" s="29">
        <f t="shared" si="0"/>
        <v>180000</v>
      </c>
      <c r="H24" s="23"/>
    </row>
    <row r="25" spans="1:8" ht="14.4" thickBot="1">
      <c r="A25" s="22"/>
      <c r="B25" s="21" t="s">
        <v>281</v>
      </c>
      <c r="C25" s="27" t="s">
        <v>208</v>
      </c>
      <c r="D25" s="35" t="s">
        <v>246</v>
      </c>
      <c r="E25" s="21">
        <v>1</v>
      </c>
      <c r="F25" s="41">
        <v>100000</v>
      </c>
      <c r="G25" s="29">
        <f t="shared" si="0"/>
        <v>100000</v>
      </c>
      <c r="H25" s="23"/>
    </row>
    <row r="26" spans="1:8" ht="14.4" thickBot="1">
      <c r="A26" s="22"/>
      <c r="B26" s="21" t="s">
        <v>281</v>
      </c>
      <c r="C26" s="27" t="s">
        <v>208</v>
      </c>
      <c r="D26" s="35" t="s">
        <v>247</v>
      </c>
      <c r="E26" s="21">
        <v>1</v>
      </c>
      <c r="F26" s="41">
        <v>150000</v>
      </c>
      <c r="G26" s="29">
        <f t="shared" si="0"/>
        <v>150000</v>
      </c>
      <c r="H26" s="23"/>
    </row>
    <row r="27" spans="1:8" ht="14.4" thickBot="1">
      <c r="A27" s="22"/>
      <c r="B27" s="21" t="s">
        <v>281</v>
      </c>
      <c r="C27" s="27" t="s">
        <v>208</v>
      </c>
      <c r="D27" s="35" t="s">
        <v>248</v>
      </c>
      <c r="E27" s="36">
        <v>1</v>
      </c>
      <c r="F27" s="41">
        <v>100000</v>
      </c>
      <c r="G27" s="29">
        <f t="shared" si="0"/>
        <v>100000</v>
      </c>
      <c r="H27" s="23"/>
    </row>
    <row r="28" spans="1:8" ht="14.4" thickBot="1">
      <c r="A28" s="22"/>
      <c r="B28" s="21" t="s">
        <v>281</v>
      </c>
      <c r="C28" s="27" t="s">
        <v>208</v>
      </c>
      <c r="D28" s="35" t="s">
        <v>249</v>
      </c>
      <c r="E28" s="37">
        <v>1</v>
      </c>
      <c r="F28" s="41">
        <v>15000</v>
      </c>
      <c r="G28" s="29">
        <f t="shared" si="0"/>
        <v>15000</v>
      </c>
      <c r="H28" s="23"/>
    </row>
    <row r="29" spans="1:8" ht="14.4" thickBot="1">
      <c r="A29" s="22"/>
      <c r="B29" s="21" t="s">
        <v>281</v>
      </c>
      <c r="C29" s="27" t="s">
        <v>208</v>
      </c>
      <c r="D29" s="35" t="s">
        <v>250</v>
      </c>
      <c r="E29" s="37">
        <v>1</v>
      </c>
      <c r="F29" s="41">
        <v>12000</v>
      </c>
      <c r="G29" s="29">
        <f t="shared" si="0"/>
        <v>12000</v>
      </c>
      <c r="H29" s="23"/>
    </row>
    <row r="30" spans="1:8" ht="14.4" thickBot="1">
      <c r="A30" s="22"/>
      <c r="B30" s="21" t="s">
        <v>281</v>
      </c>
      <c r="C30" s="27" t="s">
        <v>208</v>
      </c>
      <c r="D30" s="35" t="s">
        <v>251</v>
      </c>
      <c r="E30" s="37">
        <v>1</v>
      </c>
      <c r="F30" s="41">
        <v>300</v>
      </c>
      <c r="G30" s="29">
        <f t="shared" si="0"/>
        <v>300</v>
      </c>
      <c r="H30" s="23"/>
    </row>
    <row r="31" spans="1:8" ht="14.4" thickBot="1">
      <c r="A31" s="22"/>
      <c r="B31" s="21" t="s">
        <v>281</v>
      </c>
      <c r="C31" s="27" t="s">
        <v>208</v>
      </c>
      <c r="D31" s="35" t="s">
        <v>252</v>
      </c>
      <c r="E31" s="37">
        <v>1</v>
      </c>
      <c r="F31" s="41">
        <v>200</v>
      </c>
      <c r="G31" s="29">
        <f t="shared" si="0"/>
        <v>200</v>
      </c>
      <c r="H31" s="23"/>
    </row>
    <row r="32" spans="1:8" ht="14.4" thickBot="1">
      <c r="A32" s="22"/>
      <c r="B32" s="21" t="s">
        <v>281</v>
      </c>
      <c r="C32" s="27" t="s">
        <v>208</v>
      </c>
      <c r="D32" s="35" t="s">
        <v>253</v>
      </c>
      <c r="E32" s="37">
        <v>1</v>
      </c>
      <c r="F32" s="41">
        <v>100</v>
      </c>
      <c r="G32" s="29">
        <f t="shared" si="0"/>
        <v>100</v>
      </c>
      <c r="H32" s="23"/>
    </row>
    <row r="33" spans="1:8" ht="14.4" thickBot="1">
      <c r="A33" s="22"/>
      <c r="B33" s="21" t="s">
        <v>281</v>
      </c>
      <c r="C33" s="27" t="s">
        <v>208</v>
      </c>
      <c r="D33" s="35" t="s">
        <v>254</v>
      </c>
      <c r="E33" s="37">
        <v>1</v>
      </c>
      <c r="F33" s="41">
        <v>150</v>
      </c>
      <c r="G33" s="29">
        <f t="shared" si="0"/>
        <v>150</v>
      </c>
      <c r="H33" s="23"/>
    </row>
    <row r="34" spans="1:8" ht="14.4" thickBot="1">
      <c r="A34" s="22"/>
      <c r="B34" s="21" t="s">
        <v>281</v>
      </c>
      <c r="C34" s="27" t="s">
        <v>208</v>
      </c>
      <c r="D34" s="35" t="s">
        <v>255</v>
      </c>
      <c r="E34" s="37">
        <v>1</v>
      </c>
      <c r="F34" s="41">
        <v>9500</v>
      </c>
      <c r="G34" s="29">
        <f t="shared" si="0"/>
        <v>9500</v>
      </c>
      <c r="H34" s="23"/>
    </row>
    <row r="35" spans="1:8" ht="14.4" thickBot="1">
      <c r="A35" s="22"/>
      <c r="B35" s="21" t="s">
        <v>281</v>
      </c>
      <c r="C35" s="27" t="s">
        <v>208</v>
      </c>
      <c r="D35" s="35" t="s">
        <v>256</v>
      </c>
      <c r="E35" s="37">
        <v>1</v>
      </c>
      <c r="F35" s="41">
        <v>5000</v>
      </c>
      <c r="G35" s="29">
        <f t="shared" si="0"/>
        <v>5000</v>
      </c>
      <c r="H35" s="23"/>
    </row>
    <row r="36" spans="1:8" ht="14.4" thickBot="1">
      <c r="A36" s="22"/>
      <c r="B36" s="21" t="s">
        <v>281</v>
      </c>
      <c r="C36" s="27" t="s">
        <v>208</v>
      </c>
      <c r="D36" s="35" t="s">
        <v>266</v>
      </c>
      <c r="E36" s="38">
        <v>1</v>
      </c>
      <c r="F36" s="41">
        <v>0</v>
      </c>
      <c r="G36" s="29">
        <f t="shared" si="0"/>
        <v>0</v>
      </c>
      <c r="H36" s="23"/>
    </row>
    <row r="37" spans="1:8" ht="14.4" thickBot="1">
      <c r="A37" s="22"/>
      <c r="B37" s="21" t="s">
        <v>281</v>
      </c>
      <c r="C37" s="27" t="s">
        <v>208</v>
      </c>
      <c r="D37" s="35" t="s">
        <v>267</v>
      </c>
      <c r="E37" s="38">
        <v>1</v>
      </c>
      <c r="F37" s="41">
        <v>0</v>
      </c>
      <c r="G37" s="29">
        <f t="shared" si="0"/>
        <v>0</v>
      </c>
      <c r="H37" s="23"/>
    </row>
    <row r="38" spans="1:8" ht="14.4" thickBot="1">
      <c r="A38" s="22"/>
      <c r="B38" s="21" t="s">
        <v>281</v>
      </c>
      <c r="C38" s="27" t="s">
        <v>208</v>
      </c>
      <c r="D38" s="35" t="s">
        <v>268</v>
      </c>
      <c r="E38" s="38">
        <v>1</v>
      </c>
      <c r="F38" s="41">
        <v>0</v>
      </c>
      <c r="G38" s="29">
        <f t="shared" si="0"/>
        <v>0</v>
      </c>
      <c r="H38" s="23"/>
    </row>
    <row r="39" spans="1:8" ht="14.4" thickBot="1">
      <c r="A39" s="22"/>
      <c r="B39" s="21" t="s">
        <v>281</v>
      </c>
      <c r="C39" s="27" t="s">
        <v>208</v>
      </c>
      <c r="D39" s="35" t="s">
        <v>269</v>
      </c>
      <c r="E39" s="38">
        <v>1</v>
      </c>
      <c r="F39" s="41">
        <v>0</v>
      </c>
      <c r="G39" s="29">
        <f t="shared" si="0"/>
        <v>0</v>
      </c>
      <c r="H39" s="23"/>
    </row>
    <row r="40" spans="1:8" ht="14.4" thickBot="1">
      <c r="A40" s="22"/>
      <c r="B40" s="21" t="s">
        <v>281</v>
      </c>
      <c r="C40" s="27" t="s">
        <v>208</v>
      </c>
      <c r="D40" s="35" t="s">
        <v>270</v>
      </c>
      <c r="E40" s="38">
        <v>1</v>
      </c>
      <c r="F40" s="41">
        <v>0</v>
      </c>
      <c r="G40" s="29">
        <f t="shared" si="0"/>
        <v>0</v>
      </c>
      <c r="H40" s="23"/>
    </row>
    <row r="41" spans="1:8" ht="14.4" thickBot="1">
      <c r="A41" s="22"/>
      <c r="B41" s="21" t="s">
        <v>281</v>
      </c>
      <c r="C41" s="27" t="s">
        <v>208</v>
      </c>
      <c r="D41" s="35" t="s">
        <v>271</v>
      </c>
      <c r="E41" s="38">
        <v>1</v>
      </c>
      <c r="F41" s="42"/>
      <c r="G41" s="29">
        <f t="shared" si="0"/>
        <v>0</v>
      </c>
      <c r="H41" s="23"/>
    </row>
    <row r="42" spans="1:8" ht="14.4" thickBot="1">
      <c r="A42" s="22"/>
      <c r="B42" s="21" t="s">
        <v>281</v>
      </c>
      <c r="C42" s="27" t="s">
        <v>208</v>
      </c>
      <c r="D42" s="35" t="s">
        <v>272</v>
      </c>
      <c r="E42" s="38">
        <v>1</v>
      </c>
      <c r="F42" s="43">
        <v>1000</v>
      </c>
      <c r="G42" s="29">
        <f t="shared" si="0"/>
        <v>1000</v>
      </c>
      <c r="H42" s="23"/>
    </row>
    <row r="43" spans="1:8" ht="14.4" thickBot="1">
      <c r="A43" s="22"/>
      <c r="B43" s="21" t="s">
        <v>281</v>
      </c>
      <c r="C43" s="27" t="s">
        <v>208</v>
      </c>
      <c r="D43" s="35" t="s">
        <v>273</v>
      </c>
      <c r="E43" s="38">
        <v>1</v>
      </c>
      <c r="F43" s="43">
        <v>250</v>
      </c>
      <c r="G43" s="29">
        <f t="shared" si="0"/>
        <v>250</v>
      </c>
      <c r="H43" s="23"/>
    </row>
    <row r="44" spans="1:8" ht="14.4" thickBot="1">
      <c r="A44" s="22"/>
      <c r="B44" s="21" t="s">
        <v>281</v>
      </c>
      <c r="C44" s="27" t="s">
        <v>208</v>
      </c>
      <c r="D44" s="35" t="s">
        <v>274</v>
      </c>
      <c r="E44" s="38">
        <v>1</v>
      </c>
      <c r="F44" s="43">
        <v>200</v>
      </c>
      <c r="G44" s="29">
        <f t="shared" si="0"/>
        <v>200</v>
      </c>
      <c r="H44" s="23"/>
    </row>
    <row r="45" spans="1:8" ht="14.4" thickBot="1">
      <c r="A45" s="22"/>
      <c r="B45" s="21" t="s">
        <v>281</v>
      </c>
      <c r="C45" s="27" t="s">
        <v>208</v>
      </c>
      <c r="D45" s="35" t="s">
        <v>275</v>
      </c>
      <c r="E45" s="38">
        <v>4</v>
      </c>
      <c r="F45" s="43">
        <v>400</v>
      </c>
      <c r="G45" s="29">
        <f t="shared" si="0"/>
        <v>1600</v>
      </c>
      <c r="H45" s="23"/>
    </row>
    <row r="46" spans="1:8" ht="14.4" thickBot="1">
      <c r="A46" s="22"/>
      <c r="B46" s="21" t="s">
        <v>281</v>
      </c>
      <c r="C46" s="27" t="s">
        <v>208</v>
      </c>
      <c r="D46" s="35" t="s">
        <v>276</v>
      </c>
      <c r="E46" s="38">
        <v>1</v>
      </c>
      <c r="F46" s="43">
        <v>10000</v>
      </c>
      <c r="G46" s="29">
        <f t="shared" si="0"/>
        <v>10000</v>
      </c>
      <c r="H46" s="23"/>
    </row>
    <row r="47" spans="1:8" ht="14.4" thickBot="1">
      <c r="A47" s="22"/>
      <c r="B47" s="21" t="s">
        <v>281</v>
      </c>
      <c r="C47" s="27" t="s">
        <v>208</v>
      </c>
      <c r="D47" s="35" t="s">
        <v>257</v>
      </c>
      <c r="E47" s="38">
        <v>1</v>
      </c>
      <c r="F47" s="43">
        <v>10000</v>
      </c>
      <c r="G47" s="29">
        <f t="shared" si="0"/>
        <v>10000</v>
      </c>
      <c r="H47" s="23"/>
    </row>
    <row r="48" spans="1:8" ht="14.4" thickBot="1">
      <c r="A48" s="22"/>
      <c r="B48" s="21" t="s">
        <v>281</v>
      </c>
      <c r="C48" s="27" t="s">
        <v>208</v>
      </c>
      <c r="D48" s="35" t="s">
        <v>258</v>
      </c>
      <c r="E48" s="38">
        <v>1</v>
      </c>
      <c r="F48" s="42">
        <v>10500</v>
      </c>
      <c r="G48" s="29">
        <f t="shared" si="0"/>
        <v>10500</v>
      </c>
      <c r="H48" s="23"/>
    </row>
    <row r="49" spans="1:8" ht="14.4" thickBot="1">
      <c r="A49" s="22"/>
      <c r="B49" s="21" t="s">
        <v>281</v>
      </c>
      <c r="C49" s="27" t="s">
        <v>208</v>
      </c>
      <c r="D49" s="35" t="s">
        <v>259</v>
      </c>
      <c r="E49" s="38">
        <v>5</v>
      </c>
      <c r="F49" s="43">
        <v>10000</v>
      </c>
      <c r="G49" s="29">
        <f t="shared" si="0"/>
        <v>50000</v>
      </c>
      <c r="H49" s="23"/>
    </row>
    <row r="50" spans="1:8" ht="14.4" thickBot="1">
      <c r="A50" s="22"/>
      <c r="B50" s="21" t="s">
        <v>281</v>
      </c>
      <c r="C50" s="27" t="s">
        <v>208</v>
      </c>
      <c r="D50" s="35" t="s">
        <v>260</v>
      </c>
      <c r="E50" s="38">
        <v>1</v>
      </c>
      <c r="F50" s="43">
        <v>10000</v>
      </c>
      <c r="G50" s="29">
        <f t="shared" si="0"/>
        <v>10000</v>
      </c>
      <c r="H50" s="23"/>
    </row>
    <row r="51" spans="1:8" ht="14.4" thickBot="1">
      <c r="A51" s="22"/>
      <c r="B51" s="21" t="s">
        <v>281</v>
      </c>
      <c r="C51" s="27" t="s">
        <v>208</v>
      </c>
      <c r="D51" s="35" t="s">
        <v>261</v>
      </c>
      <c r="E51" s="38">
        <v>2</v>
      </c>
      <c r="F51" s="43">
        <v>5000</v>
      </c>
      <c r="G51" s="29">
        <f t="shared" si="0"/>
        <v>10000</v>
      </c>
      <c r="H51" s="23"/>
    </row>
    <row r="52" spans="1:8" ht="14.4" thickBot="1">
      <c r="A52" s="22"/>
      <c r="B52" s="21" t="s">
        <v>281</v>
      </c>
      <c r="C52" s="27" t="s">
        <v>208</v>
      </c>
      <c r="D52" s="35" t="s">
        <v>262</v>
      </c>
      <c r="E52" s="38">
        <v>3</v>
      </c>
      <c r="F52" s="43">
        <v>3000</v>
      </c>
      <c r="G52" s="29">
        <f t="shared" si="0"/>
        <v>9000</v>
      </c>
      <c r="H52" s="23"/>
    </row>
    <row r="53" spans="1:8" ht="14.4" thickBot="1">
      <c r="A53" s="22"/>
      <c r="B53" s="21" t="s">
        <v>281</v>
      </c>
      <c r="C53" s="27" t="s">
        <v>208</v>
      </c>
      <c r="D53" s="35" t="s">
        <v>228</v>
      </c>
      <c r="E53" s="37">
        <v>1</v>
      </c>
      <c r="F53" s="41">
        <v>500</v>
      </c>
      <c r="G53" s="29">
        <f t="shared" si="0"/>
        <v>500</v>
      </c>
      <c r="H53" s="23"/>
    </row>
    <row r="54" spans="1:8" ht="14.4" thickBot="1">
      <c r="A54" s="22"/>
      <c r="B54" s="21" t="s">
        <v>281</v>
      </c>
      <c r="C54" s="27" t="s">
        <v>208</v>
      </c>
      <c r="D54" s="35" t="s">
        <v>229</v>
      </c>
      <c r="E54" s="37">
        <v>1</v>
      </c>
      <c r="F54" s="41">
        <v>500</v>
      </c>
      <c r="G54" s="29">
        <f t="shared" si="0"/>
        <v>500</v>
      </c>
      <c r="H54" s="23"/>
    </row>
    <row r="55" spans="1:8" ht="14.4" thickBot="1">
      <c r="A55" s="22"/>
      <c r="B55" s="21" t="s">
        <v>281</v>
      </c>
      <c r="C55" s="27" t="s">
        <v>208</v>
      </c>
      <c r="D55" s="35" t="s">
        <v>230</v>
      </c>
      <c r="E55" s="37">
        <v>1</v>
      </c>
      <c r="F55" s="41">
        <v>15000</v>
      </c>
      <c r="G55" s="29">
        <f t="shared" si="0"/>
        <v>15000</v>
      </c>
      <c r="H55" s="23"/>
    </row>
    <row r="56" spans="1:8" ht="14.4" thickBot="1">
      <c r="A56" s="22"/>
      <c r="B56" s="21" t="s">
        <v>281</v>
      </c>
      <c r="C56" s="27" t="s">
        <v>208</v>
      </c>
      <c r="D56" s="35" t="s">
        <v>231</v>
      </c>
      <c r="E56" s="37">
        <v>1</v>
      </c>
      <c r="F56" s="41">
        <v>2000</v>
      </c>
      <c r="G56" s="29">
        <f t="shared" si="0"/>
        <v>2000</v>
      </c>
      <c r="H56" s="23"/>
    </row>
    <row r="57" spans="1:8" ht="14.4" thickBot="1">
      <c r="A57" s="22"/>
      <c r="B57" s="21" t="s">
        <v>281</v>
      </c>
      <c r="C57" s="27" t="s">
        <v>208</v>
      </c>
      <c r="D57" s="35" t="s">
        <v>232</v>
      </c>
      <c r="E57" s="37">
        <v>1</v>
      </c>
      <c r="F57" s="41">
        <v>50000</v>
      </c>
      <c r="G57" s="29">
        <f t="shared" si="0"/>
        <v>50000</v>
      </c>
      <c r="H57" s="23"/>
    </row>
    <row r="58" spans="1:8" ht="14.4" thickBot="1">
      <c r="A58" s="22"/>
      <c r="B58" s="21" t="s">
        <v>281</v>
      </c>
      <c r="C58" s="27" t="s">
        <v>208</v>
      </c>
      <c r="D58" s="35" t="s">
        <v>233</v>
      </c>
      <c r="E58" s="37">
        <v>1</v>
      </c>
      <c r="F58" s="41">
        <v>20000</v>
      </c>
      <c r="G58" s="29">
        <f t="shared" si="0"/>
        <v>20000</v>
      </c>
      <c r="H58" s="23"/>
    </row>
    <row r="59" spans="1:8" ht="14.4" thickBot="1">
      <c r="A59" s="22"/>
      <c r="B59" s="21" t="s">
        <v>281</v>
      </c>
      <c r="C59" s="27" t="s">
        <v>208</v>
      </c>
      <c r="D59" s="35" t="s">
        <v>234</v>
      </c>
      <c r="E59" s="37">
        <v>1</v>
      </c>
      <c r="F59" s="41">
        <v>4000</v>
      </c>
      <c r="G59" s="29">
        <f t="shared" si="0"/>
        <v>4000</v>
      </c>
      <c r="H59" s="23"/>
    </row>
    <row r="60" spans="1:8" ht="14.4" thickBot="1">
      <c r="A60" s="22"/>
      <c r="B60" s="21" t="s">
        <v>281</v>
      </c>
      <c r="C60" s="27" t="s">
        <v>208</v>
      </c>
      <c r="D60" s="35" t="s">
        <v>235</v>
      </c>
      <c r="E60" s="37">
        <v>1</v>
      </c>
      <c r="F60" s="41">
        <v>6000</v>
      </c>
      <c r="G60" s="29">
        <f t="shared" si="0"/>
        <v>6000</v>
      </c>
      <c r="H60" s="23"/>
    </row>
    <row r="61" spans="1:8" ht="14.4" thickBot="1">
      <c r="A61" s="22"/>
      <c r="B61" s="21" t="s">
        <v>281</v>
      </c>
      <c r="C61" s="27" t="s">
        <v>208</v>
      </c>
      <c r="D61" s="35" t="s">
        <v>236</v>
      </c>
      <c r="E61" s="37">
        <v>1</v>
      </c>
      <c r="F61" s="41">
        <v>2500</v>
      </c>
      <c r="G61" s="29">
        <f t="shared" si="0"/>
        <v>2500</v>
      </c>
      <c r="H61" s="23"/>
    </row>
    <row r="62" spans="1:8" ht="14.4" thickBot="1">
      <c r="A62" s="22"/>
      <c r="B62" s="21" t="s">
        <v>281</v>
      </c>
      <c r="C62" s="27" t="s">
        <v>208</v>
      </c>
      <c r="D62" s="35" t="s">
        <v>237</v>
      </c>
      <c r="E62" s="37">
        <v>1</v>
      </c>
      <c r="F62" s="41">
        <v>500</v>
      </c>
      <c r="G62" s="29">
        <f t="shared" si="0"/>
        <v>500</v>
      </c>
      <c r="H62" s="23"/>
    </row>
    <row r="63" spans="1:8" ht="14.4" thickBot="1">
      <c r="A63" s="22"/>
      <c r="B63" s="21" t="s">
        <v>281</v>
      </c>
      <c r="C63" s="27" t="s">
        <v>208</v>
      </c>
      <c r="D63" s="35" t="s">
        <v>238</v>
      </c>
      <c r="E63" s="37">
        <v>1</v>
      </c>
      <c r="F63" s="41">
        <v>700</v>
      </c>
      <c r="G63" s="29">
        <f t="shared" si="0"/>
        <v>700</v>
      </c>
      <c r="H63" s="23"/>
    </row>
    <row r="64" spans="1:8" ht="14.4" thickBot="1">
      <c r="A64" s="22"/>
      <c r="B64" s="21" t="s">
        <v>281</v>
      </c>
      <c r="C64" s="27" t="s">
        <v>208</v>
      </c>
      <c r="D64" s="35" t="s">
        <v>239</v>
      </c>
      <c r="E64" s="37">
        <v>1</v>
      </c>
      <c r="F64" s="41">
        <v>1000</v>
      </c>
      <c r="G64" s="29">
        <f t="shared" si="0"/>
        <v>1000</v>
      </c>
      <c r="H64" s="23"/>
    </row>
    <row r="65" spans="1:8" ht="14.4" thickBot="1">
      <c r="A65" s="22"/>
      <c r="B65" s="21" t="s">
        <v>281</v>
      </c>
      <c r="C65" s="27" t="s">
        <v>208</v>
      </c>
      <c r="D65" s="35" t="s">
        <v>240</v>
      </c>
      <c r="E65" s="37">
        <v>1</v>
      </c>
      <c r="F65" s="41">
        <v>10000</v>
      </c>
      <c r="G65" s="29">
        <f t="shared" si="0"/>
        <v>10000</v>
      </c>
      <c r="H65" s="23"/>
    </row>
    <row r="66" spans="1:8" ht="14.4" thickBot="1">
      <c r="A66" s="22"/>
      <c r="B66" s="21" t="s">
        <v>281</v>
      </c>
      <c r="C66" s="27" t="s">
        <v>208</v>
      </c>
      <c r="D66" s="35" t="s">
        <v>241</v>
      </c>
      <c r="E66" s="37">
        <v>1</v>
      </c>
      <c r="F66" s="41">
        <v>20000</v>
      </c>
      <c r="G66" s="29">
        <f t="shared" si="0"/>
        <v>20000</v>
      </c>
      <c r="H66" s="23"/>
    </row>
    <row r="67" spans="1:8" ht="14.4" thickBot="1">
      <c r="A67" s="22"/>
      <c r="B67" s="21" t="s">
        <v>281</v>
      </c>
      <c r="C67" s="27" t="s">
        <v>208</v>
      </c>
      <c r="D67" s="35" t="s">
        <v>242</v>
      </c>
      <c r="E67" s="37">
        <v>1</v>
      </c>
      <c r="F67" s="41">
        <v>5000</v>
      </c>
      <c r="G67" s="29">
        <f t="shared" si="0"/>
        <v>5000</v>
      </c>
      <c r="H67" s="23"/>
    </row>
    <row r="68" spans="1:8" ht="14.4" thickBot="1">
      <c r="A68" s="22"/>
      <c r="B68" s="21" t="s">
        <v>281</v>
      </c>
      <c r="C68" s="27" t="s">
        <v>208</v>
      </c>
      <c r="D68" s="35" t="s">
        <v>241</v>
      </c>
      <c r="E68" s="37">
        <v>1</v>
      </c>
      <c r="F68" s="41">
        <v>20000</v>
      </c>
      <c r="G68" s="29">
        <f t="shared" ref="G68:G79" si="2">E68*F68</f>
        <v>20000</v>
      </c>
      <c r="H68" s="23"/>
    </row>
    <row r="69" spans="1:8" ht="14.4" thickBot="1">
      <c r="A69" s="22"/>
      <c r="B69" s="21" t="s">
        <v>281</v>
      </c>
      <c r="C69" s="27" t="s">
        <v>208</v>
      </c>
      <c r="D69" s="35" t="s">
        <v>243</v>
      </c>
      <c r="E69" s="37">
        <v>4</v>
      </c>
      <c r="F69" s="41">
        <v>2500</v>
      </c>
      <c r="G69" s="29">
        <f t="shared" si="2"/>
        <v>10000</v>
      </c>
      <c r="H69" s="23"/>
    </row>
    <row r="70" spans="1:8" ht="14.4" thickBot="1">
      <c r="A70" s="22"/>
      <c r="B70" s="21" t="s">
        <v>281</v>
      </c>
      <c r="C70" s="27" t="s">
        <v>208</v>
      </c>
      <c r="D70" s="35" t="s">
        <v>244</v>
      </c>
      <c r="E70" s="37">
        <v>2</v>
      </c>
      <c r="F70" s="41">
        <v>150000</v>
      </c>
      <c r="G70" s="29">
        <f t="shared" si="2"/>
        <v>300000</v>
      </c>
      <c r="H70" s="23"/>
    </row>
    <row r="71" spans="1:8" ht="14.4" thickBot="1">
      <c r="A71" s="22"/>
      <c r="B71" s="21" t="s">
        <v>281</v>
      </c>
      <c r="C71" s="27" t="s">
        <v>208</v>
      </c>
      <c r="D71" s="35" t="s">
        <v>245</v>
      </c>
      <c r="E71" s="37">
        <v>1</v>
      </c>
      <c r="F71" s="41">
        <v>130000</v>
      </c>
      <c r="G71" s="29">
        <f t="shared" si="2"/>
        <v>130000</v>
      </c>
      <c r="H71" s="23"/>
    </row>
    <row r="72" spans="1:8" ht="14.4" thickBot="1">
      <c r="A72" s="22"/>
      <c r="B72" s="21" t="s">
        <v>281</v>
      </c>
      <c r="C72" s="27" t="s">
        <v>208</v>
      </c>
      <c r="D72" s="35" t="s">
        <v>258</v>
      </c>
      <c r="E72" s="37">
        <v>1</v>
      </c>
      <c r="F72" s="41">
        <v>120000</v>
      </c>
      <c r="G72" s="29">
        <f t="shared" si="2"/>
        <v>120000</v>
      </c>
      <c r="H72" s="23"/>
    </row>
    <row r="73" spans="1:8" ht="14.4" thickBot="1">
      <c r="A73" s="22"/>
      <c r="B73" s="21" t="s">
        <v>281</v>
      </c>
      <c r="C73" s="27" t="s">
        <v>208</v>
      </c>
      <c r="D73" s="35" t="s">
        <v>259</v>
      </c>
      <c r="E73" s="37">
        <v>1</v>
      </c>
      <c r="F73" s="41">
        <v>18000</v>
      </c>
      <c r="G73" s="29">
        <f t="shared" si="2"/>
        <v>18000</v>
      </c>
      <c r="H73" s="23"/>
    </row>
    <row r="74" spans="1:8" ht="14.4" thickBot="1">
      <c r="A74" s="22"/>
      <c r="B74" s="21" t="s">
        <v>281</v>
      </c>
      <c r="C74" s="27" t="s">
        <v>208</v>
      </c>
      <c r="D74" s="35" t="s">
        <v>260</v>
      </c>
      <c r="E74" s="37">
        <v>1</v>
      </c>
      <c r="F74" s="41">
        <v>45000</v>
      </c>
      <c r="G74" s="29">
        <f t="shared" si="2"/>
        <v>45000</v>
      </c>
      <c r="H74" s="23"/>
    </row>
    <row r="75" spans="1:8" ht="14.4" thickBot="1">
      <c r="A75" s="22"/>
      <c r="B75" s="21" t="s">
        <v>281</v>
      </c>
      <c r="C75" s="27" t="s">
        <v>208</v>
      </c>
      <c r="D75" s="35" t="s">
        <v>261</v>
      </c>
      <c r="E75" s="37">
        <v>1</v>
      </c>
      <c r="F75" s="41">
        <v>60000</v>
      </c>
      <c r="G75" s="29">
        <f t="shared" si="2"/>
        <v>60000</v>
      </c>
      <c r="H75" s="23"/>
    </row>
    <row r="76" spans="1:8" ht="14.4" thickBot="1">
      <c r="A76" s="22"/>
      <c r="B76" s="21" t="s">
        <v>281</v>
      </c>
      <c r="C76" s="27" t="s">
        <v>208</v>
      </c>
      <c r="D76" s="35" t="s">
        <v>262</v>
      </c>
      <c r="E76" s="37">
        <v>3</v>
      </c>
      <c r="F76" s="41">
        <v>25000</v>
      </c>
      <c r="G76" s="29">
        <f t="shared" si="2"/>
        <v>75000</v>
      </c>
      <c r="H76" s="23"/>
    </row>
    <row r="77" spans="1:8" ht="14.4" thickBot="1">
      <c r="A77" s="22"/>
      <c r="B77" s="21" t="s">
        <v>281</v>
      </c>
      <c r="C77" s="27" t="s">
        <v>208</v>
      </c>
      <c r="D77" s="35" t="s">
        <v>263</v>
      </c>
      <c r="E77" s="37">
        <v>1</v>
      </c>
      <c r="F77" s="41">
        <v>30000</v>
      </c>
      <c r="G77" s="29">
        <f t="shared" si="2"/>
        <v>30000</v>
      </c>
      <c r="H77" s="23"/>
    </row>
    <row r="78" spans="1:8" ht="14.4" thickBot="1">
      <c r="A78" s="22"/>
      <c r="B78" s="21" t="s">
        <v>281</v>
      </c>
      <c r="C78" s="27" t="s">
        <v>208</v>
      </c>
      <c r="D78" s="35" t="s">
        <v>264</v>
      </c>
      <c r="E78" s="37">
        <v>1</v>
      </c>
      <c r="F78" s="41">
        <v>150000</v>
      </c>
      <c r="G78" s="29">
        <f t="shared" si="2"/>
        <v>150000</v>
      </c>
      <c r="H78" s="23"/>
    </row>
    <row r="79" spans="1:8" ht="14.4" thickBot="1">
      <c r="A79" s="22"/>
      <c r="B79" s="21" t="s">
        <v>281</v>
      </c>
      <c r="C79" s="27" t="s">
        <v>208</v>
      </c>
      <c r="D79" s="35" t="s">
        <v>265</v>
      </c>
      <c r="E79" s="37">
        <v>1</v>
      </c>
      <c r="F79" s="41">
        <v>28000</v>
      </c>
      <c r="G79" s="29">
        <f t="shared" si="2"/>
        <v>28000</v>
      </c>
      <c r="H79" s="23">
        <f>SUM(G24:G79)</f>
        <v>1808500</v>
      </c>
    </row>
    <row r="80" spans="1:8">
      <c r="D80" s="28"/>
      <c r="G80" s="45">
        <f>SUM(G2:G79)</f>
        <v>30106500</v>
      </c>
      <c r="H80" s="23">
        <f>SUM(H2:H79)</f>
        <v>30106500</v>
      </c>
    </row>
    <row r="81" spans="7:8">
      <c r="G81" s="45"/>
    </row>
    <row r="82" spans="7:8">
      <c r="G82" s="45"/>
    </row>
    <row r="83" spans="7:8">
      <c r="G83" s="45"/>
      <c r="H83" s="23"/>
    </row>
    <row r="84" spans="7:8">
      <c r="G84" s="45"/>
      <c r="H84" s="23"/>
    </row>
    <row r="85" spans="7:8">
      <c r="G85" s="4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abSelected="1" workbookViewId="0">
      <selection activeCell="A22" sqref="A22"/>
    </sheetView>
  </sheetViews>
  <sheetFormatPr defaultRowHeight="13.8"/>
  <cols>
    <col min="1" max="1" width="129" bestFit="1" customWidth="1"/>
  </cols>
  <sheetData>
    <row r="1" spans="1:1">
      <c r="A1" s="58" t="s">
        <v>288</v>
      </c>
    </row>
    <row r="2" spans="1:1">
      <c r="A2" t="s">
        <v>300</v>
      </c>
    </row>
    <row r="3" spans="1:1">
      <c r="A3" t="s">
        <v>301</v>
      </c>
    </row>
    <row r="4" spans="1:1">
      <c r="A4" t="s">
        <v>289</v>
      </c>
    </row>
    <row r="5" spans="1:1">
      <c r="A5" t="s">
        <v>290</v>
      </c>
    </row>
    <row r="6" spans="1:1">
      <c r="A6" t="s">
        <v>302</v>
      </c>
    </row>
    <row r="7" spans="1:1">
      <c r="A7" t="s">
        <v>303</v>
      </c>
    </row>
    <row r="8" spans="1:1">
      <c r="A8" t="s">
        <v>291</v>
      </c>
    </row>
    <row r="9" spans="1:1">
      <c r="A9" t="s">
        <v>292</v>
      </c>
    </row>
    <row r="10" spans="1:1">
      <c r="A10" t="s">
        <v>304</v>
      </c>
    </row>
    <row r="11" spans="1:1">
      <c r="A11" t="s">
        <v>293</v>
      </c>
    </row>
    <row r="12" spans="1:1">
      <c r="A12" t="s">
        <v>305</v>
      </c>
    </row>
    <row r="13" spans="1:1">
      <c r="A13" t="s">
        <v>294</v>
      </c>
    </row>
    <row r="14" spans="1:1">
      <c r="A14" t="s">
        <v>306</v>
      </c>
    </row>
    <row r="15" spans="1:1">
      <c r="A15" t="s">
        <v>307</v>
      </c>
    </row>
    <row r="16" spans="1:1">
      <c r="A16" t="s">
        <v>308</v>
      </c>
    </row>
    <row r="17" spans="1:1">
      <c r="A17" t="s">
        <v>295</v>
      </c>
    </row>
    <row r="18" spans="1:1">
      <c r="A18" t="s">
        <v>296</v>
      </c>
    </row>
    <row r="19" spans="1:1">
      <c r="A19" t="s">
        <v>297</v>
      </c>
    </row>
    <row r="20" spans="1:1">
      <c r="A20" t="s">
        <v>298</v>
      </c>
    </row>
    <row r="21" spans="1:1">
      <c r="A2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Strategic Issue 3</vt:lpstr>
      <vt:lpstr>Budget</vt:lpstr>
      <vt:lpstr>Section functions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Akama Charles</dc:creator>
  <cp:lastModifiedBy>Patrick Mwaura</cp:lastModifiedBy>
  <dcterms:created xsi:type="dcterms:W3CDTF">2026-03-17T12:37:54Z</dcterms:created>
  <dcterms:modified xsi:type="dcterms:W3CDTF">2026-03-19T14:37:29Z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2026-03-17T14:25:46Z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e086c75d-ed44-4165-8450-6fed41cbeacb</vt:lpwstr>
  </property>
  <property fmtid="{D5CDD505-2E9C-101B-9397-08002B2CF9AE}" pid="7" name="MSIP_Label_defa4170-0d19-0005-0004-bc88714345d2_ActionId">
    <vt:lpwstr>37f664f1-43a9-450d-8395-dc4934e5a8f0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