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SAS\Documents\"/>
    </mc:Choice>
  </mc:AlternateContent>
  <bookViews>
    <workbookView xWindow="0" yWindow="0" windowWidth="6636" windowHeight="3948"/>
  </bookViews>
  <sheets>
    <sheet name="Strategic Issue 3" sheetId="3" r:id="rId1"/>
    <sheet name="Sheet1" sheetId="4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H3" i="4"/>
  <c r="AA10" i="3" s="1"/>
</calcChain>
</file>

<file path=xl/sharedStrings.xml><?xml version="1.0" encoding="utf-8"?>
<sst xmlns="http://schemas.openxmlformats.org/spreadsheetml/2006/main" count="626" uniqueCount="544">
  <si>
    <t>Activity</t>
  </si>
  <si>
    <t>Function Linkage</t>
  </si>
  <si>
    <t>(ii), (iii), (vi)</t>
  </si>
  <si>
    <t>Disease models and predictive analytics reports.</t>
  </si>
  <si>
    <t>(v), (ix)</t>
  </si>
  <si>
    <t>Performance Indicator</t>
  </si>
  <si>
    <t>1. Develop and Implement Data Governance, Policies and Systems</t>
  </si>
  <si>
    <t>(i), (iv), (x)</t>
  </si>
  <si>
    <t>Approved data governance framework and functional data systems.</t>
  </si>
  <si>
    <t>No. of policies developed/reviewed; data quality and system uptime.</t>
  </si>
  <si>
    <t>High-quality data analysis and research support outputs.</t>
  </si>
  <si>
    <t>3. Disease Modeling, Epidemiological Analysis and Predictive Analytics</t>
  </si>
  <si>
    <t>(vii), (viii), (xvi), (xvii), (xviii)</t>
  </si>
  <si>
    <t>4. Monitoring, Evaluation and Impact Assessment of Research Programs</t>
  </si>
  <si>
    <t>M&amp;E and impact assessment reports.</t>
  </si>
  <si>
    <t>No. of M&amp;E reports produced; evaluation studies completed.</t>
  </si>
  <si>
    <t>5. Bioinformatics, Innovation, Capacity Building and Knowledge Dissemination</t>
  </si>
  <si>
    <t>(xi), (xii), (xiii), (xiv), (xv), (xix), (xx)</t>
  </si>
  <si>
    <t>Advanced analytics outputs, trained staff, and publications.</t>
  </si>
  <si>
    <t>DRAFT 0 ANNUAL WORKPLAN 2026-2027</t>
  </si>
  <si>
    <t>Result Areas</t>
  </si>
  <si>
    <t>Sub Activities</t>
  </si>
  <si>
    <t xml:space="preserve"> Exptected Output</t>
  </si>
  <si>
    <t>Impact</t>
  </si>
  <si>
    <t>Target</t>
  </si>
  <si>
    <t>Means of Verification (MoV)</t>
  </si>
  <si>
    <t>Q1</t>
  </si>
  <si>
    <t>Q2</t>
  </si>
  <si>
    <t>Q3</t>
  </si>
  <si>
    <t>Q4</t>
  </si>
  <si>
    <t>Estimated Cost</t>
  </si>
  <si>
    <t>Responsibility</t>
  </si>
  <si>
    <t>Source of Funds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</si>
  <si>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</si>
  <si>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</si>
  <si>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</si>
  <si>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</si>
  <si>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</si>
  <si>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</si>
  <si>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</si>
  <si>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</si>
  <si>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</si>
  <si>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</si>
  <si>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</si>
  <si>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</si>
  <si>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Y4</t>
  </si>
  <si>
    <t xml:space="preserve">Lead </t>
  </si>
  <si>
    <t>Support</t>
  </si>
  <si>
    <t>Strategic Issue 3: Weak institutional capability for health research excellence</t>
  </si>
  <si>
    <t xml:space="preserve">Strategic Goal 3: To build institutional capacity to achieve excellence in health research through training, infrastructure development, enhancement of corporate governance and collaborations. </t>
  </si>
  <si>
    <t xml:space="preserve">Key Result Area 4:  Legal, regulatory and policy framework </t>
  </si>
  <si>
    <t>Outcome: Data management analytics and strategies developed and implemented</t>
  </si>
  <si>
    <t>Strategic Objective 3: To develop data management analytics and protection strategies</t>
  </si>
  <si>
    <t xml:space="preserve">i. Develop and review data policies and strategies
</t>
  </si>
  <si>
    <t xml:space="preserve">ii. Establish data governance frameworks
</t>
  </si>
  <si>
    <t xml:space="preserve">iii. Manage databases and data systems 
</t>
  </si>
  <si>
    <t xml:space="preserve">iv. Ensure data security and integrity; 
</t>
  </si>
  <si>
    <t>v. Automate data collection processes.</t>
  </si>
  <si>
    <t xml:space="preserve">i. Collect and manage data
</t>
  </si>
  <si>
    <t xml:space="preserve">ii. Analyze and interpret biological and health data
</t>
  </si>
  <si>
    <t xml:space="preserve">iii. Support study design and reporting
</t>
  </si>
  <si>
    <t xml:space="preserve">
iv. Provide statistical and analytical support to researchers.</t>
  </si>
  <si>
    <t xml:space="preserve">i. Conduct epidemiological studies
</t>
  </si>
  <si>
    <t xml:space="preserve">ii. Analyze disease patterns and trends; 
</t>
  </si>
  <si>
    <t xml:space="preserve">iii. Develop predictive and machine learning models
</t>
  </si>
  <si>
    <t>iv. Design and assess disease control programs.</t>
  </si>
  <si>
    <t xml:space="preserve">i. Provide M&amp;E services; evaluate research outcomes
</t>
  </si>
  <si>
    <t xml:space="preserve">ii. Assess economic and health impact of disease interventions
</t>
  </si>
  <si>
    <t>iii. Generate performance reports.</t>
  </si>
  <si>
    <t xml:space="preserve">i. Conduct bioinformatics and genomic analysis
</t>
  </si>
  <si>
    <t xml:space="preserve">ii. Develop computational tools
</t>
  </si>
  <si>
    <t xml:space="preserve">iii. Train staff and researchers
</t>
  </si>
  <si>
    <t xml:space="preserve">iv. Publish findings
</t>
  </si>
  <si>
    <t>v. Support conferences and scientific dissemination.</t>
  </si>
  <si>
    <t>No. of data governance frameworks developed.</t>
  </si>
  <si>
    <t xml:space="preserve">No. of Databases  and systems developed and managed.  </t>
  </si>
  <si>
    <t>No. of data security and integrity protocols installed .</t>
  </si>
  <si>
    <t xml:space="preserve">No. of automated data collection processes developed. </t>
  </si>
  <si>
    <t>3 new policies</t>
  </si>
  <si>
    <t>Board approval and rollout</t>
  </si>
  <si>
    <t>Gap analysis</t>
  </si>
  <si>
    <t>Stakeholders input</t>
  </si>
  <si>
    <t>Policy roadmap</t>
  </si>
  <si>
    <t>First policy drafts</t>
  </si>
  <si>
    <t>Legal review</t>
  </si>
  <si>
    <t>Final revisions</t>
  </si>
  <si>
    <t>Pilot rollout</t>
  </si>
  <si>
    <t>Staff brieffing</t>
  </si>
  <si>
    <t>Policy training</t>
  </si>
  <si>
    <t>Policy audit</t>
  </si>
  <si>
    <t>Annual review</t>
  </si>
  <si>
    <t>DSAS</t>
  </si>
  <si>
    <t>RPDD</t>
  </si>
  <si>
    <t>1 Operational framework</t>
  </si>
  <si>
    <t>Map data workflows</t>
  </si>
  <si>
    <t>Define roles</t>
  </si>
  <si>
    <t>Form data governance committee/council</t>
  </si>
  <si>
    <t>Signing of charter</t>
  </si>
  <si>
    <t>Assign owners</t>
  </si>
  <si>
    <t>Define data standards</t>
  </si>
  <si>
    <t>Workflow testing</t>
  </si>
  <si>
    <t>Tools selection</t>
  </si>
  <si>
    <t>Setup registry</t>
  </si>
  <si>
    <t>Full adoption</t>
  </si>
  <si>
    <t>Committee./council meeting</t>
  </si>
  <si>
    <t>Impact report</t>
  </si>
  <si>
    <t>Improved accessibility and reliability.</t>
  </si>
  <si>
    <t xml:space="preserve">Improved data governance. </t>
  </si>
  <si>
    <t>99.9% Uptime and zero data loss</t>
  </si>
  <si>
    <t>System audit</t>
  </si>
  <si>
    <t>Resource planning</t>
  </si>
  <si>
    <t>Optimization</t>
  </si>
  <si>
    <t>Backup testing</t>
  </si>
  <si>
    <t>Server upgrade</t>
  </si>
  <si>
    <t>Load tesing</t>
  </si>
  <si>
    <t>Cloud migration</t>
  </si>
  <si>
    <t>Uptime check</t>
  </si>
  <si>
    <t>Data cleaning</t>
  </si>
  <si>
    <t>Health report</t>
  </si>
  <si>
    <t>Patching cycle to ensure servers stay secure, stable and optimized</t>
  </si>
  <si>
    <t>Performance Tuning</t>
  </si>
  <si>
    <t>RPDD and ICT</t>
  </si>
  <si>
    <t>0 critical vulnerabilities</t>
  </si>
  <si>
    <t>Risk assessment</t>
  </si>
  <si>
    <t>Security plan development</t>
  </si>
  <si>
    <t>Access analysis and review</t>
  </si>
  <si>
    <t xml:space="preserve">Encryption devopment </t>
  </si>
  <si>
    <t>Firewall update</t>
  </si>
  <si>
    <t>MFA(Multi factor authentication) rollout</t>
  </si>
  <si>
    <t>Breach protocol devolopment</t>
  </si>
  <si>
    <t>Incident drill excerceses</t>
  </si>
  <si>
    <t>Final hardening of the system</t>
  </si>
  <si>
    <t>Security audit</t>
  </si>
  <si>
    <t xml:space="preserve">Compliance certification. </t>
  </si>
  <si>
    <t>2 Key pipelines automated</t>
  </si>
  <si>
    <t>Addressing ID bottlenecks</t>
  </si>
  <si>
    <t>Tools research</t>
  </si>
  <si>
    <t>API specifications</t>
  </si>
  <si>
    <t>Script coding</t>
  </si>
  <si>
    <t>Integration testing</t>
  </si>
  <si>
    <t>Beta testing</t>
  </si>
  <si>
    <t>User trainig</t>
  </si>
  <si>
    <t>Live pilot</t>
  </si>
  <si>
    <t>Feedback loop</t>
  </si>
  <si>
    <t>Full automation</t>
  </si>
  <si>
    <t>Scalling up</t>
  </si>
  <si>
    <t>ROI (Return on Investment) analysis.</t>
  </si>
  <si>
    <t>Singed policy documents and board meeting minutes</t>
  </si>
  <si>
    <t xml:space="preserve">Terms of reference/ Charter and Governance committee/council meeting minutes. </t>
  </si>
  <si>
    <t>System uptime reports and
 databases maintance logs</t>
  </si>
  <si>
    <t>Security audit reports , pentest certificates 
and incident logs</t>
  </si>
  <si>
    <t>System functional specifications, API documentations and UAT(User Acceptance Testing) sign-off</t>
  </si>
  <si>
    <t>% of datasets with&lt;1% error rate ; completion rate</t>
  </si>
  <si>
    <t>Enhanced quality and credibility of research outputs. Ensures findings are based on clean, trustworthy data</t>
  </si>
  <si>
    <t>15 datasets archived with 100% integrity</t>
  </si>
  <si>
    <t>Validation reports, Audit logs and data management plans</t>
  </si>
  <si>
    <t>Tools designing</t>
  </si>
  <si>
    <t>Tools piloting and testing</t>
  </si>
  <si>
    <t>Ethic sycronizaion</t>
  </si>
  <si>
    <t>Data collection</t>
  </si>
  <si>
    <t>Real time quality control</t>
  </si>
  <si>
    <t>Data indexing</t>
  </si>
  <si>
    <t>Quality audit</t>
  </si>
  <si>
    <t>Security check</t>
  </si>
  <si>
    <t>Backup test</t>
  </si>
  <si>
    <t>Final archiving</t>
  </si>
  <si>
    <t>Metadata check</t>
  </si>
  <si>
    <t>Data release</t>
  </si>
  <si>
    <t>No. of reports produced with 100% accuracy score</t>
  </si>
  <si>
    <t>Scientific excellence: Translate raw data into actionable insights</t>
  </si>
  <si>
    <t xml:space="preserve">12 analytical reports published/shared </t>
  </si>
  <si>
    <t>Statistical reports (Bio- modelling outputs)</t>
  </si>
  <si>
    <t>Development of data dictionaries</t>
  </si>
  <si>
    <t>Baseline statistics</t>
  </si>
  <si>
    <t xml:space="preserve">Logic mapping and development of SAP( Statistical analysis plans) </t>
  </si>
  <si>
    <t>Phase 1 analysis</t>
  </si>
  <si>
    <t>Phase 2 review</t>
  </si>
  <si>
    <t>Interpretation</t>
  </si>
  <si>
    <t>Advanced modelling</t>
  </si>
  <si>
    <t>Peer validation</t>
  </si>
  <si>
    <t>Trend reports</t>
  </si>
  <si>
    <t>Result summaries</t>
  </si>
  <si>
    <t>Data sharing</t>
  </si>
  <si>
    <t xml:space="preserve">Impact reports. </t>
  </si>
  <si>
    <t>No. of protocols approved, design quality score</t>
  </si>
  <si>
    <t xml:space="preserve">Methodological rigor: Increases grant success and minizes research bias. </t>
  </si>
  <si>
    <t>8 study protocols finalized and approved</t>
  </si>
  <si>
    <t>IRB approval letters; final protocols</t>
  </si>
  <si>
    <t>PI(s) consults</t>
  </si>
  <si>
    <t>Design workshop</t>
  </si>
  <si>
    <t>Protocol drafts</t>
  </si>
  <si>
    <t>samples sizes determination and power analysis</t>
  </si>
  <si>
    <t>IRB submission</t>
  </si>
  <si>
    <t>Methodology QC</t>
  </si>
  <si>
    <t>Protocol updates</t>
  </si>
  <si>
    <t>Reporting specifications</t>
  </si>
  <si>
    <t>Review board</t>
  </si>
  <si>
    <t>Final sign- off</t>
  </si>
  <si>
    <t>Result drafting</t>
  </si>
  <si>
    <t>Design archives</t>
  </si>
  <si>
    <t>% Researcher satisfaction; No. of documented consults</t>
  </si>
  <si>
    <t>Capacity building: Empowers researchers with advanced data literacy skills</t>
  </si>
  <si>
    <t>30 consultations; 4 training workshops</t>
  </si>
  <si>
    <t xml:space="preserve">Feedback surveys; service logs; Training certificates issued. </t>
  </si>
  <si>
    <t>Support portal</t>
  </si>
  <si>
    <t>Service catalog</t>
  </si>
  <si>
    <t>Help desk live</t>
  </si>
  <si>
    <t>Workshop 1</t>
  </si>
  <si>
    <t>1 on 1 support</t>
  </si>
  <si>
    <t>Progress review</t>
  </si>
  <si>
    <t>Workshop 2</t>
  </si>
  <si>
    <t>Manuscript help</t>
  </si>
  <si>
    <t>Statistical coaching</t>
  </si>
  <si>
    <t>Final reviews</t>
  </si>
  <si>
    <t>Satisfaction poll/Survey</t>
  </si>
  <si>
    <t>Service report</t>
  </si>
  <si>
    <t>No. of studies finalized; stakeholders adoption</t>
  </si>
  <si>
    <t>Early warning: Identifies emerging health threats before they become crisis</t>
  </si>
  <si>
    <t>4 comprehensive studies completed</t>
  </si>
  <si>
    <t>Published study reports ; policy briefs</t>
  </si>
  <si>
    <t>Scope design</t>
  </si>
  <si>
    <t>Data sourcing</t>
  </si>
  <si>
    <t>Fieldwork activities and data collection</t>
  </si>
  <si>
    <t>Preliminary report</t>
  </si>
  <si>
    <t>Peer review</t>
  </si>
  <si>
    <t>Revisions</t>
  </si>
  <si>
    <t>Finalization</t>
  </si>
  <si>
    <t>Dissemination</t>
  </si>
  <si>
    <t>Policy briefs</t>
  </si>
  <si>
    <t>Impact audit</t>
  </si>
  <si>
    <t>Accuracy of trend pojections; No. of reports.</t>
  </si>
  <si>
    <t xml:space="preserve">Resource allocation: Helps health officials put staff/supplies where they are needed most. </t>
  </si>
  <si>
    <t>12 monthly trend reports produced</t>
  </si>
  <si>
    <t>Monthly surveillance reports; dashboards</t>
  </si>
  <si>
    <t>Baseline set</t>
  </si>
  <si>
    <t>Trend report 1</t>
  </si>
  <si>
    <t>Trend report 2</t>
  </si>
  <si>
    <t>Reports</t>
  </si>
  <si>
    <t>Seasonal analysis</t>
  </si>
  <si>
    <t>Year-end trend</t>
  </si>
  <si>
    <t>Hotspot mapping</t>
  </si>
  <si>
    <t>Trend review</t>
  </si>
  <si>
    <t>Annual trend summaries</t>
  </si>
  <si>
    <t>Performance check</t>
  </si>
  <si>
    <t>Model precision metrics ( recall, specification, sensisitivity, Brier score, ROC) ; uptime</t>
  </si>
  <si>
    <t xml:space="preserve">Proactive responses: Moves public health from reactive " damage control" to proactive prevention. </t>
  </si>
  <si>
    <t>2 functional models e.g Outbreaks/ Risk/pandemic</t>
  </si>
  <si>
    <t>Model source codes; technical manuals; validation reports</t>
  </si>
  <si>
    <t>Use-case ID</t>
  </si>
  <si>
    <t>Algorithm choice</t>
  </si>
  <si>
    <t>Model training</t>
  </si>
  <si>
    <t>Initial testing</t>
  </si>
  <si>
    <t>Model tuning</t>
  </si>
  <si>
    <t>Pilot launch</t>
  </si>
  <si>
    <t>Accuracy and other metric testing</t>
  </si>
  <si>
    <t>API intergration</t>
  </si>
  <si>
    <t>Staff training</t>
  </si>
  <si>
    <t>Live rollout</t>
  </si>
  <si>
    <t>Model audit</t>
  </si>
  <si>
    <t>% improvement in program efficiencies</t>
  </si>
  <si>
    <t xml:space="preserve">Accountability: Proves which health programs work and which need to be stopped or fixed. </t>
  </si>
  <si>
    <t>2 evaluations of diseses control programs</t>
  </si>
  <si>
    <t>Evaluation reports; M&amp;E frameworks.</t>
  </si>
  <si>
    <t>Program audit</t>
  </si>
  <si>
    <t>Define metrics</t>
  </si>
  <si>
    <t>Survey design</t>
  </si>
  <si>
    <t>Analysis phase</t>
  </si>
  <si>
    <t>Progress report</t>
  </si>
  <si>
    <t xml:space="preserve">Stakeholder review </t>
  </si>
  <si>
    <t>Program tuning</t>
  </si>
  <si>
    <t>Final evaluation</t>
  </si>
  <si>
    <t>Recommendations</t>
  </si>
  <si>
    <t>Implementation</t>
  </si>
  <si>
    <t>Success summary</t>
  </si>
  <si>
    <t xml:space="preserve">Continuous improvements: Identifies program failures early to pivot strategies and save resources. </t>
  </si>
  <si>
    <t>4 comprehensive M&amp;E reports (1 per quarter)</t>
  </si>
  <si>
    <t>M&amp;E reports, evaluation case studies</t>
  </si>
  <si>
    <t>M&amp;E plan setup</t>
  </si>
  <si>
    <t>Q1 report</t>
  </si>
  <si>
    <t>Site visits</t>
  </si>
  <si>
    <t>Q2 report</t>
  </si>
  <si>
    <t>Q3 report</t>
  </si>
  <si>
    <t>Outcome brief</t>
  </si>
  <si>
    <t>Q4 annual summary</t>
  </si>
  <si>
    <t>RPDD and Planning</t>
  </si>
  <si>
    <t>Measurable change in health metrics; Cost benefit ratio</t>
  </si>
  <si>
    <t xml:space="preserve">Investiment justification: Provides hard data to donors and government that the research saved lives and money. </t>
  </si>
  <si>
    <t>Impact assessment reports; ROI models.</t>
  </si>
  <si>
    <t xml:space="preserve">2 impact assessment reports (e.g ROI/DALY) </t>
  </si>
  <si>
    <t xml:space="preserve">Define metrics </t>
  </si>
  <si>
    <t>Baseline sudies</t>
  </si>
  <si>
    <t>Logic models</t>
  </si>
  <si>
    <t>Field surveys</t>
  </si>
  <si>
    <t>Economic analysis</t>
  </si>
  <si>
    <t>Interim report</t>
  </si>
  <si>
    <t>Modelling trends</t>
  </si>
  <si>
    <t>Draft assessment</t>
  </si>
  <si>
    <t xml:space="preserve">Final impact documents </t>
  </si>
  <si>
    <t>Policy seminar</t>
  </si>
  <si>
    <t>Funding brief</t>
  </si>
  <si>
    <t>Timeliness of reports;stakeholders usage rate (%).</t>
  </si>
  <si>
    <t>Operational transparency: Keeps leadership informed in real-time preventing "blind spots" in management.</t>
  </si>
  <si>
    <t xml:space="preserve">12 monthly performance dashboards. </t>
  </si>
  <si>
    <t xml:space="preserve">Performance dashboard; Board minutes. </t>
  </si>
  <si>
    <t>KPI (Key project indicators) definations</t>
  </si>
  <si>
    <t>Dashboard setup</t>
  </si>
  <si>
    <t>Septemeber report</t>
  </si>
  <si>
    <t>October report</t>
  </si>
  <si>
    <t>November report</t>
  </si>
  <si>
    <t>Mid year review</t>
  </si>
  <si>
    <t>January report</t>
  </si>
  <si>
    <t>Feburuary report</t>
  </si>
  <si>
    <t>March report</t>
  </si>
  <si>
    <t>April report</t>
  </si>
  <si>
    <t>May report</t>
  </si>
  <si>
    <t>Annual performance surmmary</t>
  </si>
  <si>
    <t>No. of complex analysis performed</t>
  </si>
  <si>
    <t xml:space="preserve">Precision medicine: Unlocks deep biological insights that lead to targeted , more effective health treatments. </t>
  </si>
  <si>
    <t>6 Genomic studies completed</t>
  </si>
  <si>
    <t>Samples preparation</t>
  </si>
  <si>
    <t>Sequencing</t>
  </si>
  <si>
    <t>Primary analysis</t>
  </si>
  <si>
    <t>Variant calling</t>
  </si>
  <si>
    <t>Functional notes</t>
  </si>
  <si>
    <t>Pathway analysis</t>
  </si>
  <si>
    <t>Interpretaion</t>
  </si>
  <si>
    <t>Final report</t>
  </si>
  <si>
    <t>Data submission</t>
  </si>
  <si>
    <t>Results release</t>
  </si>
  <si>
    <t>Tool functionality; User adoption rate (%)</t>
  </si>
  <si>
    <t xml:space="preserve">Innovation: Automates complex tasks, allowing researchers to work faster and with fewer errors. </t>
  </si>
  <si>
    <t>1 new tool/pipeline launched</t>
  </si>
  <si>
    <t>Software repositories (GitHub); Technical manuals</t>
  </si>
  <si>
    <t>Needs audit</t>
  </si>
  <si>
    <t>Tool design</t>
  </si>
  <si>
    <t xml:space="preserve">Prototype development. </t>
  </si>
  <si>
    <t>Debugging</t>
  </si>
  <si>
    <t>Version 1.0 live</t>
  </si>
  <si>
    <t>Tool support</t>
  </si>
  <si>
    <t>% Improvement in pre/post test scores</t>
  </si>
  <si>
    <t xml:space="preserve">Sustainability: Ensures the institution is not dependent on outside consultants for technical expertise. </t>
  </si>
  <si>
    <t xml:space="preserve">150 personnel trained (4 major sessions) </t>
  </si>
  <si>
    <t xml:space="preserve">Training certificates; attendance logs. </t>
  </si>
  <si>
    <t xml:space="preserve">Curriulum development. </t>
  </si>
  <si>
    <t>Trainer preparations (TOT).</t>
  </si>
  <si>
    <t>E-learning setup</t>
  </si>
  <si>
    <t>Mentorships</t>
  </si>
  <si>
    <t>Advanced modules</t>
  </si>
  <si>
    <t>Followup tests</t>
  </si>
  <si>
    <t>Workshop 3</t>
  </si>
  <si>
    <t>Final assessment</t>
  </si>
  <si>
    <t>Impact survey</t>
  </si>
  <si>
    <t>Workshop 4</t>
  </si>
  <si>
    <t>RPDD, Capacity directorate , ICT</t>
  </si>
  <si>
    <t>Journal impact factor; No. of citations</t>
  </si>
  <si>
    <t>Global authority: Validates research through peer review and builds the institution's reputation</t>
  </si>
  <si>
    <t>10 peer reviewed papers published</t>
  </si>
  <si>
    <t xml:space="preserve">Published articles; DOI (Digital Object IDs ). </t>
  </si>
  <si>
    <t xml:space="preserve">MS (Manuscript drafting) </t>
  </si>
  <si>
    <t>Journal selection</t>
  </si>
  <si>
    <t>Internal review</t>
  </si>
  <si>
    <t>Submission</t>
  </si>
  <si>
    <t>Peer feedback</t>
  </si>
  <si>
    <t>Resubmission</t>
  </si>
  <si>
    <t>Galley proofing</t>
  </si>
  <si>
    <t xml:space="preserve">Online release </t>
  </si>
  <si>
    <t>Citations track</t>
  </si>
  <si>
    <t>Media brief</t>
  </si>
  <si>
    <t>Publications list</t>
  </si>
  <si>
    <t>No. of delegates quality of feedback</t>
  </si>
  <si>
    <t xml:space="preserve">Knowledge exchange: connects local researchers with global experts to foster new collaborations. </t>
  </si>
  <si>
    <t>3 scientific conferences hosted/supported</t>
  </si>
  <si>
    <t>Conference proceedings; Event reports</t>
  </si>
  <si>
    <t>Theme selection</t>
  </si>
  <si>
    <t>Call for abstracts</t>
  </si>
  <si>
    <t>Speaker invites</t>
  </si>
  <si>
    <t>Program finalization</t>
  </si>
  <si>
    <t>Logistics</t>
  </si>
  <si>
    <t>Event 1</t>
  </si>
  <si>
    <t>Abstract review</t>
  </si>
  <si>
    <t>Marketing</t>
  </si>
  <si>
    <t>Event 2</t>
  </si>
  <si>
    <t>Post event report</t>
  </si>
  <si>
    <t>Outreach</t>
  </si>
  <si>
    <t>Event 3</t>
  </si>
  <si>
    <t>Pentesting(Penetration testing).</t>
  </si>
  <si>
    <t>Protection againist data breaches.</t>
  </si>
  <si>
    <t>Increased efficiency and speed.</t>
  </si>
  <si>
    <t xml:space="preserve">RPDD, CBPGMD </t>
  </si>
  <si>
    <t>RPDD, Corporate Communication.</t>
  </si>
  <si>
    <t>Bio- ,Statistical reports; Processed sequence data</t>
  </si>
  <si>
    <t>Uptime and 0 data loss</t>
  </si>
  <si>
    <t xml:space="preserve">Activity </t>
  </si>
  <si>
    <t>Subactivity</t>
  </si>
  <si>
    <t>Details</t>
  </si>
  <si>
    <t>Quantity</t>
  </si>
  <si>
    <t xml:space="preserve">Unit price </t>
  </si>
  <si>
    <t>Estimated Cost (KES)</t>
  </si>
  <si>
    <t>Zero Data Loss</t>
  </si>
  <si>
    <t>Zero Vulnerabilities</t>
  </si>
  <si>
    <t>API Development</t>
  </si>
  <si>
    <t>Unit Price (KES)</t>
  </si>
  <si>
    <t>3 New Policies</t>
  </si>
  <si>
    <t>i. Develop and review data policies and strategies</t>
  </si>
  <si>
    <t>Stakeholder Input &amp; Review</t>
  </si>
  <si>
    <t>Venue and refreshments for policy workshop</t>
  </si>
  <si>
    <t>Policy Drafting</t>
  </si>
  <si>
    <t>Consultant/Legal fee for data quality policy drafting</t>
  </si>
  <si>
    <t>1 Operational Framework</t>
  </si>
  <si>
    <t>ii. Establish data governance frameworks</t>
  </si>
  <si>
    <t>Charter Development</t>
  </si>
  <si>
    <t>Strategic retreat for Governance Committee (Chairs &amp; Desks)</t>
  </si>
  <si>
    <t>Board/Council Approval</t>
  </si>
  <si>
    <t>Meeting allowances and printing of Terms of Reference</t>
  </si>
  <si>
    <t>99.9% Uptime &amp; Zero Data Loss</t>
  </si>
  <si>
    <t>iii. Manage databases and data systems</t>
  </si>
  <si>
    <t>Hardware Upgrade</t>
  </si>
  <si>
    <r>
      <t>MacBook Air M3</t>
    </r>
    <r>
      <rPr>
        <sz val="11"/>
        <color theme="1"/>
        <rFont val="Aptos Narrow"/>
        <family val="2"/>
        <scheme val="minor"/>
      </rPr>
      <t xml:space="preserve"> (For System Admins/Researchers)</t>
    </r>
  </si>
  <si>
    <t>Power Protection</t>
  </si>
  <si>
    <r>
      <t>Smart UPS 1000VA</t>
    </r>
    <r>
      <rPr>
        <sz val="11"/>
        <color theme="1"/>
        <rFont val="Aptos Narrow"/>
        <family val="2"/>
        <scheme val="minor"/>
      </rPr>
      <t xml:space="preserve"> (Protecting server/workstations)</t>
    </r>
  </si>
  <si>
    <t>Backup Storage</t>
  </si>
  <si>
    <r>
      <t>2TB External Drives</t>
    </r>
    <r>
      <rPr>
        <sz val="11"/>
        <color theme="1"/>
        <rFont val="Aptos Narrow"/>
        <family val="2"/>
        <scheme val="minor"/>
      </rPr>
      <t xml:space="preserve"> (Physical backup of data systems)</t>
    </r>
  </si>
  <si>
    <t>Office Setup</t>
  </si>
  <si>
    <r>
      <t>Ergonomic Mesh Chairs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color theme="1"/>
        <rFont val="Aptos Narrow"/>
        <family val="2"/>
        <scheme val="minor"/>
      </rPr>
      <t>1.5m Office Desks</t>
    </r>
  </si>
  <si>
    <t>18,500 (avg)</t>
  </si>
  <si>
    <t>Zero Critical Vulnerabilities</t>
  </si>
  <si>
    <t>iv. Ensure data security and integrity</t>
  </si>
  <si>
    <t>Vulnerability Assessment</t>
  </si>
  <si>
    <r>
      <t>Penetration Testing (Pen-Test)</t>
    </r>
    <r>
      <rPr>
        <sz val="11"/>
        <color theme="1"/>
        <rFont val="Aptos Narrow"/>
        <family val="2"/>
        <scheme val="minor"/>
      </rPr>
      <t xml:space="preserve"> by certified Ethical Hackers</t>
    </r>
  </si>
  <si>
    <t>Protocol Implementation</t>
  </si>
  <si>
    <r>
      <t>MFA (Multi-Factor Authentication)</t>
    </r>
    <r>
      <rPr>
        <sz val="11"/>
        <color theme="1"/>
        <rFont val="Aptos Narrow"/>
        <family val="2"/>
        <scheme val="minor"/>
      </rPr>
      <t xml:space="preserve"> license and setup for 60 users</t>
    </r>
  </si>
  <si>
    <t>Hardware Security</t>
  </si>
  <si>
    <r>
      <t>Next-Gen Firewall Appliance</t>
    </r>
    <r>
      <rPr>
        <sz val="11"/>
        <color theme="1"/>
        <rFont val="Aptos Narrow"/>
        <family val="2"/>
        <scheme val="minor"/>
      </rPr>
      <t xml:space="preserve"> (e.g., Fortinet/Sophos) with 1yr license</t>
    </r>
  </si>
  <si>
    <t>2 Key Pipelines Automated</t>
  </si>
  <si>
    <t>v. Automate data collection processes</t>
  </si>
  <si>
    <r>
      <t xml:space="preserve">Custom </t>
    </r>
    <r>
      <rPr>
        <b/>
        <sz val="11"/>
        <color theme="1"/>
        <rFont val="Aptos Narrow"/>
        <family val="2"/>
        <scheme val="minor"/>
      </rPr>
      <t>API Integration</t>
    </r>
    <r>
      <rPr>
        <sz val="11"/>
        <color theme="1"/>
        <rFont val="Aptos Narrow"/>
        <family val="2"/>
        <scheme val="minor"/>
      </rPr>
      <t xml:space="preserve"> for automated data sync</t>
    </r>
  </si>
  <si>
    <t>Staff Capacity</t>
  </si>
  <si>
    <r>
      <t>Data Science &amp; ML Bootcamp</t>
    </r>
    <r>
      <rPr>
        <sz val="11"/>
        <color theme="1"/>
        <rFont val="Aptos Narrow"/>
        <family val="2"/>
        <scheme val="minor"/>
      </rPr>
      <t xml:space="preserve"> (Professional training for lead team)</t>
    </r>
  </si>
  <si>
    <t>Integrity-Assured Datasets</t>
  </si>
  <si>
    <t>i. Collect and manage data</t>
  </si>
  <si>
    <t>System Resilience</t>
  </si>
  <si>
    <r>
      <t>Smart UPS 1000VA</t>
    </r>
    <r>
      <rPr>
        <sz val="11"/>
        <color theme="1"/>
        <rFont val="Aptos Narrow"/>
        <family val="2"/>
        <scheme val="minor"/>
      </rPr>
      <t xml:space="preserve"> (Mecer/APC) for data entry stations</t>
    </r>
  </si>
  <si>
    <t>Data Archiving</t>
  </si>
  <si>
    <r>
      <t>2TB External Hard Drives</t>
    </r>
    <r>
      <rPr>
        <sz val="11"/>
        <color theme="1"/>
        <rFont val="Aptos Narrow"/>
        <family val="2"/>
        <scheme val="minor"/>
      </rPr>
      <t xml:space="preserve"> (WD My Passport/Seagate)</t>
    </r>
  </si>
  <si>
    <t>12 Analytical Reports</t>
  </si>
  <si>
    <t>ii. Analyze and interpret data</t>
  </si>
  <si>
    <t>Research Hardware</t>
  </si>
  <si>
    <r>
      <t>MacBook Air M3 13"</t>
    </r>
    <r>
      <rPr>
        <sz val="11"/>
        <color theme="1"/>
        <rFont val="Aptos Narrow"/>
        <family val="2"/>
        <scheme val="minor"/>
      </rPr>
      <t xml:space="preserve"> (16GB RAM/512GB SSD)</t>
    </r>
  </si>
  <si>
    <t>Expert Modeling</t>
  </si>
  <si>
    <r>
      <t>i7/i9 High-end Tower PCs</t>
    </r>
    <r>
      <rPr>
        <sz val="11"/>
        <color theme="1"/>
        <rFont val="Aptos Narrow"/>
        <family val="2"/>
        <scheme val="minor"/>
      </rPr>
      <t xml:space="preserve"> for bio-modeling</t>
    </r>
  </si>
  <si>
    <t>8 Study Protocols</t>
  </si>
  <si>
    <t>iii. Support study design</t>
  </si>
  <si>
    <t>Collaborative Space</t>
  </si>
  <si>
    <r>
      <t>1.5m Office Desks</t>
    </r>
    <r>
      <rPr>
        <sz val="11"/>
        <color theme="1"/>
        <rFont val="Aptos Narrow"/>
        <family val="2"/>
        <scheme val="minor"/>
      </rPr>
      <t xml:space="preserve"> (3-drawer mahogany finish)</t>
    </r>
  </si>
  <si>
    <t>Ergonomic Seating</t>
  </si>
  <si>
    <r>
      <t>High-Back Mesh Chairs</t>
    </r>
    <r>
      <rPr>
        <sz val="11"/>
        <color theme="1"/>
        <rFont val="Aptos Narrow"/>
        <family val="2"/>
        <scheme val="minor"/>
      </rPr>
      <t xml:space="preserve"> with lumbar support</t>
    </r>
  </si>
  <si>
    <t>Qualified Workforce</t>
  </si>
  <si>
    <t>iv. Statistical/Analytical support</t>
  </si>
  <si>
    <t>Advanced Training</t>
  </si>
  <si>
    <r>
      <t>Data Science &amp; ML 6-Month Bootcamp</t>
    </r>
    <r>
      <rPr>
        <sz val="11"/>
        <color theme="1"/>
        <rFont val="Aptos Narrow"/>
        <family val="2"/>
        <scheme val="minor"/>
      </rPr>
      <t xml:space="preserve"> (per person)</t>
    </r>
  </si>
  <si>
    <t>Continuous Coaching</t>
  </si>
  <si>
    <t>Monthly expert mentorship/statistical coaching sessions</t>
  </si>
  <si>
    <t>4 Comprehensive Studies</t>
  </si>
  <si>
    <t>i. Conduct epidemiological studies</t>
  </si>
  <si>
    <t>Data Collection Hardware</t>
  </si>
  <si>
    <r>
      <t>MacBook Air M3</t>
    </r>
    <r>
      <rPr>
        <sz val="11"/>
        <color theme="1"/>
        <rFont val="Aptos Narrow"/>
        <family val="2"/>
        <scheme val="minor"/>
      </rPr>
      <t xml:space="preserve"> (16GB RAM/512GB SSD)</t>
    </r>
  </si>
  <si>
    <t>Resilience</t>
  </si>
  <si>
    <r>
      <t>Smart UPS 1000VA</t>
    </r>
    <r>
      <rPr>
        <sz val="11"/>
        <color theme="1"/>
        <rFont val="Aptos Narrow"/>
        <family val="2"/>
        <scheme val="minor"/>
      </rPr>
      <t xml:space="preserve"> (Mecer/APC) for workstations</t>
    </r>
  </si>
  <si>
    <t>12 Monthly Trend Reports</t>
  </si>
  <si>
    <t>ii. Analyze disease patterns and trends</t>
  </si>
  <si>
    <t>Statistical Support</t>
  </si>
  <si>
    <r>
      <t>2TB External Hard Drives</t>
    </r>
    <r>
      <rPr>
        <sz val="11"/>
        <color theme="1"/>
        <rFont val="Aptos Narrow"/>
        <family val="2"/>
        <scheme val="minor"/>
      </rPr>
      <t xml:space="preserve"> (Backup of large datasets)</t>
    </r>
  </si>
  <si>
    <t>2 Functional Models</t>
  </si>
  <si>
    <t>iii. Develop predictive &amp; ML models</t>
  </si>
  <si>
    <t>Computational Power</t>
  </si>
  <si>
    <r>
      <t>i7/i9 High-end Tower PCs</t>
    </r>
    <r>
      <rPr>
        <sz val="11"/>
        <color theme="1"/>
        <rFont val="Aptos Narrow"/>
        <family val="2"/>
        <scheme val="minor"/>
      </rPr>
      <t xml:space="preserve"> (GPU-accelerated for ML)</t>
    </r>
  </si>
  <si>
    <t>Capacity Building</t>
  </si>
  <si>
    <r>
      <t>Data Science &amp; ML 6-Month Bootcamp</t>
    </r>
    <r>
      <rPr>
        <sz val="11"/>
        <color theme="1"/>
        <rFont val="Aptos Narrow"/>
        <family val="2"/>
        <scheme val="minor"/>
      </rPr>
      <t xml:space="preserve"> (Specialized)</t>
    </r>
  </si>
  <si>
    <t>2 Program Evaluations</t>
  </si>
  <si>
    <t>iv. Design/monitor disease control programs</t>
  </si>
  <si>
    <t>Office Infrastructure</t>
  </si>
  <si>
    <r>
      <t>1.5m Office Desks</t>
    </r>
    <r>
      <rPr>
        <sz val="11"/>
        <color theme="1"/>
        <rFont val="Aptos Narrow"/>
        <family val="2"/>
        <scheme val="minor"/>
      </rPr>
      <t xml:space="preserve"> (3-drawer finish)</t>
    </r>
  </si>
  <si>
    <t>Seating</t>
  </si>
  <si>
    <t>Monitoring Support</t>
  </si>
  <si>
    <t>Monthly statistical coaching/consultancy sessions</t>
  </si>
  <si>
    <t>4 Comprehensive M&amp;E Reports</t>
  </si>
  <si>
    <t>i. Provide M&amp;E services; evaluate research outcomes</t>
  </si>
  <si>
    <t>Reporting Hardware</t>
  </si>
  <si>
    <r>
      <t>Smart UPS 1000VA</t>
    </r>
    <r>
      <rPr>
        <sz val="11"/>
        <color theme="1"/>
        <rFont val="Aptos Narrow"/>
        <family val="2"/>
        <scheme val="minor"/>
      </rPr>
      <t xml:space="preserve"> (Mecer/APC) for data stations</t>
    </r>
  </si>
  <si>
    <t>2 Impact Assessment Reports</t>
  </si>
  <si>
    <t>ii. Assess economic and health impact of interventions</t>
  </si>
  <si>
    <r>
      <t>2TB External Hard Drives</t>
    </r>
    <r>
      <rPr>
        <sz val="11"/>
        <color theme="1"/>
        <rFont val="Aptos Narrow"/>
        <family val="2"/>
        <scheme val="minor"/>
      </rPr>
      <t xml:space="preserve"> (Backup for ROI/DALY models)</t>
    </r>
  </si>
  <si>
    <t>Economic Modeling</t>
  </si>
  <si>
    <r>
      <t>i7/i9 High-end Tower PCs</t>
    </r>
    <r>
      <rPr>
        <sz val="11"/>
        <color theme="1"/>
        <rFont val="Aptos Narrow"/>
        <family val="2"/>
        <scheme val="minor"/>
      </rPr>
      <t xml:space="preserve"> (For heavy impact modeling)</t>
    </r>
  </si>
  <si>
    <t>12 Monthly Dashboards</t>
  </si>
  <si>
    <t>iii. Generate real-time performance reports</t>
  </si>
  <si>
    <t>Dashboard Setup</t>
  </si>
  <si>
    <t>(Combined M&amp;E Support)</t>
  </si>
  <si>
    <t>Specialized Training</t>
  </si>
  <si>
    <r>
      <t>Data Science &amp; ML 6-Month Bootcamp</t>
    </r>
    <r>
      <rPr>
        <sz val="11"/>
        <color theme="1"/>
        <rFont val="Aptos Narrow"/>
        <family val="2"/>
        <scheme val="minor"/>
      </rPr>
      <t xml:space="preserve"> (Impact Analytics)</t>
    </r>
  </si>
  <si>
    <t>8 Genomic Studies</t>
  </si>
  <si>
    <t>i. Bioinformatics and genomic analysis</t>
  </si>
  <si>
    <t>Sequence Analysis Hardware</t>
  </si>
  <si>
    <r>
      <t>i7/i9 High-end Tower PCs</t>
    </r>
    <r>
      <rPr>
        <sz val="11"/>
        <color theme="1"/>
        <rFont val="Aptos Narrow"/>
        <family val="2"/>
        <scheme val="minor"/>
      </rPr>
      <t xml:space="preserve"> (GPU-accelerated for sequence data)</t>
    </r>
  </si>
  <si>
    <t>Power Resilience</t>
  </si>
  <si>
    <t>3 New Tool/Pipelines</t>
  </si>
  <si>
    <t>ii. Develop computational tools</t>
  </si>
  <si>
    <t>Software Development</t>
  </si>
  <si>
    <t>Code Backup</t>
  </si>
  <si>
    <r>
      <t>2TB External Hard Drives</t>
    </r>
    <r>
      <rPr>
        <sz val="11"/>
        <color theme="1"/>
        <rFont val="Aptos Narrow"/>
        <family val="2"/>
        <scheme val="minor"/>
      </rPr>
      <t xml:space="preserve"> (Git/Local Repository Backup)</t>
    </r>
  </si>
  <si>
    <t>150 Personnel Trained</t>
  </si>
  <si>
    <t>iii. Train staff and researchers</t>
  </si>
  <si>
    <t>Professional Development</t>
  </si>
  <si>
    <r>
      <t>Data Science &amp; ML 6-Month Bootcamp</t>
    </r>
    <r>
      <rPr>
        <sz val="11"/>
        <color theme="1"/>
        <rFont val="Aptos Narrow"/>
        <family val="2"/>
        <scheme val="minor"/>
      </rPr>
      <t xml:space="preserve"> (Bioinformatics focus)</t>
    </r>
  </si>
  <si>
    <t>10 Peer-Reviewed Papers</t>
  </si>
  <si>
    <t>iv. Publish findings</t>
  </si>
  <si>
    <t>Researcher Workspace</t>
  </si>
  <si>
    <t>3 Scientific Conferences</t>
  </si>
  <si>
    <t>v. Support conferences and dissemination</t>
  </si>
  <si>
    <t>Knowledge Dissemination</t>
  </si>
  <si>
    <t>Expert Mentorship</t>
  </si>
  <si>
    <t>Critical Infrastructure Budget Additions</t>
  </si>
  <si>
    <t>Item Details</t>
  </si>
  <si>
    <t>Scientific Excellence</t>
  </si>
  <si>
    <t>V. Bioinformatics &amp; Innovation</t>
  </si>
  <si>
    <t>High-End Server Cluster</t>
  </si>
  <si>
    <t>2x AMD EPYC (64 cores), 2x RTX 4090 GPUs, 256GB RAM</t>
  </si>
  <si>
    <t>99.9% Uptime</t>
  </si>
  <si>
    <t>I. Data Governance &amp; Systems</t>
  </si>
  <si>
    <t>Central Power Backup</t>
  </si>
  <si>
    <t>Smart UPS 3KVA (For server rack protection)</t>
  </si>
  <si>
    <t>Enterprise Virtualization</t>
  </si>
  <si>
    <t>Proxmox/Docker Setup &amp; Cloud Sync (Consultancy)</t>
  </si>
  <si>
    <t>Network Security</t>
  </si>
  <si>
    <t>Firewall, VPN Setup &amp; SSL Certificates (Annual)</t>
  </si>
  <si>
    <t>Operational Support</t>
  </si>
  <si>
    <t>All Strategic Issues</t>
  </si>
  <si>
    <t>Communication &amp; Data</t>
  </si>
  <si>
    <t>Mobile Data/Airtime &amp; High-Speed MiFi Backups</t>
  </si>
  <si>
    <t>V. Capacity Building</t>
  </si>
  <si>
    <t>Strategy Retreat</t>
  </si>
  <si>
    <t>Data Governance &amp; Research Compliance Retreat</t>
  </si>
  <si>
    <t>TOTAL CRITICAL ADDITIONS</t>
  </si>
  <si>
    <t>2. Data Collection, Analysis and Research Support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</si>
</sst>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5" fillId="7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5" xfId="0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0" fillId="0" borderId="0" xfId="0" applyNumberFormat="1"/>
    <xf numFmtId="3" fontId="0" fillId="0" borderId="5" xfId="0" applyNumberForma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left" vertical="top" wrapText="1"/>
    </xf>
    <xf numFmtId="0" fontId="8" fillId="0" borderId="0" xfId="0" applyFont="1"/>
    <xf numFmtId="3" fontId="2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30"/>
  <sheetViews>
    <sheetView tabSelected="1" topLeftCell="D15" workbookViewId="0">
      <selection activeCell="D15" sqref="D15:D18"/>
    </sheetView>
  </sheetViews>
  <sheetFormatPr defaultColWidth="9.19921875" defaultRowHeight="13.2"/>
  <cols>
    <col min="1" max="1" width="9.19921875" style="8"/>
    <col min="2" max="2" width="9.19921875" style="14"/>
    <col min="3" max="3" width="52.19921875" style="8" bestFit="1" customWidth="1"/>
    <col min="4" max="6" width="16.5" style="19" customWidth="1"/>
    <col min="7" max="7" width="20" style="20" customWidth="1"/>
    <col min="8" max="9" width="19.796875" style="8" customWidth="1"/>
    <col min="10" max="10" width="14.09765625" style="8" bestFit="1" customWidth="1"/>
    <col min="11" max="11" width="40.59765625" style="8" bestFit="1" customWidth="1"/>
    <col min="12" max="12" width="9.09765625" style="8" bestFit="1" customWidth="1"/>
    <col min="13" max="22" width="9.19921875" style="8"/>
    <col min="23" max="23" width="9.09765625" style="8" bestFit="1" customWidth="1"/>
    <col min="24" max="26" width="9.19921875" style="8"/>
    <col min="27" max="27" width="13.296875" style="8" customWidth="1"/>
    <col min="28" max="16384" width="9.19921875" style="8"/>
  </cols>
  <sheetData>
    <row r="1" spans="2:27" ht="13.8" thickBot="1"/>
    <row r="2" spans="2:27" ht="13.8" thickBot="1">
      <c r="B2" s="37" t="s">
        <v>19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15"/>
    </row>
    <row r="3" spans="2:27" ht="27" thickBot="1">
      <c r="B3" s="42"/>
      <c r="C3" s="43" t="s">
        <v>20</v>
      </c>
      <c r="D3" s="44" t="s">
        <v>0</v>
      </c>
      <c r="E3" s="45" t="s">
        <v>21</v>
      </c>
      <c r="F3" s="5" t="s">
        <v>1</v>
      </c>
      <c r="G3" s="44" t="s">
        <v>22</v>
      </c>
      <c r="H3" s="46" t="s">
        <v>5</v>
      </c>
      <c r="I3" s="41" t="s">
        <v>23</v>
      </c>
      <c r="J3" s="46" t="s">
        <v>24</v>
      </c>
      <c r="K3" s="46" t="s">
        <v>25</v>
      </c>
      <c r="L3" s="47" t="s">
        <v>26</v>
      </c>
      <c r="M3" s="47"/>
      <c r="N3" s="47"/>
      <c r="O3" s="47" t="s">
        <v>27</v>
      </c>
      <c r="P3" s="47"/>
      <c r="Q3" s="47"/>
      <c r="R3" s="47" t="s">
        <v>28</v>
      </c>
      <c r="S3" s="47"/>
      <c r="T3" s="47"/>
      <c r="U3" s="47" t="s">
        <v>29</v>
      </c>
      <c r="V3" s="47"/>
      <c r="W3" s="47"/>
      <c r="X3" s="6" t="s">
        <v>30</v>
      </c>
      <c r="Y3" s="46" t="s">
        <v>31</v>
      </c>
      <c r="Z3" s="46"/>
      <c r="AA3" s="41" t="s">
        <v>32</v>
      </c>
    </row>
    <row r="4" spans="2:27" ht="15" customHeight="1" thickBot="1">
      <c r="B4" s="42"/>
      <c r="C4" s="43"/>
      <c r="D4" s="44"/>
      <c r="E4" s="45"/>
      <c r="F4" s="5"/>
      <c r="G4" s="44"/>
      <c r="H4" s="46"/>
      <c r="I4" s="41"/>
      <c r="J4" s="46"/>
      <c r="K4" s="46"/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  <c r="V4" s="4" t="s">
        <v>43</v>
      </c>
      <c r="W4" s="4" t="s">
        <v>44</v>
      </c>
      <c r="X4" s="6" t="s">
        <v>45</v>
      </c>
      <c r="Y4" s="6" t="s">
        <v>46</v>
      </c>
      <c r="Z4" s="6" t="s">
        <v>47</v>
      </c>
      <c r="AA4" s="41"/>
    </row>
    <row r="5" spans="2:27" s="14" customFormat="1" ht="13.8" thickBot="1">
      <c r="B5" s="36" t="s">
        <v>48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1"/>
    </row>
    <row r="6" spans="2:27" s="14" customFormat="1" ht="13.8" thickBot="1">
      <c r="B6" s="36" t="s">
        <v>49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1"/>
    </row>
    <row r="7" spans="2:27" s="14" customFormat="1" ht="13.8" thickBot="1">
      <c r="B7" s="37">
        <v>4</v>
      </c>
      <c r="C7" s="38" t="s">
        <v>50</v>
      </c>
      <c r="D7" s="2"/>
      <c r="E7" s="2"/>
      <c r="F7" s="2"/>
      <c r="G7" s="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5"/>
    </row>
    <row r="8" spans="2:27" s="14" customFormat="1" ht="13.8" thickBot="1">
      <c r="B8" s="37"/>
      <c r="C8" s="38"/>
      <c r="D8" s="39" t="s">
        <v>51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15"/>
    </row>
    <row r="9" spans="2:27" ht="13.8" thickBot="1">
      <c r="B9" s="37"/>
      <c r="C9" s="38"/>
      <c r="D9" s="35" t="s">
        <v>52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15"/>
    </row>
    <row r="10" spans="2:27" ht="66.599999999999994" thickBot="1">
      <c r="B10" s="37"/>
      <c r="C10" s="38"/>
      <c r="D10" s="30" t="s">
        <v>6</v>
      </c>
      <c r="E10" s="7" t="s">
        <v>53</v>
      </c>
      <c r="F10" s="31" t="s">
        <v>7</v>
      </c>
      <c r="G10" s="40" t="s">
        <v>8</v>
      </c>
      <c r="H10" s="12" t="s">
        <v>9</v>
      </c>
      <c r="I10" s="12" t="s">
        <v>106</v>
      </c>
      <c r="J10" s="12" t="s">
        <v>78</v>
      </c>
      <c r="K10" s="12" t="s">
        <v>147</v>
      </c>
      <c r="L10" s="16" t="s">
        <v>80</v>
      </c>
      <c r="M10" s="16" t="s">
        <v>81</v>
      </c>
      <c r="N10" s="16" t="s">
        <v>82</v>
      </c>
      <c r="O10" s="16" t="s">
        <v>83</v>
      </c>
      <c r="P10" s="16" t="s">
        <v>84</v>
      </c>
      <c r="Q10" s="16" t="s">
        <v>85</v>
      </c>
      <c r="R10" s="16" t="s">
        <v>86</v>
      </c>
      <c r="S10" s="16" t="s">
        <v>87</v>
      </c>
      <c r="T10" s="16" t="s">
        <v>88</v>
      </c>
      <c r="U10" s="16" t="s">
        <v>79</v>
      </c>
      <c r="V10" s="16" t="s">
        <v>89</v>
      </c>
      <c r="W10" s="16" t="s">
        <v>90</v>
      </c>
      <c r="X10" s="16"/>
      <c r="Y10" s="16" t="s">
        <v>91</v>
      </c>
      <c r="Z10" s="16" t="s">
        <v>92</v>
      </c>
      <c r="AA10" s="29">
        <f>Sheet1!H3</f>
        <v>570000</v>
      </c>
    </row>
    <row r="11" spans="2:27" ht="66.599999999999994" thickBot="1">
      <c r="B11" s="37"/>
      <c r="C11" s="38"/>
      <c r="D11" s="30"/>
      <c r="E11" s="7" t="s">
        <v>54</v>
      </c>
      <c r="F11" s="31"/>
      <c r="G11" s="40"/>
      <c r="H11" s="12" t="s">
        <v>74</v>
      </c>
      <c r="I11" s="12" t="s">
        <v>107</v>
      </c>
      <c r="J11" s="12" t="s">
        <v>93</v>
      </c>
      <c r="K11" s="12" t="s">
        <v>148</v>
      </c>
      <c r="L11" s="16" t="s">
        <v>95</v>
      </c>
      <c r="M11" s="16" t="s">
        <v>96</v>
      </c>
      <c r="N11" s="16" t="s">
        <v>97</v>
      </c>
      <c r="O11" s="16" t="s">
        <v>94</v>
      </c>
      <c r="P11" s="16" t="s">
        <v>98</v>
      </c>
      <c r="Q11" s="16" t="s">
        <v>99</v>
      </c>
      <c r="R11" s="16" t="s">
        <v>100</v>
      </c>
      <c r="S11" s="16" t="s">
        <v>101</v>
      </c>
      <c r="T11" s="16" t="s">
        <v>102</v>
      </c>
      <c r="U11" s="16" t="s">
        <v>103</v>
      </c>
      <c r="V11" s="16" t="s">
        <v>104</v>
      </c>
      <c r="W11" s="16" t="s">
        <v>105</v>
      </c>
      <c r="X11" s="16"/>
      <c r="Y11" s="16" t="s">
        <v>91</v>
      </c>
      <c r="Z11" s="16" t="s">
        <v>92</v>
      </c>
      <c r="AA11" s="15"/>
    </row>
    <row r="12" spans="2:27" ht="106.2" thickBot="1">
      <c r="B12" s="37"/>
      <c r="C12" s="38"/>
      <c r="D12" s="30"/>
      <c r="E12" s="7" t="s">
        <v>55</v>
      </c>
      <c r="F12" s="31"/>
      <c r="G12" s="40"/>
      <c r="H12" s="12" t="s">
        <v>75</v>
      </c>
      <c r="I12" s="12" t="s">
        <v>391</v>
      </c>
      <c r="J12" s="12" t="s">
        <v>108</v>
      </c>
      <c r="K12" s="10" t="s">
        <v>149</v>
      </c>
      <c r="L12" s="12" t="s">
        <v>109</v>
      </c>
      <c r="M12" s="16" t="s">
        <v>110</v>
      </c>
      <c r="N12" s="16" t="s">
        <v>119</v>
      </c>
      <c r="O12" s="16" t="s">
        <v>111</v>
      </c>
      <c r="P12" s="16" t="s">
        <v>112</v>
      </c>
      <c r="Q12" s="16" t="s">
        <v>113</v>
      </c>
      <c r="R12" s="16" t="s">
        <v>114</v>
      </c>
      <c r="S12" s="16" t="s">
        <v>115</v>
      </c>
      <c r="T12" s="16" t="s">
        <v>116</v>
      </c>
      <c r="U12" s="16" t="s">
        <v>120</v>
      </c>
      <c r="V12" s="16" t="s">
        <v>117</v>
      </c>
      <c r="W12" s="16" t="s">
        <v>118</v>
      </c>
      <c r="X12" s="16"/>
      <c r="Y12" s="16" t="s">
        <v>91</v>
      </c>
      <c r="Z12" s="16" t="s">
        <v>121</v>
      </c>
      <c r="AA12" s="15"/>
    </row>
    <row r="13" spans="2:27" ht="66.599999999999994" thickBot="1">
      <c r="B13" s="37"/>
      <c r="C13" s="38"/>
      <c r="D13" s="30"/>
      <c r="E13" s="7" t="s">
        <v>56</v>
      </c>
      <c r="F13" s="31"/>
      <c r="G13" s="40"/>
      <c r="H13" s="12" t="s">
        <v>76</v>
      </c>
      <c r="I13" s="12" t="s">
        <v>386</v>
      </c>
      <c r="J13" s="12" t="s">
        <v>122</v>
      </c>
      <c r="K13" s="9" t="s">
        <v>150</v>
      </c>
      <c r="L13" s="12" t="s">
        <v>123</v>
      </c>
      <c r="M13" s="16" t="s">
        <v>125</v>
      </c>
      <c r="N13" s="16" t="s">
        <v>124</v>
      </c>
      <c r="O13" s="16" t="s">
        <v>126</v>
      </c>
      <c r="P13" s="16" t="s">
        <v>128</v>
      </c>
      <c r="Q13" s="16" t="s">
        <v>127</v>
      </c>
      <c r="R13" s="16" t="s">
        <v>385</v>
      </c>
      <c r="S13" s="16" t="s">
        <v>130</v>
      </c>
      <c r="T13" s="16" t="s">
        <v>129</v>
      </c>
      <c r="U13" s="16" t="s">
        <v>131</v>
      </c>
      <c r="V13" s="16" t="s">
        <v>132</v>
      </c>
      <c r="W13" s="16" t="s">
        <v>133</v>
      </c>
      <c r="X13" s="16"/>
      <c r="Y13" s="16" t="s">
        <v>91</v>
      </c>
      <c r="Z13" s="16" t="s">
        <v>121</v>
      </c>
      <c r="AA13" s="15"/>
    </row>
    <row r="14" spans="2:27" ht="53.4" thickBot="1">
      <c r="B14" s="37"/>
      <c r="C14" s="38"/>
      <c r="D14" s="30"/>
      <c r="E14" s="7" t="s">
        <v>57</v>
      </c>
      <c r="F14" s="31"/>
      <c r="G14" s="40"/>
      <c r="H14" s="12" t="s">
        <v>77</v>
      </c>
      <c r="I14" s="12" t="s">
        <v>387</v>
      </c>
      <c r="J14" s="12" t="s">
        <v>134</v>
      </c>
      <c r="K14" s="12" t="s">
        <v>151</v>
      </c>
      <c r="L14" s="16" t="s">
        <v>135</v>
      </c>
      <c r="M14" s="16" t="s">
        <v>136</v>
      </c>
      <c r="N14" s="16" t="s">
        <v>137</v>
      </c>
      <c r="O14" s="16" t="s">
        <v>138</v>
      </c>
      <c r="P14" s="16" t="s">
        <v>139</v>
      </c>
      <c r="Q14" s="16" t="s">
        <v>140</v>
      </c>
      <c r="R14" s="16" t="s">
        <v>141</v>
      </c>
      <c r="S14" s="16" t="s">
        <v>142</v>
      </c>
      <c r="T14" s="16" t="s">
        <v>143</v>
      </c>
      <c r="U14" s="16" t="s">
        <v>144</v>
      </c>
      <c r="V14" s="16" t="s">
        <v>145</v>
      </c>
      <c r="W14" s="16" t="s">
        <v>146</v>
      </c>
      <c r="X14" s="16"/>
      <c r="Y14" s="16" t="s">
        <v>91</v>
      </c>
      <c r="Z14" s="16" t="s">
        <v>121</v>
      </c>
      <c r="AA14" s="15"/>
    </row>
    <row r="15" spans="2:27" ht="66.599999999999994" thickBot="1">
      <c r="B15" s="37"/>
      <c r="C15" s="38"/>
      <c r="D15" s="30" t="s">
        <v>543</v>
      </c>
      <c r="E15" s="7" t="s">
        <v>58</v>
      </c>
      <c r="F15" s="31" t="s">
        <v>2</v>
      </c>
      <c r="G15" s="40" t="s">
        <v>10</v>
      </c>
      <c r="H15" s="12" t="s">
        <v>152</v>
      </c>
      <c r="I15" s="12" t="s">
        <v>153</v>
      </c>
      <c r="J15" s="12" t="s">
        <v>154</v>
      </c>
      <c r="K15" s="12" t="s">
        <v>155</v>
      </c>
      <c r="L15" s="11" t="s">
        <v>156</v>
      </c>
      <c r="M15" s="11" t="s">
        <v>157</v>
      </c>
      <c r="N15" s="11" t="s">
        <v>158</v>
      </c>
      <c r="O15" s="11" t="s">
        <v>159</v>
      </c>
      <c r="P15" s="11" t="s">
        <v>160</v>
      </c>
      <c r="Q15" s="11" t="s">
        <v>161</v>
      </c>
      <c r="R15" s="11" t="s">
        <v>162</v>
      </c>
      <c r="S15" s="11" t="s">
        <v>163</v>
      </c>
      <c r="T15" s="11" t="s">
        <v>164</v>
      </c>
      <c r="U15" s="11" t="s">
        <v>165</v>
      </c>
      <c r="V15" s="11" t="s">
        <v>166</v>
      </c>
      <c r="W15" s="11" t="s">
        <v>167</v>
      </c>
      <c r="X15" s="11"/>
      <c r="Y15" s="11" t="s">
        <v>91</v>
      </c>
      <c r="Z15" s="11" t="s">
        <v>92</v>
      </c>
      <c r="AA15" s="15"/>
    </row>
    <row r="16" spans="2:27" ht="106.2" thickBot="1">
      <c r="B16" s="37"/>
      <c r="C16" s="38"/>
      <c r="D16" s="30"/>
      <c r="E16" s="7" t="s">
        <v>59</v>
      </c>
      <c r="F16" s="31"/>
      <c r="G16" s="40"/>
      <c r="H16" s="12" t="s">
        <v>168</v>
      </c>
      <c r="I16" s="12" t="s">
        <v>169</v>
      </c>
      <c r="J16" s="12" t="s">
        <v>170</v>
      </c>
      <c r="K16" s="12" t="s">
        <v>171</v>
      </c>
      <c r="L16" s="11" t="s">
        <v>174</v>
      </c>
      <c r="M16" s="11" t="s">
        <v>172</v>
      </c>
      <c r="N16" s="11" t="s">
        <v>173</v>
      </c>
      <c r="O16" s="11" t="s">
        <v>175</v>
      </c>
      <c r="P16" s="11" t="s">
        <v>176</v>
      </c>
      <c r="Q16" s="11" t="s">
        <v>177</v>
      </c>
      <c r="R16" s="11" t="s">
        <v>178</v>
      </c>
      <c r="S16" s="11" t="s">
        <v>179</v>
      </c>
      <c r="T16" s="11" t="s">
        <v>180</v>
      </c>
      <c r="U16" s="11" t="s">
        <v>181</v>
      </c>
      <c r="V16" s="11" t="s">
        <v>182</v>
      </c>
      <c r="W16" s="11" t="s">
        <v>183</v>
      </c>
      <c r="X16" s="11"/>
      <c r="Y16" s="11" t="s">
        <v>91</v>
      </c>
      <c r="Z16" s="11" t="s">
        <v>92</v>
      </c>
      <c r="AA16" s="15"/>
    </row>
    <row r="17" spans="2:27" ht="79.8" thickBot="1">
      <c r="B17" s="37"/>
      <c r="C17" s="38"/>
      <c r="D17" s="30"/>
      <c r="E17" s="7" t="s">
        <v>60</v>
      </c>
      <c r="F17" s="31"/>
      <c r="G17" s="40"/>
      <c r="H17" s="12" t="s">
        <v>184</v>
      </c>
      <c r="I17" s="12" t="s">
        <v>185</v>
      </c>
      <c r="J17" s="12" t="s">
        <v>186</v>
      </c>
      <c r="K17" s="12" t="s">
        <v>187</v>
      </c>
      <c r="L17" s="11" t="s">
        <v>188</v>
      </c>
      <c r="M17" s="11" t="s">
        <v>189</v>
      </c>
      <c r="N17" s="11" t="s">
        <v>190</v>
      </c>
      <c r="O17" s="11" t="s">
        <v>191</v>
      </c>
      <c r="P17" s="11" t="s">
        <v>192</v>
      </c>
      <c r="Q17" s="11" t="s">
        <v>193</v>
      </c>
      <c r="R17" s="11" t="s">
        <v>194</v>
      </c>
      <c r="S17" s="11" t="s">
        <v>195</v>
      </c>
      <c r="T17" s="11" t="s">
        <v>196</v>
      </c>
      <c r="U17" s="11" t="s">
        <v>197</v>
      </c>
      <c r="V17" s="11" t="s">
        <v>198</v>
      </c>
      <c r="W17" s="11" t="s">
        <v>199</v>
      </c>
      <c r="X17" s="11"/>
      <c r="Y17" s="11" t="s">
        <v>91</v>
      </c>
      <c r="Z17" s="11" t="s">
        <v>92</v>
      </c>
      <c r="AA17" s="15"/>
    </row>
    <row r="18" spans="2:27" ht="66.599999999999994" thickBot="1">
      <c r="B18" s="37"/>
      <c r="C18" s="38"/>
      <c r="D18" s="30"/>
      <c r="E18" s="7" t="s">
        <v>61</v>
      </c>
      <c r="F18" s="31"/>
      <c r="G18" s="40"/>
      <c r="H18" s="12" t="s">
        <v>200</v>
      </c>
      <c r="I18" s="12" t="s">
        <v>201</v>
      </c>
      <c r="J18" s="12" t="s">
        <v>202</v>
      </c>
      <c r="K18" s="12" t="s">
        <v>203</v>
      </c>
      <c r="L18" s="11" t="s">
        <v>204</v>
      </c>
      <c r="M18" s="11" t="s">
        <v>205</v>
      </c>
      <c r="N18" s="11" t="s">
        <v>206</v>
      </c>
      <c r="O18" s="11" t="s">
        <v>207</v>
      </c>
      <c r="P18" s="11" t="s">
        <v>208</v>
      </c>
      <c r="Q18" s="11" t="s">
        <v>209</v>
      </c>
      <c r="R18" s="11" t="s">
        <v>210</v>
      </c>
      <c r="S18" s="11" t="s">
        <v>211</v>
      </c>
      <c r="T18" s="11" t="s">
        <v>212</v>
      </c>
      <c r="U18" s="11" t="s">
        <v>213</v>
      </c>
      <c r="V18" s="11" t="s">
        <v>214</v>
      </c>
      <c r="W18" s="11" t="s">
        <v>215</v>
      </c>
      <c r="X18" s="11"/>
      <c r="Y18" s="11" t="s">
        <v>91</v>
      </c>
      <c r="Z18" s="11" t="s">
        <v>92</v>
      </c>
      <c r="AA18" s="15"/>
    </row>
    <row r="19" spans="2:27" ht="87.45" customHeight="1" thickBot="1">
      <c r="B19" s="37"/>
      <c r="C19" s="38"/>
      <c r="D19" s="30" t="s">
        <v>11</v>
      </c>
      <c r="E19" s="7" t="s">
        <v>62</v>
      </c>
      <c r="F19" s="31" t="s">
        <v>12</v>
      </c>
      <c r="G19" s="32" t="s">
        <v>3</v>
      </c>
      <c r="H19" s="12" t="s">
        <v>216</v>
      </c>
      <c r="I19" s="12" t="s">
        <v>217</v>
      </c>
      <c r="J19" s="12" t="s">
        <v>218</v>
      </c>
      <c r="K19" s="12" t="s">
        <v>219</v>
      </c>
      <c r="L19" s="11" t="s">
        <v>220</v>
      </c>
      <c r="M19" s="11" t="s">
        <v>221</v>
      </c>
      <c r="N19" s="11" t="s">
        <v>158</v>
      </c>
      <c r="O19" s="11" t="s">
        <v>222</v>
      </c>
      <c r="P19" s="11" t="s">
        <v>117</v>
      </c>
      <c r="Q19" s="11" t="s">
        <v>223</v>
      </c>
      <c r="R19" s="11" t="s">
        <v>224</v>
      </c>
      <c r="S19" s="11" t="s">
        <v>225</v>
      </c>
      <c r="T19" s="11" t="s">
        <v>226</v>
      </c>
      <c r="U19" s="11" t="s">
        <v>227</v>
      </c>
      <c r="V19" s="11" t="s">
        <v>228</v>
      </c>
      <c r="W19" s="11" t="s">
        <v>229</v>
      </c>
      <c r="X19" s="11"/>
      <c r="Y19" s="11" t="s">
        <v>91</v>
      </c>
      <c r="Z19" s="11" t="s">
        <v>92</v>
      </c>
      <c r="AA19" s="15"/>
    </row>
    <row r="20" spans="2:27" ht="53.4" thickBot="1">
      <c r="B20" s="37"/>
      <c r="C20" s="38"/>
      <c r="D20" s="30"/>
      <c r="E20" s="7" t="s">
        <v>63</v>
      </c>
      <c r="F20" s="31"/>
      <c r="G20" s="33"/>
      <c r="H20" s="12" t="s">
        <v>230</v>
      </c>
      <c r="I20" s="12" t="s">
        <v>231</v>
      </c>
      <c r="J20" s="12" t="s">
        <v>232</v>
      </c>
      <c r="K20" s="12" t="s">
        <v>233</v>
      </c>
      <c r="L20" s="11" t="s">
        <v>234</v>
      </c>
      <c r="M20" s="11" t="s">
        <v>235</v>
      </c>
      <c r="N20" s="11" t="s">
        <v>236</v>
      </c>
      <c r="O20" s="11" t="s">
        <v>237</v>
      </c>
      <c r="P20" s="11" t="s">
        <v>238</v>
      </c>
      <c r="Q20" s="11" t="s">
        <v>239</v>
      </c>
      <c r="R20" s="11" t="s">
        <v>237</v>
      </c>
      <c r="S20" s="11" t="s">
        <v>240</v>
      </c>
      <c r="T20" s="11" t="s">
        <v>241</v>
      </c>
      <c r="U20" s="11" t="s">
        <v>237</v>
      </c>
      <c r="V20" s="11" t="s">
        <v>242</v>
      </c>
      <c r="W20" s="11" t="s">
        <v>243</v>
      </c>
      <c r="X20" s="11"/>
      <c r="Y20" s="11" t="s">
        <v>91</v>
      </c>
      <c r="Z20" s="11" t="s">
        <v>92</v>
      </c>
      <c r="AA20" s="15"/>
    </row>
    <row r="21" spans="2:27" ht="79.8" thickBot="1">
      <c r="B21" s="37"/>
      <c r="C21" s="38"/>
      <c r="D21" s="30"/>
      <c r="E21" s="7" t="s">
        <v>64</v>
      </c>
      <c r="F21" s="31"/>
      <c r="G21" s="33"/>
      <c r="H21" s="12" t="s">
        <v>244</v>
      </c>
      <c r="I21" s="12" t="s">
        <v>245</v>
      </c>
      <c r="J21" s="12" t="s">
        <v>246</v>
      </c>
      <c r="K21" s="12" t="s">
        <v>247</v>
      </c>
      <c r="L21" s="11" t="s">
        <v>248</v>
      </c>
      <c r="M21" s="11" t="s">
        <v>117</v>
      </c>
      <c r="N21" s="11" t="s">
        <v>249</v>
      </c>
      <c r="O21" s="11" t="s">
        <v>250</v>
      </c>
      <c r="P21" s="11" t="s">
        <v>251</v>
      </c>
      <c r="Q21" s="11" t="s">
        <v>252</v>
      </c>
      <c r="R21" s="11" t="s">
        <v>253</v>
      </c>
      <c r="S21" s="11" t="s">
        <v>254</v>
      </c>
      <c r="T21" s="11" t="s">
        <v>255</v>
      </c>
      <c r="U21" s="11" t="s">
        <v>256</v>
      </c>
      <c r="V21" s="11" t="s">
        <v>257</v>
      </c>
      <c r="W21" s="11" t="s">
        <v>258</v>
      </c>
      <c r="X21" s="11"/>
      <c r="Y21" s="11" t="s">
        <v>91</v>
      </c>
      <c r="Z21" s="11" t="s">
        <v>92</v>
      </c>
      <c r="AA21" s="15"/>
    </row>
    <row r="22" spans="2:27" ht="53.4" thickBot="1">
      <c r="B22" s="37"/>
      <c r="C22" s="38"/>
      <c r="D22" s="30"/>
      <c r="E22" s="7" t="s">
        <v>65</v>
      </c>
      <c r="F22" s="31"/>
      <c r="G22" s="34"/>
      <c r="H22" s="12" t="s">
        <v>259</v>
      </c>
      <c r="I22" s="12" t="s">
        <v>260</v>
      </c>
      <c r="J22" s="12" t="s">
        <v>261</v>
      </c>
      <c r="K22" s="12" t="s">
        <v>262</v>
      </c>
      <c r="L22" s="11" t="s">
        <v>263</v>
      </c>
      <c r="M22" s="11" t="s">
        <v>264</v>
      </c>
      <c r="N22" s="11" t="s">
        <v>265</v>
      </c>
      <c r="O22" s="11" t="s">
        <v>159</v>
      </c>
      <c r="P22" s="11" t="s">
        <v>266</v>
      </c>
      <c r="Q22" s="11" t="s">
        <v>267</v>
      </c>
      <c r="R22" s="11" t="s">
        <v>268</v>
      </c>
      <c r="S22" s="11" t="s">
        <v>269</v>
      </c>
      <c r="T22" s="11" t="s">
        <v>270</v>
      </c>
      <c r="U22" s="11" t="s">
        <v>271</v>
      </c>
      <c r="V22" s="11" t="s">
        <v>272</v>
      </c>
      <c r="W22" s="11" t="s">
        <v>273</v>
      </c>
      <c r="X22" s="11"/>
      <c r="Y22" s="11" t="s">
        <v>91</v>
      </c>
      <c r="Z22" s="11" t="s">
        <v>92</v>
      </c>
      <c r="AA22" s="15"/>
    </row>
    <row r="23" spans="2:27" ht="66.599999999999994" thickBot="1">
      <c r="B23" s="37"/>
      <c r="C23" s="38"/>
      <c r="D23" s="30" t="s">
        <v>13</v>
      </c>
      <c r="E23" s="7" t="s">
        <v>66</v>
      </c>
      <c r="F23" s="31" t="s">
        <v>4</v>
      </c>
      <c r="G23" s="32" t="s">
        <v>14</v>
      </c>
      <c r="H23" s="12" t="s">
        <v>15</v>
      </c>
      <c r="I23" s="12" t="s">
        <v>274</v>
      </c>
      <c r="J23" s="12" t="s">
        <v>275</v>
      </c>
      <c r="K23" s="12" t="s">
        <v>276</v>
      </c>
      <c r="L23" s="11" t="s">
        <v>277</v>
      </c>
      <c r="M23" s="11" t="s">
        <v>159</v>
      </c>
      <c r="N23" s="11" t="s">
        <v>278</v>
      </c>
      <c r="O23" s="11" t="s">
        <v>279</v>
      </c>
      <c r="P23" s="11" t="s">
        <v>117</v>
      </c>
      <c r="Q23" s="11" t="s">
        <v>280</v>
      </c>
      <c r="R23" s="11" t="s">
        <v>229</v>
      </c>
      <c r="S23" s="11" t="s">
        <v>143</v>
      </c>
      <c r="T23" s="11" t="s">
        <v>281</v>
      </c>
      <c r="U23" s="11" t="s">
        <v>213</v>
      </c>
      <c r="V23" s="11" t="s">
        <v>282</v>
      </c>
      <c r="W23" s="11" t="s">
        <v>283</v>
      </c>
      <c r="X23" s="11"/>
      <c r="Y23" s="11" t="s">
        <v>91</v>
      </c>
      <c r="Z23" s="11" t="s">
        <v>284</v>
      </c>
      <c r="AA23" s="15"/>
    </row>
    <row r="24" spans="2:27" ht="117.45" customHeight="1" thickBot="1">
      <c r="B24" s="37"/>
      <c r="C24" s="38"/>
      <c r="D24" s="30"/>
      <c r="E24" s="7" t="s">
        <v>67</v>
      </c>
      <c r="F24" s="31"/>
      <c r="G24" s="33"/>
      <c r="H24" s="12" t="s">
        <v>285</v>
      </c>
      <c r="I24" s="12" t="s">
        <v>286</v>
      </c>
      <c r="J24" s="12" t="s">
        <v>288</v>
      </c>
      <c r="K24" s="12" t="s">
        <v>287</v>
      </c>
      <c r="L24" s="11" t="s">
        <v>289</v>
      </c>
      <c r="M24" s="11" t="s">
        <v>290</v>
      </c>
      <c r="N24" s="11" t="s">
        <v>291</v>
      </c>
      <c r="O24" s="11" t="s">
        <v>292</v>
      </c>
      <c r="P24" s="11" t="s">
        <v>293</v>
      </c>
      <c r="Q24" s="11" t="s">
        <v>294</v>
      </c>
      <c r="R24" s="11" t="s">
        <v>179</v>
      </c>
      <c r="S24" s="11" t="s">
        <v>295</v>
      </c>
      <c r="T24" s="11" t="s">
        <v>296</v>
      </c>
      <c r="U24" s="11" t="s">
        <v>297</v>
      </c>
      <c r="V24" s="11" t="s">
        <v>298</v>
      </c>
      <c r="W24" s="11" t="s">
        <v>299</v>
      </c>
      <c r="X24" s="11"/>
      <c r="Y24" s="11" t="s">
        <v>91</v>
      </c>
      <c r="Z24" s="11" t="s">
        <v>284</v>
      </c>
      <c r="AA24" s="15"/>
    </row>
    <row r="25" spans="2:27" ht="79.8" thickBot="1">
      <c r="B25" s="37"/>
      <c r="C25" s="38"/>
      <c r="D25" s="30"/>
      <c r="E25" s="7" t="s">
        <v>68</v>
      </c>
      <c r="F25" s="31"/>
      <c r="G25" s="34"/>
      <c r="H25" s="12" t="s">
        <v>300</v>
      </c>
      <c r="I25" s="12" t="s">
        <v>301</v>
      </c>
      <c r="J25" s="12" t="s">
        <v>302</v>
      </c>
      <c r="K25" s="12" t="s">
        <v>303</v>
      </c>
      <c r="L25" s="11" t="s">
        <v>304</v>
      </c>
      <c r="M25" s="11" t="s">
        <v>305</v>
      </c>
      <c r="N25" s="11" t="s">
        <v>306</v>
      </c>
      <c r="O25" s="11" t="s">
        <v>307</v>
      </c>
      <c r="P25" s="11" t="s">
        <v>308</v>
      </c>
      <c r="Q25" s="11" t="s">
        <v>309</v>
      </c>
      <c r="R25" s="11" t="s">
        <v>310</v>
      </c>
      <c r="S25" s="11" t="s">
        <v>311</v>
      </c>
      <c r="T25" s="11" t="s">
        <v>312</v>
      </c>
      <c r="U25" s="11" t="s">
        <v>313</v>
      </c>
      <c r="V25" s="11" t="s">
        <v>314</v>
      </c>
      <c r="W25" s="11" t="s">
        <v>315</v>
      </c>
      <c r="X25" s="11"/>
      <c r="Y25" s="11" t="s">
        <v>91</v>
      </c>
      <c r="Z25" s="11" t="s">
        <v>284</v>
      </c>
      <c r="AA25" s="15"/>
    </row>
    <row r="26" spans="2:27" ht="66.599999999999994" thickBot="1">
      <c r="B26" s="37"/>
      <c r="C26" s="38"/>
      <c r="D26" s="30" t="s">
        <v>16</v>
      </c>
      <c r="E26" s="7" t="s">
        <v>69</v>
      </c>
      <c r="F26" s="31" t="s">
        <v>17</v>
      </c>
      <c r="G26" s="32" t="s">
        <v>18</v>
      </c>
      <c r="H26" s="12" t="s">
        <v>316</v>
      </c>
      <c r="I26" s="12" t="s">
        <v>317</v>
      </c>
      <c r="J26" s="12" t="s">
        <v>318</v>
      </c>
      <c r="K26" s="12" t="s">
        <v>390</v>
      </c>
      <c r="L26" s="11" t="s">
        <v>319</v>
      </c>
      <c r="M26" s="11" t="s">
        <v>320</v>
      </c>
      <c r="N26" s="11" t="s">
        <v>117</v>
      </c>
      <c r="O26" s="11" t="s">
        <v>321</v>
      </c>
      <c r="P26" s="11" t="s">
        <v>322</v>
      </c>
      <c r="Q26" s="11" t="s">
        <v>323</v>
      </c>
      <c r="R26" s="11" t="s">
        <v>324</v>
      </c>
      <c r="S26" s="11" t="s">
        <v>325</v>
      </c>
      <c r="T26" s="11" t="s">
        <v>224</v>
      </c>
      <c r="U26" s="11" t="s">
        <v>326</v>
      </c>
      <c r="V26" s="11" t="s">
        <v>327</v>
      </c>
      <c r="W26" s="11" t="s">
        <v>328</v>
      </c>
      <c r="X26" s="11"/>
      <c r="Y26" s="11" t="s">
        <v>91</v>
      </c>
      <c r="Z26" s="11" t="s">
        <v>92</v>
      </c>
      <c r="AA26" s="15"/>
    </row>
    <row r="27" spans="2:27" ht="66.599999999999994" thickBot="1">
      <c r="B27" s="37"/>
      <c r="C27" s="38"/>
      <c r="D27" s="30"/>
      <c r="E27" s="2" t="s">
        <v>70</v>
      </c>
      <c r="F27" s="31"/>
      <c r="G27" s="33"/>
      <c r="H27" s="11" t="s">
        <v>329</v>
      </c>
      <c r="I27" s="11" t="s">
        <v>330</v>
      </c>
      <c r="J27" s="11" t="s">
        <v>331</v>
      </c>
      <c r="K27" s="11" t="s">
        <v>332</v>
      </c>
      <c r="L27" s="11" t="s">
        <v>333</v>
      </c>
      <c r="M27" s="11" t="s">
        <v>334</v>
      </c>
      <c r="N27" s="11" t="s">
        <v>138</v>
      </c>
      <c r="O27" s="11" t="s">
        <v>335</v>
      </c>
      <c r="P27" s="11" t="s">
        <v>140</v>
      </c>
      <c r="Q27" s="11" t="s">
        <v>336</v>
      </c>
      <c r="R27" s="11" t="s">
        <v>141</v>
      </c>
      <c r="S27" s="11" t="s">
        <v>253</v>
      </c>
      <c r="T27" s="11" t="s">
        <v>111</v>
      </c>
      <c r="U27" s="11" t="s">
        <v>337</v>
      </c>
      <c r="V27" s="11" t="s">
        <v>338</v>
      </c>
      <c r="W27" s="11" t="s">
        <v>229</v>
      </c>
      <c r="X27" s="11"/>
      <c r="Y27" s="11" t="s">
        <v>91</v>
      </c>
      <c r="Z27" s="11" t="s">
        <v>92</v>
      </c>
      <c r="AA27" s="15"/>
    </row>
    <row r="28" spans="2:27" ht="66.599999999999994" thickBot="1">
      <c r="B28" s="37"/>
      <c r="C28" s="38"/>
      <c r="D28" s="30"/>
      <c r="E28" s="2" t="s">
        <v>71</v>
      </c>
      <c r="F28" s="31"/>
      <c r="G28" s="33"/>
      <c r="H28" s="11" t="s">
        <v>339</v>
      </c>
      <c r="I28" s="11" t="s">
        <v>340</v>
      </c>
      <c r="J28" s="11" t="s">
        <v>341</v>
      </c>
      <c r="K28" s="11" t="s">
        <v>342</v>
      </c>
      <c r="L28" s="11" t="s">
        <v>343</v>
      </c>
      <c r="M28" s="11" t="s">
        <v>344</v>
      </c>
      <c r="N28" s="11" t="s">
        <v>207</v>
      </c>
      <c r="O28" s="11" t="s">
        <v>345</v>
      </c>
      <c r="P28" s="11" t="s">
        <v>346</v>
      </c>
      <c r="Q28" s="11" t="s">
        <v>210</v>
      </c>
      <c r="R28" s="11" t="s">
        <v>347</v>
      </c>
      <c r="S28" s="11" t="s">
        <v>348</v>
      </c>
      <c r="T28" s="11" t="s">
        <v>349</v>
      </c>
      <c r="U28" s="11" t="s">
        <v>350</v>
      </c>
      <c r="V28" s="11" t="s">
        <v>351</v>
      </c>
      <c r="W28" s="11" t="s">
        <v>352</v>
      </c>
      <c r="X28" s="11"/>
      <c r="Y28" s="11" t="s">
        <v>91</v>
      </c>
      <c r="Z28" s="11" t="s">
        <v>353</v>
      </c>
      <c r="AA28" s="15"/>
    </row>
    <row r="29" spans="2:27" ht="66.599999999999994" thickBot="1">
      <c r="B29" s="37"/>
      <c r="C29" s="38"/>
      <c r="D29" s="30"/>
      <c r="E29" s="2" t="s">
        <v>72</v>
      </c>
      <c r="F29" s="31"/>
      <c r="G29" s="33"/>
      <c r="H29" s="11" t="s">
        <v>354</v>
      </c>
      <c r="I29" s="11" t="s">
        <v>355</v>
      </c>
      <c r="J29" s="11" t="s">
        <v>356</v>
      </c>
      <c r="K29" s="11" t="s">
        <v>357</v>
      </c>
      <c r="L29" s="11" t="s">
        <v>358</v>
      </c>
      <c r="M29" s="11" t="s">
        <v>359</v>
      </c>
      <c r="N29" s="11" t="s">
        <v>360</v>
      </c>
      <c r="O29" s="11" t="s">
        <v>361</v>
      </c>
      <c r="P29" s="11" t="s">
        <v>362</v>
      </c>
      <c r="Q29" s="11" t="s">
        <v>225</v>
      </c>
      <c r="R29" s="11" t="s">
        <v>363</v>
      </c>
      <c r="S29" s="11" t="s">
        <v>364</v>
      </c>
      <c r="T29" s="11" t="s">
        <v>365</v>
      </c>
      <c r="U29" s="11" t="s">
        <v>366</v>
      </c>
      <c r="V29" s="11" t="s">
        <v>367</v>
      </c>
      <c r="W29" s="11" t="s">
        <v>368</v>
      </c>
      <c r="X29" s="11"/>
      <c r="Y29" s="11" t="s">
        <v>91</v>
      </c>
      <c r="Z29" s="11" t="s">
        <v>388</v>
      </c>
      <c r="AA29" s="15"/>
    </row>
    <row r="30" spans="2:27" ht="51.45" customHeight="1" thickBot="1">
      <c r="B30" s="37"/>
      <c r="C30" s="38"/>
      <c r="D30" s="30"/>
      <c r="E30" s="21" t="s">
        <v>73</v>
      </c>
      <c r="F30" s="31"/>
      <c r="G30" s="34"/>
      <c r="H30" s="13" t="s">
        <v>369</v>
      </c>
      <c r="I30" s="13" t="s">
        <v>370</v>
      </c>
      <c r="J30" s="13" t="s">
        <v>371</v>
      </c>
      <c r="K30" s="13" t="s">
        <v>372</v>
      </c>
      <c r="L30" s="13" t="s">
        <v>373</v>
      </c>
      <c r="M30" s="13" t="s">
        <v>374</v>
      </c>
      <c r="N30" s="13" t="s">
        <v>375</v>
      </c>
      <c r="O30" s="13" t="s">
        <v>376</v>
      </c>
      <c r="P30" s="13" t="s">
        <v>377</v>
      </c>
      <c r="Q30" s="13" t="s">
        <v>378</v>
      </c>
      <c r="R30" s="13" t="s">
        <v>379</v>
      </c>
      <c r="S30" s="13" t="s">
        <v>380</v>
      </c>
      <c r="T30" s="13" t="s">
        <v>381</v>
      </c>
      <c r="U30" s="13" t="s">
        <v>382</v>
      </c>
      <c r="V30" s="13" t="s">
        <v>383</v>
      </c>
      <c r="W30" s="13" t="s">
        <v>384</v>
      </c>
      <c r="X30" s="17"/>
      <c r="Y30" s="13" t="s">
        <v>91</v>
      </c>
      <c r="Z30" s="13" t="s">
        <v>389</v>
      </c>
      <c r="AA30" s="18"/>
    </row>
  </sheetData>
  <mergeCells count="37">
    <mergeCell ref="AA3:AA4"/>
    <mergeCell ref="B2:Z2"/>
    <mergeCell ref="B3:B4"/>
    <mergeCell ref="C3:C4"/>
    <mergeCell ref="D3:D4"/>
    <mergeCell ref="E3:E4"/>
    <mergeCell ref="G3:G4"/>
    <mergeCell ref="H3:H4"/>
    <mergeCell ref="I3:I4"/>
    <mergeCell ref="J3:J4"/>
    <mergeCell ref="K3:K4"/>
    <mergeCell ref="L3:N3"/>
    <mergeCell ref="O3:Q3"/>
    <mergeCell ref="R3:T3"/>
    <mergeCell ref="U3:W3"/>
    <mergeCell ref="Y3:Z3"/>
    <mergeCell ref="D9:Z9"/>
    <mergeCell ref="B5:Z5"/>
    <mergeCell ref="B6:Z6"/>
    <mergeCell ref="B7:B30"/>
    <mergeCell ref="C7:C30"/>
    <mergeCell ref="D8:Z8"/>
    <mergeCell ref="D10:D14"/>
    <mergeCell ref="D15:D18"/>
    <mergeCell ref="D19:D22"/>
    <mergeCell ref="F10:F14"/>
    <mergeCell ref="G10:G14"/>
    <mergeCell ref="F15:F18"/>
    <mergeCell ref="F19:F22"/>
    <mergeCell ref="G15:G18"/>
    <mergeCell ref="D26:D30"/>
    <mergeCell ref="F26:F30"/>
    <mergeCell ref="D23:D25"/>
    <mergeCell ref="F23:F25"/>
    <mergeCell ref="G26:G30"/>
    <mergeCell ref="G23:G25"/>
    <mergeCell ref="G19:G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36" zoomScale="72" zoomScaleNormal="49" workbookViewId="0">
      <selection activeCell="J55" sqref="J55"/>
    </sheetView>
  </sheetViews>
  <sheetFormatPr defaultRowHeight="13.8"/>
  <cols>
    <col min="1" max="1" width="23.59765625" bestFit="1" customWidth="1"/>
    <col min="2" max="2" width="35.796875" bestFit="1" customWidth="1"/>
    <col min="3" max="3" width="23.19921875" bestFit="1" customWidth="1"/>
    <col min="4" max="4" width="18.09765625" bestFit="1" customWidth="1"/>
    <col min="5" max="5" width="8.69921875" bestFit="1" customWidth="1"/>
    <col min="6" max="6" width="10.09765625" bestFit="1" customWidth="1"/>
    <col min="7" max="7" width="14.796875" bestFit="1" customWidth="1"/>
  </cols>
  <sheetData>
    <row r="1" spans="1:8" ht="14.4" thickBot="1">
      <c r="A1" s="28" t="s">
        <v>24</v>
      </c>
      <c r="B1" s="28" t="s">
        <v>392</v>
      </c>
      <c r="C1" s="28" t="s">
        <v>393</v>
      </c>
      <c r="D1" s="28" t="s">
        <v>394</v>
      </c>
      <c r="E1" s="28" t="s">
        <v>395</v>
      </c>
      <c r="F1" s="28" t="s">
        <v>396</v>
      </c>
      <c r="G1" s="28" t="s">
        <v>30</v>
      </c>
    </row>
    <row r="2" spans="1:8" ht="42" thickBot="1">
      <c r="A2" s="24" t="s">
        <v>402</v>
      </c>
      <c r="B2" s="23" t="s">
        <v>403</v>
      </c>
      <c r="C2" s="23" t="s">
        <v>404</v>
      </c>
      <c r="D2" s="23" t="s">
        <v>405</v>
      </c>
      <c r="E2" s="23">
        <v>2</v>
      </c>
      <c r="F2" s="26">
        <v>85000</v>
      </c>
      <c r="G2" s="26">
        <v>170000</v>
      </c>
    </row>
    <row r="3" spans="1:8" ht="42" thickBot="1">
      <c r="A3" s="23"/>
      <c r="B3" s="23"/>
      <c r="C3" s="23" t="s">
        <v>406</v>
      </c>
      <c r="D3" s="23" t="s">
        <v>407</v>
      </c>
      <c r="E3" s="23">
        <v>1</v>
      </c>
      <c r="F3" s="26">
        <v>400000</v>
      </c>
      <c r="G3" s="26">
        <v>400000</v>
      </c>
      <c r="H3" s="25">
        <f>SUM(G2:G3)</f>
        <v>570000</v>
      </c>
    </row>
    <row r="4" spans="1:8" ht="55.8" thickBot="1">
      <c r="A4" s="24" t="s">
        <v>408</v>
      </c>
      <c r="B4" s="23" t="s">
        <v>409</v>
      </c>
      <c r="C4" s="23" t="s">
        <v>410</v>
      </c>
      <c r="D4" s="23" t="s">
        <v>411</v>
      </c>
      <c r="E4" s="23">
        <v>1</v>
      </c>
      <c r="F4" s="26">
        <v>250000</v>
      </c>
      <c r="G4" s="26">
        <v>250000</v>
      </c>
    </row>
    <row r="5" spans="1:8" ht="42" thickBot="1">
      <c r="A5" s="23"/>
      <c r="B5" s="23"/>
      <c r="C5" s="23" t="s">
        <v>412</v>
      </c>
      <c r="D5" s="23" t="s">
        <v>413</v>
      </c>
      <c r="E5" s="23">
        <v>4</v>
      </c>
      <c r="F5" s="26">
        <v>30000</v>
      </c>
      <c r="G5" s="26">
        <v>120000</v>
      </c>
      <c r="H5" s="25">
        <f>SUM(G4:G5)</f>
        <v>370000</v>
      </c>
    </row>
    <row r="6" spans="1:8" ht="55.8" thickBot="1">
      <c r="A6" s="24" t="s">
        <v>414</v>
      </c>
      <c r="B6" s="23" t="s">
        <v>415</v>
      </c>
      <c r="C6" s="23" t="s">
        <v>416</v>
      </c>
      <c r="D6" s="24" t="s">
        <v>417</v>
      </c>
      <c r="E6" s="23">
        <v>5</v>
      </c>
      <c r="F6" s="26">
        <v>185000</v>
      </c>
      <c r="G6" s="26">
        <v>925000</v>
      </c>
    </row>
    <row r="7" spans="1:8" ht="42" thickBot="1">
      <c r="A7" s="23"/>
      <c r="B7" s="23"/>
      <c r="C7" s="23" t="s">
        <v>418</v>
      </c>
      <c r="D7" s="24" t="s">
        <v>419</v>
      </c>
      <c r="E7" s="23">
        <v>10</v>
      </c>
      <c r="F7" s="26">
        <v>36000</v>
      </c>
      <c r="G7" s="26">
        <v>360000</v>
      </c>
    </row>
    <row r="8" spans="1:8" ht="55.8" thickBot="1">
      <c r="A8" s="23"/>
      <c r="B8" s="23"/>
      <c r="C8" s="23" t="s">
        <v>420</v>
      </c>
      <c r="D8" s="24" t="s">
        <v>421</v>
      </c>
      <c r="E8" s="23">
        <v>5</v>
      </c>
      <c r="F8" s="26">
        <v>15000</v>
      </c>
      <c r="G8" s="26">
        <v>75000</v>
      </c>
    </row>
    <row r="9" spans="1:8" ht="42" thickBot="1">
      <c r="A9" s="23"/>
      <c r="B9" s="23"/>
      <c r="C9" s="23" t="s">
        <v>422</v>
      </c>
      <c r="D9" s="24" t="s">
        <v>423</v>
      </c>
      <c r="E9" s="23">
        <v>10</v>
      </c>
      <c r="F9" s="23" t="s">
        <v>424</v>
      </c>
      <c r="G9" s="26">
        <v>185000</v>
      </c>
    </row>
    <row r="10" spans="1:8" ht="55.8" thickBot="1">
      <c r="A10" s="24" t="s">
        <v>425</v>
      </c>
      <c r="B10" s="23" t="s">
        <v>426</v>
      </c>
      <c r="C10" s="23" t="s">
        <v>427</v>
      </c>
      <c r="D10" s="24" t="s">
        <v>428</v>
      </c>
      <c r="E10" s="23">
        <v>1</v>
      </c>
      <c r="F10" s="26">
        <v>650000</v>
      </c>
      <c r="G10" s="26">
        <v>650000</v>
      </c>
    </row>
    <row r="11" spans="1:8" ht="55.8" thickBot="1">
      <c r="A11" s="23"/>
      <c r="B11" s="23"/>
      <c r="C11" s="23" t="s">
        <v>429</v>
      </c>
      <c r="D11" s="24" t="s">
        <v>430</v>
      </c>
      <c r="E11" s="23">
        <v>60</v>
      </c>
      <c r="F11" s="26">
        <v>7500</v>
      </c>
      <c r="G11" s="26">
        <v>450000</v>
      </c>
    </row>
    <row r="12" spans="1:8" ht="55.8" thickBot="1">
      <c r="A12" s="23"/>
      <c r="B12" s="23"/>
      <c r="C12" s="23" t="s">
        <v>431</v>
      </c>
      <c r="D12" s="24" t="s">
        <v>432</v>
      </c>
      <c r="E12" s="23">
        <v>1</v>
      </c>
      <c r="F12" s="26">
        <v>250000</v>
      </c>
      <c r="G12" s="26">
        <v>250000</v>
      </c>
    </row>
    <row r="13" spans="1:8" ht="42" thickBot="1">
      <c r="A13" s="24" t="s">
        <v>433</v>
      </c>
      <c r="B13" s="23" t="s">
        <v>434</v>
      </c>
      <c r="C13" s="23" t="s">
        <v>400</v>
      </c>
      <c r="D13" s="23" t="s">
        <v>435</v>
      </c>
      <c r="E13" s="23">
        <v>1</v>
      </c>
      <c r="F13" s="26">
        <v>550000</v>
      </c>
      <c r="G13" s="26">
        <v>550000</v>
      </c>
    </row>
    <row r="14" spans="1:8" ht="55.8" thickBot="1">
      <c r="A14" s="23"/>
      <c r="B14" s="23"/>
      <c r="C14" s="23" t="s">
        <v>436</v>
      </c>
      <c r="D14" s="24" t="s">
        <v>437</v>
      </c>
      <c r="E14" s="23">
        <v>5</v>
      </c>
      <c r="F14" s="26">
        <v>185000</v>
      </c>
      <c r="G14" s="26">
        <v>925000</v>
      </c>
    </row>
    <row r="15" spans="1:8" ht="42" thickBot="1">
      <c r="A15" s="24" t="s">
        <v>438</v>
      </c>
      <c r="B15" s="23" t="s">
        <v>439</v>
      </c>
      <c r="C15" s="23" t="s">
        <v>440</v>
      </c>
      <c r="D15" s="24" t="s">
        <v>441</v>
      </c>
      <c r="E15" s="23">
        <v>10</v>
      </c>
      <c r="F15" s="26">
        <v>14000</v>
      </c>
      <c r="G15" s="26">
        <v>140000</v>
      </c>
    </row>
    <row r="16" spans="1:8" ht="42" thickBot="1">
      <c r="A16" s="23"/>
      <c r="B16" s="23"/>
      <c r="C16" s="23" t="s">
        <v>442</v>
      </c>
      <c r="D16" s="24" t="s">
        <v>443</v>
      </c>
      <c r="E16" s="23">
        <v>5</v>
      </c>
      <c r="F16" s="26">
        <v>11500</v>
      </c>
      <c r="G16" s="26">
        <v>57500</v>
      </c>
    </row>
    <row r="17" spans="1:7" ht="42" thickBot="1">
      <c r="A17" s="24" t="s">
        <v>444</v>
      </c>
      <c r="B17" s="23" t="s">
        <v>445</v>
      </c>
      <c r="C17" s="23" t="s">
        <v>446</v>
      </c>
      <c r="D17" s="24" t="s">
        <v>447</v>
      </c>
      <c r="E17" s="23">
        <v>5</v>
      </c>
      <c r="F17" s="26">
        <v>143000</v>
      </c>
      <c r="G17" s="26">
        <v>715000</v>
      </c>
    </row>
    <row r="18" spans="1:7" ht="42" thickBot="1">
      <c r="A18" s="23"/>
      <c r="B18" s="23"/>
      <c r="C18" s="23" t="s">
        <v>448</v>
      </c>
      <c r="D18" s="24" t="s">
        <v>449</v>
      </c>
      <c r="E18" s="23">
        <v>3</v>
      </c>
      <c r="F18" s="26">
        <v>140000</v>
      </c>
      <c r="G18" s="26">
        <v>420000</v>
      </c>
    </row>
    <row r="19" spans="1:7" ht="42" thickBot="1">
      <c r="A19" s="24" t="s">
        <v>450</v>
      </c>
      <c r="B19" s="23" t="s">
        <v>451</v>
      </c>
      <c r="C19" s="23" t="s">
        <v>452</v>
      </c>
      <c r="D19" s="24" t="s">
        <v>453</v>
      </c>
      <c r="E19" s="23">
        <v>10</v>
      </c>
      <c r="F19" s="26">
        <v>10500</v>
      </c>
      <c r="G19" s="26">
        <v>105000</v>
      </c>
    </row>
    <row r="20" spans="1:7" ht="42" thickBot="1">
      <c r="A20" s="23"/>
      <c r="B20" s="23"/>
      <c r="C20" s="23" t="s">
        <v>454</v>
      </c>
      <c r="D20" s="24" t="s">
        <v>455</v>
      </c>
      <c r="E20" s="23">
        <v>10</v>
      </c>
      <c r="F20" s="26">
        <v>12500</v>
      </c>
      <c r="G20" s="26">
        <v>125000</v>
      </c>
    </row>
    <row r="21" spans="1:7" ht="42" thickBot="1">
      <c r="A21" s="24" t="s">
        <v>456</v>
      </c>
      <c r="B21" s="23" t="s">
        <v>457</v>
      </c>
      <c r="C21" s="23" t="s">
        <v>458</v>
      </c>
      <c r="D21" s="24" t="s">
        <v>459</v>
      </c>
      <c r="E21" s="23">
        <v>5</v>
      </c>
      <c r="F21" s="26">
        <v>180000</v>
      </c>
      <c r="G21" s="26">
        <v>900000</v>
      </c>
    </row>
    <row r="22" spans="1:7" ht="42" thickBot="1">
      <c r="A22" s="23"/>
      <c r="B22" s="23"/>
      <c r="C22" s="23" t="s">
        <v>460</v>
      </c>
      <c r="D22" s="23" t="s">
        <v>461</v>
      </c>
      <c r="E22" s="23">
        <v>12</v>
      </c>
      <c r="F22" s="26">
        <v>25000</v>
      </c>
      <c r="G22" s="26">
        <v>300000</v>
      </c>
    </row>
    <row r="23" spans="1:7" ht="42" thickBot="1">
      <c r="A23" s="24" t="s">
        <v>462</v>
      </c>
      <c r="B23" s="23" t="s">
        <v>463</v>
      </c>
      <c r="C23" s="23" t="s">
        <v>464</v>
      </c>
      <c r="D23" s="24" t="s">
        <v>465</v>
      </c>
      <c r="E23" s="23">
        <v>5</v>
      </c>
      <c r="F23" s="26">
        <v>185000</v>
      </c>
      <c r="G23" s="26">
        <v>925000</v>
      </c>
    </row>
    <row r="24" spans="1:7" ht="42" thickBot="1">
      <c r="A24" s="23"/>
      <c r="B24" s="23"/>
      <c r="C24" s="23" t="s">
        <v>466</v>
      </c>
      <c r="D24" s="24" t="s">
        <v>467</v>
      </c>
      <c r="E24" s="23">
        <v>10</v>
      </c>
      <c r="F24" s="26">
        <v>18500</v>
      </c>
      <c r="G24" s="26">
        <v>185000</v>
      </c>
    </row>
    <row r="25" spans="1:7" ht="42" thickBot="1">
      <c r="A25" s="24" t="s">
        <v>468</v>
      </c>
      <c r="B25" s="23" t="s">
        <v>469</v>
      </c>
      <c r="C25" s="23" t="s">
        <v>470</v>
      </c>
      <c r="D25" s="24" t="s">
        <v>471</v>
      </c>
      <c r="E25" s="23">
        <v>5</v>
      </c>
      <c r="F25" s="26">
        <v>14000</v>
      </c>
      <c r="G25" s="26">
        <v>70000</v>
      </c>
    </row>
    <row r="26" spans="1:7" ht="42" thickBot="1">
      <c r="A26" s="24" t="s">
        <v>472</v>
      </c>
      <c r="B26" s="23" t="s">
        <v>473</v>
      </c>
      <c r="C26" s="23" t="s">
        <v>474</v>
      </c>
      <c r="D26" s="24" t="s">
        <v>475</v>
      </c>
      <c r="E26" s="23">
        <v>3</v>
      </c>
      <c r="F26" s="26">
        <v>170000</v>
      </c>
      <c r="G26" s="26">
        <v>510000</v>
      </c>
    </row>
    <row r="27" spans="1:7" ht="42" thickBot="1">
      <c r="A27" s="23"/>
      <c r="B27" s="23"/>
      <c r="C27" s="23" t="s">
        <v>476</v>
      </c>
      <c r="D27" s="24" t="s">
        <v>477</v>
      </c>
      <c r="E27" s="23">
        <v>5</v>
      </c>
      <c r="F27" s="26">
        <v>180000</v>
      </c>
      <c r="G27" s="26">
        <v>900000</v>
      </c>
    </row>
    <row r="28" spans="1:7" ht="28.2" thickBot="1">
      <c r="A28" s="24" t="s">
        <v>478</v>
      </c>
      <c r="B28" s="23" t="s">
        <v>479</v>
      </c>
      <c r="C28" s="23" t="s">
        <v>480</v>
      </c>
      <c r="D28" s="24" t="s">
        <v>481</v>
      </c>
      <c r="E28" s="23">
        <v>10</v>
      </c>
      <c r="F28" s="26">
        <v>10500</v>
      </c>
      <c r="G28" s="26">
        <v>105000</v>
      </c>
    </row>
    <row r="29" spans="1:7" ht="42" thickBot="1">
      <c r="A29" s="23"/>
      <c r="B29" s="23"/>
      <c r="C29" s="23" t="s">
        <v>482</v>
      </c>
      <c r="D29" s="24" t="s">
        <v>455</v>
      </c>
      <c r="E29" s="23">
        <v>10</v>
      </c>
      <c r="F29" s="26">
        <v>12500</v>
      </c>
      <c r="G29" s="26">
        <v>125000</v>
      </c>
    </row>
    <row r="30" spans="1:7" ht="42" thickBot="1">
      <c r="A30" s="23"/>
      <c r="B30" s="23"/>
      <c r="C30" s="23" t="s">
        <v>483</v>
      </c>
      <c r="D30" s="23" t="s">
        <v>484</v>
      </c>
      <c r="E30" s="23">
        <v>12</v>
      </c>
      <c r="F30" s="26">
        <v>25000</v>
      </c>
      <c r="G30" s="26">
        <v>300000</v>
      </c>
    </row>
    <row r="31" spans="1:7" ht="42" thickBot="1">
      <c r="A31" s="24" t="s">
        <v>485</v>
      </c>
      <c r="B31" s="23" t="s">
        <v>486</v>
      </c>
      <c r="C31" s="23" t="s">
        <v>487</v>
      </c>
      <c r="D31" s="24" t="s">
        <v>465</v>
      </c>
      <c r="E31" s="23">
        <v>5</v>
      </c>
      <c r="F31" s="26">
        <v>185000</v>
      </c>
      <c r="G31" s="26">
        <v>925000</v>
      </c>
    </row>
    <row r="32" spans="1:7" ht="42" thickBot="1">
      <c r="A32" s="23"/>
      <c r="B32" s="23"/>
      <c r="C32" s="23" t="s">
        <v>466</v>
      </c>
      <c r="D32" s="24" t="s">
        <v>488</v>
      </c>
      <c r="E32" s="23">
        <v>10</v>
      </c>
      <c r="F32" s="26">
        <v>18500</v>
      </c>
      <c r="G32" s="26">
        <v>185000</v>
      </c>
    </row>
    <row r="33" spans="1:7" ht="42" thickBot="1">
      <c r="A33" s="24" t="s">
        <v>489</v>
      </c>
      <c r="B33" s="23" t="s">
        <v>490</v>
      </c>
      <c r="C33" s="23" t="s">
        <v>442</v>
      </c>
      <c r="D33" s="24" t="s">
        <v>491</v>
      </c>
      <c r="E33" s="23">
        <v>5</v>
      </c>
      <c r="F33" s="26">
        <v>14000</v>
      </c>
      <c r="G33" s="26">
        <v>70000</v>
      </c>
    </row>
    <row r="34" spans="1:7" ht="55.8" thickBot="1">
      <c r="A34" s="23"/>
      <c r="B34" s="23"/>
      <c r="C34" s="23" t="s">
        <v>492</v>
      </c>
      <c r="D34" s="24" t="s">
        <v>493</v>
      </c>
      <c r="E34" s="23">
        <v>3</v>
      </c>
      <c r="F34" s="26">
        <v>170000</v>
      </c>
      <c r="G34" s="26">
        <v>510000</v>
      </c>
    </row>
    <row r="35" spans="1:7" ht="28.2" thickBot="1">
      <c r="A35" s="24" t="s">
        <v>494</v>
      </c>
      <c r="B35" s="23" t="s">
        <v>495</v>
      </c>
      <c r="C35" s="23" t="s">
        <v>496</v>
      </c>
      <c r="D35" s="24" t="s">
        <v>481</v>
      </c>
      <c r="E35" s="23">
        <v>10</v>
      </c>
      <c r="F35" s="26">
        <v>10500</v>
      </c>
      <c r="G35" s="26">
        <v>105000</v>
      </c>
    </row>
    <row r="36" spans="1:7" ht="42" thickBot="1">
      <c r="A36" s="23"/>
      <c r="B36" s="23"/>
      <c r="C36" s="23" t="s">
        <v>482</v>
      </c>
      <c r="D36" s="24" t="s">
        <v>455</v>
      </c>
      <c r="E36" s="23">
        <v>10</v>
      </c>
      <c r="F36" s="26">
        <v>12500</v>
      </c>
      <c r="G36" s="26">
        <v>125000</v>
      </c>
    </row>
    <row r="37" spans="1:7" ht="42" thickBot="1">
      <c r="A37" s="24" t="s">
        <v>456</v>
      </c>
      <c r="B37" s="23" t="s">
        <v>497</v>
      </c>
      <c r="C37" s="23" t="s">
        <v>498</v>
      </c>
      <c r="D37" s="24" t="s">
        <v>499</v>
      </c>
      <c r="E37" s="23">
        <v>5</v>
      </c>
      <c r="F37" s="26">
        <v>180000</v>
      </c>
      <c r="G37" s="26">
        <v>900000</v>
      </c>
    </row>
    <row r="38" spans="1:7" ht="42" thickBot="1">
      <c r="A38" s="23"/>
      <c r="B38" s="23"/>
      <c r="C38" s="23" t="s">
        <v>483</v>
      </c>
      <c r="D38" s="23" t="s">
        <v>484</v>
      </c>
      <c r="E38" s="23">
        <v>12</v>
      </c>
      <c r="F38" s="26">
        <v>25000</v>
      </c>
      <c r="G38" s="26">
        <v>300000</v>
      </c>
    </row>
    <row r="39" spans="1:7" ht="55.8" thickBot="1">
      <c r="A39" s="24" t="s">
        <v>500</v>
      </c>
      <c r="B39" s="23" t="s">
        <v>501</v>
      </c>
      <c r="C39" s="23" t="s">
        <v>502</v>
      </c>
      <c r="D39" s="24" t="s">
        <v>503</v>
      </c>
      <c r="E39" s="23">
        <v>3</v>
      </c>
      <c r="F39" s="26">
        <v>170000</v>
      </c>
      <c r="G39" s="26">
        <v>510000</v>
      </c>
    </row>
    <row r="40" spans="1:7" ht="42" thickBot="1">
      <c r="A40" s="23"/>
      <c r="B40" s="23"/>
      <c r="C40" s="23" t="s">
        <v>504</v>
      </c>
      <c r="D40" s="24" t="s">
        <v>488</v>
      </c>
      <c r="E40" s="23">
        <v>10</v>
      </c>
      <c r="F40" s="26">
        <v>18500</v>
      </c>
      <c r="G40" s="26">
        <v>185000</v>
      </c>
    </row>
    <row r="41" spans="1:7" ht="42" thickBot="1">
      <c r="A41" s="24" t="s">
        <v>505</v>
      </c>
      <c r="B41" s="23" t="s">
        <v>506</v>
      </c>
      <c r="C41" s="23" t="s">
        <v>507</v>
      </c>
      <c r="D41" s="24" t="s">
        <v>465</v>
      </c>
      <c r="E41" s="23">
        <v>5</v>
      </c>
      <c r="F41" s="26">
        <v>185000</v>
      </c>
      <c r="G41" s="26">
        <v>925000</v>
      </c>
    </row>
    <row r="42" spans="1:7" ht="42" thickBot="1">
      <c r="A42" s="23"/>
      <c r="B42" s="23"/>
      <c r="C42" s="23" t="s">
        <v>508</v>
      </c>
      <c r="D42" s="24" t="s">
        <v>509</v>
      </c>
      <c r="E42" s="23">
        <v>5</v>
      </c>
      <c r="F42" s="26">
        <v>14000</v>
      </c>
      <c r="G42" s="26">
        <v>70000</v>
      </c>
    </row>
    <row r="43" spans="1:7" ht="55.8" thickBot="1">
      <c r="A43" s="24" t="s">
        <v>510</v>
      </c>
      <c r="B43" s="23" t="s">
        <v>511</v>
      </c>
      <c r="C43" s="23" t="s">
        <v>512</v>
      </c>
      <c r="D43" s="24" t="s">
        <v>513</v>
      </c>
      <c r="E43" s="23">
        <v>5</v>
      </c>
      <c r="F43" s="26">
        <v>180000</v>
      </c>
      <c r="G43" s="26">
        <v>900000</v>
      </c>
    </row>
    <row r="44" spans="1:7" ht="28.2" thickBot="1">
      <c r="A44" s="24" t="s">
        <v>514</v>
      </c>
      <c r="B44" s="23" t="s">
        <v>515</v>
      </c>
      <c r="C44" s="23" t="s">
        <v>516</v>
      </c>
      <c r="D44" s="24" t="s">
        <v>481</v>
      </c>
      <c r="E44" s="23">
        <v>10</v>
      </c>
      <c r="F44" s="26">
        <v>10500</v>
      </c>
      <c r="G44" s="26">
        <v>105000</v>
      </c>
    </row>
    <row r="45" spans="1:7" ht="42" thickBot="1">
      <c r="A45" s="24" t="s">
        <v>517</v>
      </c>
      <c r="B45" s="23" t="s">
        <v>518</v>
      </c>
      <c r="C45" s="23" t="s">
        <v>519</v>
      </c>
      <c r="D45" s="24" t="s">
        <v>455</v>
      </c>
      <c r="E45" s="23">
        <v>10</v>
      </c>
      <c r="F45" s="26">
        <v>12500</v>
      </c>
      <c r="G45" s="26">
        <v>125000</v>
      </c>
    </row>
    <row r="46" spans="1:7" ht="42" thickBot="1">
      <c r="A46" s="23"/>
      <c r="B46" s="23"/>
      <c r="C46" s="23" t="s">
        <v>520</v>
      </c>
      <c r="D46" s="23" t="s">
        <v>484</v>
      </c>
      <c r="E46" s="23">
        <v>12</v>
      </c>
      <c r="F46" s="26">
        <v>25000</v>
      </c>
      <c r="G46" s="26">
        <v>300000</v>
      </c>
    </row>
    <row r="47" spans="1:7">
      <c r="A47" s="22" t="s">
        <v>521</v>
      </c>
    </row>
    <row r="48" spans="1:7" ht="14.4" thickBot="1"/>
    <row r="49" spans="1:7" ht="28.2" thickBot="1">
      <c r="A49" s="24" t="s">
        <v>24</v>
      </c>
      <c r="B49" s="24" t="s">
        <v>0</v>
      </c>
      <c r="C49" s="24" t="s">
        <v>393</v>
      </c>
      <c r="D49" s="24" t="s">
        <v>522</v>
      </c>
      <c r="E49" s="24" t="s">
        <v>395</v>
      </c>
      <c r="F49" s="24" t="s">
        <v>401</v>
      </c>
      <c r="G49" s="24" t="s">
        <v>397</v>
      </c>
    </row>
    <row r="50" spans="1:7" ht="42" thickBot="1">
      <c r="A50" s="24" t="s">
        <v>523</v>
      </c>
      <c r="B50" s="23" t="s">
        <v>524</v>
      </c>
      <c r="C50" s="24" t="s">
        <v>525</v>
      </c>
      <c r="D50" s="23" t="s">
        <v>526</v>
      </c>
      <c r="E50" s="23">
        <v>1</v>
      </c>
      <c r="F50" s="26">
        <v>9680000</v>
      </c>
      <c r="G50" s="26">
        <v>9680000</v>
      </c>
    </row>
    <row r="51" spans="1:7" ht="42" thickBot="1">
      <c r="A51" s="24" t="s">
        <v>527</v>
      </c>
      <c r="B51" s="23" t="s">
        <v>528</v>
      </c>
      <c r="C51" s="24" t="s">
        <v>529</v>
      </c>
      <c r="D51" s="23" t="s">
        <v>530</v>
      </c>
      <c r="E51" s="23">
        <v>1</v>
      </c>
      <c r="F51" s="26">
        <v>110000</v>
      </c>
      <c r="G51" s="26">
        <v>110000</v>
      </c>
    </row>
    <row r="52" spans="1:7" ht="42" thickBot="1">
      <c r="A52" s="24" t="s">
        <v>398</v>
      </c>
      <c r="B52" s="23" t="s">
        <v>528</v>
      </c>
      <c r="C52" s="24" t="s">
        <v>531</v>
      </c>
      <c r="D52" s="23" t="s">
        <v>532</v>
      </c>
      <c r="E52" s="23">
        <v>1</v>
      </c>
      <c r="F52" s="26">
        <v>250000</v>
      </c>
      <c r="G52" s="26">
        <v>250000</v>
      </c>
    </row>
    <row r="53" spans="1:7" ht="42" thickBot="1">
      <c r="A53" s="24" t="s">
        <v>399</v>
      </c>
      <c r="B53" s="23" t="s">
        <v>528</v>
      </c>
      <c r="C53" s="24" t="s">
        <v>533</v>
      </c>
      <c r="D53" s="23" t="s">
        <v>534</v>
      </c>
      <c r="E53" s="23">
        <v>1</v>
      </c>
      <c r="F53" s="26">
        <v>185000</v>
      </c>
      <c r="G53" s="26">
        <v>185000</v>
      </c>
    </row>
    <row r="54" spans="1:7" ht="42" thickBot="1">
      <c r="A54" s="24" t="s">
        <v>535</v>
      </c>
      <c r="B54" s="23" t="s">
        <v>536</v>
      </c>
      <c r="C54" s="24" t="s">
        <v>537</v>
      </c>
      <c r="D54" s="23" t="s">
        <v>538</v>
      </c>
      <c r="E54" s="23">
        <v>12</v>
      </c>
      <c r="F54" s="26">
        <v>15000</v>
      </c>
      <c r="G54" s="26">
        <v>180000</v>
      </c>
    </row>
    <row r="55" spans="1:7" ht="42" thickBot="1">
      <c r="A55" s="24" t="s">
        <v>456</v>
      </c>
      <c r="B55" s="23" t="s">
        <v>539</v>
      </c>
      <c r="C55" s="24" t="s">
        <v>540</v>
      </c>
      <c r="D55" s="23" t="s">
        <v>541</v>
      </c>
      <c r="E55" s="23">
        <v>1</v>
      </c>
      <c r="F55" s="26">
        <v>450000</v>
      </c>
      <c r="G55" s="26">
        <v>450000</v>
      </c>
    </row>
    <row r="56" spans="1:7" ht="28.2" thickBot="1">
      <c r="A56" s="24" t="s">
        <v>542</v>
      </c>
      <c r="B56" s="23"/>
      <c r="C56" s="23"/>
      <c r="D56" s="23"/>
      <c r="E56" s="23"/>
      <c r="F56" s="23"/>
      <c r="G56" s="27">
        <v>10855000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Strategic Issue 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Akama Charles</dc:creator>
  <cp:lastModifiedBy>Patrick Mwaura</cp:lastModifiedBy>
  <dcterms:created xsi:type="dcterms:W3CDTF">2026-03-17T12:37:54Z</dcterms:created>
  <dcterms:modified xsi:type="dcterms:W3CDTF">2026-03-24T08:32:26Z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2026-03-17T14:25:46Z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37f664f1-43a9-450d-8395-dc4934e5a8f0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