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SAS\"/>
    </mc:Choice>
  </mc:AlternateContent>
  <bookViews>
    <workbookView xWindow="0" yWindow="0" windowWidth="12960" windowHeight="88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99" i="1" l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100" i="1" l="1"/>
</calcChain>
</file>

<file path=xl/sharedStrings.xml><?xml version="1.0" encoding="utf-8"?>
<sst xmlns="http://schemas.openxmlformats.org/spreadsheetml/2006/main" count="554" uniqueCount="112">
  <si>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</si>
  <si>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</si>
  <si>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</si>
  <si>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</si>
  <si>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</si>
  <si>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</si>
  <si>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</si>
  <si>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</si>
  <si>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</si>
  <si>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</si>
  <si>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</si>
  <si>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</si>
  <si>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3.COMPUTER ACCESSORIES</t>
  </si>
  <si>
    <t>Ups Meccer 800va</t>
  </si>
  <si>
    <t>DSAS</t>
  </si>
  <si>
    <t>RFQ</t>
  </si>
  <si>
    <t>GOK</t>
  </si>
  <si>
    <t>√</t>
  </si>
  <si>
    <t>2TB external hard drive</t>
  </si>
  <si>
    <t>UPS Power Backups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</si>
  <si>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</si>
  <si>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</si>
  <si>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</si>
  <si>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</si>
  <si>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</si>
  <si>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>Ups for switches</t>
  </si>
  <si>
    <t>Cable ties set</t>
  </si>
  <si>
    <t>RJ45 Box</t>
  </si>
  <si>
    <t>Clips Set</t>
  </si>
  <si>
    <t>Patrice Boxes</t>
  </si>
  <si>
    <t>Patch Cable 1m</t>
  </si>
  <si>
    <t>Patch Cable 3m</t>
  </si>
  <si>
    <t>Cable organizer</t>
  </si>
  <si>
    <t>Computer Repair Tool Kit</t>
  </si>
  <si>
    <t>SSDs (1-2TB)</t>
  </si>
  <si>
    <t>38 in 1 electron screw driver set</t>
  </si>
  <si>
    <t>External Hard Disk-2TB</t>
  </si>
  <si>
    <t>Flash Disk 16Gb</t>
  </si>
  <si>
    <t>External Hard drives - 4TB</t>
  </si>
  <si>
    <t>UPS 1.5KvA</t>
  </si>
  <si>
    <t>Smart UPS 3KVA</t>
  </si>
  <si>
    <t>4.COMPUTER HARDWARE</t>
  </si>
  <si>
    <t>Laptop (High-performance - mac(m2 or m3 series)</t>
  </si>
  <si>
    <t>AIO Desktops Computer (intel i7/i9)</t>
  </si>
  <si>
    <t>Tablets</t>
  </si>
  <si>
    <t>5. CONTRACTED SERVICES</t>
  </si>
  <si>
    <t>Linux System Setup &amp; Virtualization (Proxmox / Docker)</t>
  </si>
  <si>
    <t>Network &amp; Security Setup (VPN, Firewall, SSL Certificates)</t>
  </si>
  <si>
    <t>Backup Configuration (Konza or Off-site Integration)- Archival, backup, and DR hosting</t>
  </si>
  <si>
    <t>6. COMMUNICATION COSTS</t>
  </si>
  <si>
    <t>Mobile Airtime</t>
  </si>
  <si>
    <t>Mobile Data Bundle (modem/hotspot backup)</t>
  </si>
  <si>
    <t>7. ELECTRICALS</t>
  </si>
  <si>
    <t>Cable 2.5mm sq.m (E.A)  (Roll)</t>
  </si>
  <si>
    <t>Cable 1.5mm sq.m (E.A)  (Roll)</t>
  </si>
  <si>
    <t>13A Socket  crab Tree single (Pcs)</t>
  </si>
  <si>
    <t>Top Plug 13Amps (Pcs)</t>
  </si>
  <si>
    <t>Shallow patress Box (Pcs)</t>
  </si>
  <si>
    <t>Insulating tape Globe red (Pcs)</t>
  </si>
  <si>
    <t>30Amps AVS sollateck (Pcs)</t>
  </si>
  <si>
    <t>Electric kettle</t>
  </si>
  <si>
    <t>8. OFFICE SUPPLIES</t>
  </si>
  <si>
    <t>Microwave</t>
  </si>
  <si>
    <t>Fridge</t>
  </si>
  <si>
    <t>Water dispenser (Hot &amp; Cold)</t>
  </si>
  <si>
    <t>Utensils,Plates,Cups,Glasses (assorted)</t>
  </si>
  <si>
    <t>9.FURNITURE</t>
  </si>
  <si>
    <t xml:space="preserve"> Office desk 1.5m</t>
  </si>
  <si>
    <t xml:space="preserve">Office chairs medium, Fabric-black </t>
  </si>
  <si>
    <t>locker Steel cabinet</t>
  </si>
  <si>
    <t>Coffee table</t>
  </si>
  <si>
    <t>Mesh Office Chairs</t>
  </si>
  <si>
    <t>Visitors Chairs</t>
  </si>
  <si>
    <t>4 way workstation</t>
  </si>
  <si>
    <t>Executive office chairs</t>
  </si>
  <si>
    <t>Executive office desk</t>
  </si>
  <si>
    <t>Office Point magnetic white board 8*4ft</t>
  </si>
  <si>
    <t>lab stools</t>
  </si>
  <si>
    <t>11. HOSPITALITY &amp; ENTERTAINMENT</t>
  </si>
  <si>
    <t>Office Refreshments</t>
  </si>
  <si>
    <t>15. SOFTWARES/INTERNET INSTALLATIONS</t>
  </si>
  <si>
    <t>CentOS / Rocky Linux Server (Base OS)</t>
  </si>
  <si>
    <t>VPN (Virtual Private Network)</t>
  </si>
  <si>
    <t>SFTP (Secure File Transfer Protocol)</t>
  </si>
  <si>
    <t>RBAC (Role-Based Access Control)</t>
  </si>
  <si>
    <t>Audit Logging &amp; Monitoring</t>
  </si>
  <si>
    <t>Encryption Tools</t>
  </si>
  <si>
    <t>16.JANITORIALS</t>
  </si>
  <si>
    <t>Waste bins</t>
  </si>
  <si>
    <t>Industrial gloves</t>
  </si>
  <si>
    <t>Bar soap 1kg</t>
  </si>
  <si>
    <t>Dustbins</t>
  </si>
  <si>
    <t>Hand towels</t>
  </si>
  <si>
    <t>Papertowels</t>
  </si>
  <si>
    <t>17.PRINTING &amp; DUPLICATION</t>
  </si>
  <si>
    <t>Printing and duplication</t>
  </si>
  <si>
    <t>34. CONFERENCES/ WORKSHOP &amp; TRAININGS</t>
  </si>
  <si>
    <t>DS&amp;AS SOP Rollout &amp; Compliance Workshop</t>
  </si>
  <si>
    <t>Data Protection &amp; Ethical Data Handling Training</t>
  </si>
  <si>
    <t>Database Administration &amp; Management (PostgreSQL, REDCap, ODK)</t>
  </si>
  <si>
    <t>Cybersecurity &amp; Secure Systems Management Workshop</t>
  </si>
  <si>
    <t>Statistical Modelling &amp; Machine Learning Workshop</t>
  </si>
  <si>
    <t>Reproducible Research &amp; Coding Practices (RMarkdown / Git / Jupyter)</t>
  </si>
  <si>
    <t>Dashboard Development &amp; Data Visualization Training</t>
  </si>
  <si>
    <t>Digitalization &amp; Data Integration Workshop</t>
  </si>
  <si>
    <t>Research Compliance &amp; Data Governance Retreat</t>
  </si>
  <si>
    <t>Professional Development &amp; Certification Support</t>
  </si>
  <si>
    <t>Venues</t>
  </si>
  <si>
    <t>Total</t>
  </si>
  <si>
    <t>Server hardware (2x AMD EPYC (24-32 cores each), 2x NVIDIA RTX 4090 GPUs, 256 GB DDR5 ECC RAM, and 8 TB NVMe SSD storage)</t>
  </si>
  <si>
    <t>https://www.serverbasket.net/ke/p/hpe-proliant-dl385-gen11/</t>
  </si>
  <si>
    <t>Cooling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</si>
</sst>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Border="1"/>
    <xf numFmtId="43" fontId="2" fillId="0" borderId="0" xfId="1" applyFont="1" applyBorder="1"/>
    <xf numFmtId="0" fontId="3" fillId="0" borderId="0" xfId="0" applyFont="1" applyBorder="1"/>
    <xf numFmtId="0" fontId="4" fillId="0" borderId="0" xfId="0" applyFont="1" applyBorder="1"/>
    <xf numFmtId="43" fontId="4" fillId="0" borderId="0" xfId="1" applyFont="1" applyBorder="1"/>
    <xf numFmtId="0" fontId="4" fillId="0" borderId="0" xfId="0" applyFont="1" applyFill="1" applyBorder="1"/>
    <xf numFmtId="43" fontId="4" fillId="0" borderId="0" xfId="1" applyFont="1" applyFill="1" applyBorder="1"/>
    <xf numFmtId="43" fontId="3" fillId="0" borderId="0" xfId="1" applyFont="1" applyBorder="1"/>
    <xf numFmtId="0" fontId="3" fillId="0" borderId="0" xfId="0" applyFont="1" applyFill="1" applyBorder="1" applyAlignment="1">
      <alignment wrapText="1"/>
    </xf>
    <xf numFmtId="1" fontId="4" fillId="0" borderId="0" xfId="0" applyNumberFormat="1" applyFont="1" applyBorder="1" applyAlignment="1">
      <alignment horizontal="right"/>
    </xf>
    <xf numFmtId="43" fontId="4" fillId="0" borderId="0" xfId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0" fontId="3" fillId="0" borderId="0" xfId="0" applyFont="1" applyFill="1" applyBorder="1"/>
    <xf numFmtId="0" fontId="5" fillId="0" borderId="0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erverbasket.net/ke/p/hpe-proliant-dl385-gen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topLeftCell="A82" workbookViewId="0">
      <selection activeCell="B103" sqref="B103"/>
    </sheetView>
  </sheetViews>
  <sheetFormatPr defaultRowHeight="14.4" x14ac:dyDescent="0.3"/>
  <cols>
    <col min="1" max="1" width="37.109375" style="3" bestFit="1" customWidth="1"/>
    <col min="2" max="2" width="115.21875" style="4" customWidth="1"/>
    <col min="3" max="3" width="5" style="4" bestFit="1" customWidth="1"/>
    <col min="4" max="4" width="20.5546875" style="5" bestFit="1" customWidth="1"/>
    <col min="5" max="5" width="22.21875" style="5" bestFit="1" customWidth="1"/>
    <col min="6" max="6" width="10" style="4" bestFit="1" customWidth="1"/>
    <col min="7" max="7" width="22.21875" style="4" bestFit="1" customWidth="1"/>
    <col min="8" max="8" width="16.6640625" style="4" bestFit="1" customWidth="1"/>
    <col min="9" max="9" width="6.88671875" style="4" bestFit="1" customWidth="1"/>
    <col min="10" max="10" width="8.109375" style="4" bestFit="1" customWidth="1"/>
    <col min="11" max="11" width="5" style="4" bestFit="1" customWidth="1"/>
    <col min="12" max="12" width="7.44140625" style="4" bestFit="1" customWidth="1"/>
    <col min="13" max="13" width="18.33203125" style="4" bestFit="1" customWidth="1"/>
    <col min="14" max="16384" width="8.88671875" style="4"/>
  </cols>
  <sheetData>
    <row r="1" spans="1:13" s="1" customFormat="1" x14ac:dyDescent="0.3"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3" t="s">
        <v>12</v>
      </c>
      <c r="E2" s="5">
        <v>0</v>
      </c>
    </row>
    <row r="3" spans="1:13" x14ac:dyDescent="0.3">
      <c r="A3" s="3">
        <v>1</v>
      </c>
      <c r="B3" s="4" t="s">
        <v>13</v>
      </c>
      <c r="C3" s="4">
        <v>2</v>
      </c>
      <c r="D3" s="5">
        <v>20000</v>
      </c>
      <c r="E3" s="5">
        <f>D3*C3</f>
        <v>40000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17</v>
      </c>
      <c r="K3" s="4" t="s">
        <v>17</v>
      </c>
    </row>
    <row r="4" spans="1:13" x14ac:dyDescent="0.3">
      <c r="A4" s="3">
        <v>2</v>
      </c>
      <c r="B4" s="4" t="s">
        <v>18</v>
      </c>
      <c r="C4" s="4">
        <v>1</v>
      </c>
      <c r="D4" s="5">
        <v>20000</v>
      </c>
      <c r="E4" s="5">
        <f t="shared" ref="E4:E67" si="0">D4*C4</f>
        <v>20000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17</v>
      </c>
      <c r="K4" s="4" t="s">
        <v>17</v>
      </c>
    </row>
    <row r="5" spans="1:13" x14ac:dyDescent="0.3">
      <c r="A5" s="3">
        <v>3</v>
      </c>
      <c r="B5" s="4" t="s">
        <v>19</v>
      </c>
      <c r="C5" s="4">
        <v>1</v>
      </c>
      <c r="D5" s="5">
        <v>25000</v>
      </c>
      <c r="E5" s="5">
        <f t="shared" si="0"/>
        <v>25000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17</v>
      </c>
      <c r="K5" s="4" t="s">
        <v>17</v>
      </c>
    </row>
    <row r="6" spans="1:13" x14ac:dyDescent="0.3">
      <c r="A6" s="3">
        <v>4</v>
      </c>
      <c r="B6" s="4" t="s">
        <v>20</v>
      </c>
      <c r="C6" s="4">
        <v>1</v>
      </c>
      <c r="D6" s="5">
        <v>500</v>
      </c>
      <c r="E6" s="5">
        <f t="shared" si="0"/>
        <v>500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17</v>
      </c>
      <c r="K6" s="4" t="s">
        <v>17</v>
      </c>
    </row>
    <row r="7" spans="1:13" x14ac:dyDescent="0.3">
      <c r="A7" s="3">
        <v>5</v>
      </c>
      <c r="B7" s="4" t="s">
        <v>21</v>
      </c>
      <c r="C7" s="4">
        <v>1</v>
      </c>
      <c r="D7" s="5">
        <v>500</v>
      </c>
      <c r="E7" s="5">
        <f t="shared" si="0"/>
        <v>500</v>
      </c>
      <c r="F7" s="4" t="s">
        <v>14</v>
      </c>
      <c r="G7" s="4" t="s">
        <v>15</v>
      </c>
      <c r="H7" s="4" t="s">
        <v>16</v>
      </c>
      <c r="I7" s="4" t="s">
        <v>17</v>
      </c>
      <c r="J7" s="4" t="s">
        <v>17</v>
      </c>
      <c r="K7" s="4" t="s">
        <v>17</v>
      </c>
    </row>
    <row r="8" spans="1:13" x14ac:dyDescent="0.3">
      <c r="A8" s="3">
        <v>6</v>
      </c>
      <c r="B8" s="4" t="s">
        <v>22</v>
      </c>
      <c r="C8" s="4">
        <v>1</v>
      </c>
      <c r="D8" s="5">
        <v>15000</v>
      </c>
      <c r="E8" s="5">
        <f t="shared" si="0"/>
        <v>15000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17</v>
      </c>
      <c r="K8" s="4" t="s">
        <v>17</v>
      </c>
    </row>
    <row r="9" spans="1:13" x14ac:dyDescent="0.3">
      <c r="A9" s="3">
        <v>7</v>
      </c>
      <c r="B9" s="4" t="s">
        <v>23</v>
      </c>
      <c r="C9" s="4">
        <v>1</v>
      </c>
      <c r="D9" s="5">
        <v>2000</v>
      </c>
      <c r="E9" s="5">
        <f t="shared" si="0"/>
        <v>2000</v>
      </c>
      <c r="F9" s="4" t="s">
        <v>14</v>
      </c>
      <c r="G9" s="4" t="s">
        <v>15</v>
      </c>
      <c r="H9" s="4" t="s">
        <v>16</v>
      </c>
      <c r="I9" s="4" t="s">
        <v>17</v>
      </c>
      <c r="J9" s="4" t="s">
        <v>17</v>
      </c>
      <c r="K9" s="4" t="s">
        <v>17</v>
      </c>
    </row>
    <row r="10" spans="1:13" x14ac:dyDescent="0.3">
      <c r="A10" s="3">
        <v>8</v>
      </c>
      <c r="B10" s="4" t="s">
        <v>24</v>
      </c>
      <c r="C10" s="4">
        <v>1</v>
      </c>
      <c r="D10" s="5">
        <v>50000</v>
      </c>
      <c r="E10" s="5">
        <f t="shared" si="0"/>
        <v>50000</v>
      </c>
      <c r="F10" s="4" t="s">
        <v>14</v>
      </c>
      <c r="G10" s="4" t="s">
        <v>15</v>
      </c>
      <c r="H10" s="4" t="s">
        <v>16</v>
      </c>
      <c r="I10" s="4" t="s">
        <v>17</v>
      </c>
      <c r="J10" s="4" t="s">
        <v>17</v>
      </c>
      <c r="K10" s="4" t="s">
        <v>17</v>
      </c>
    </row>
    <row r="11" spans="1:13" x14ac:dyDescent="0.3">
      <c r="A11" s="3">
        <v>9</v>
      </c>
      <c r="B11" s="4" t="s">
        <v>25</v>
      </c>
      <c r="C11" s="4">
        <v>1</v>
      </c>
      <c r="D11" s="5">
        <v>20000</v>
      </c>
      <c r="E11" s="5">
        <f t="shared" si="0"/>
        <v>20000</v>
      </c>
      <c r="F11" s="4" t="s">
        <v>14</v>
      </c>
      <c r="G11" s="4" t="s">
        <v>15</v>
      </c>
      <c r="H11" s="4" t="s">
        <v>16</v>
      </c>
      <c r="I11" s="4" t="s">
        <v>17</v>
      </c>
      <c r="J11" s="4" t="s">
        <v>17</v>
      </c>
      <c r="K11" s="4" t="s">
        <v>17</v>
      </c>
    </row>
    <row r="12" spans="1:13" x14ac:dyDescent="0.3">
      <c r="A12" s="3">
        <v>10</v>
      </c>
      <c r="B12" s="4" t="s">
        <v>26</v>
      </c>
      <c r="C12" s="4">
        <v>1</v>
      </c>
      <c r="D12" s="5">
        <v>4000</v>
      </c>
      <c r="E12" s="5">
        <f t="shared" si="0"/>
        <v>4000</v>
      </c>
      <c r="F12" s="4" t="s">
        <v>14</v>
      </c>
      <c r="G12" s="4" t="s">
        <v>15</v>
      </c>
      <c r="H12" s="4" t="s">
        <v>16</v>
      </c>
      <c r="I12" s="4" t="s">
        <v>17</v>
      </c>
      <c r="J12" s="4" t="s">
        <v>17</v>
      </c>
      <c r="K12" s="4" t="s">
        <v>17</v>
      </c>
    </row>
    <row r="13" spans="1:13" x14ac:dyDescent="0.3">
      <c r="A13" s="3">
        <v>11</v>
      </c>
      <c r="B13" s="4" t="s">
        <v>27</v>
      </c>
      <c r="C13" s="4">
        <v>1</v>
      </c>
      <c r="D13" s="5">
        <v>6000</v>
      </c>
      <c r="E13" s="5">
        <f t="shared" si="0"/>
        <v>6000</v>
      </c>
      <c r="F13" s="4" t="s">
        <v>14</v>
      </c>
      <c r="G13" s="4" t="s">
        <v>15</v>
      </c>
      <c r="H13" s="4" t="s">
        <v>16</v>
      </c>
      <c r="I13" s="4" t="s">
        <v>17</v>
      </c>
      <c r="J13" s="4" t="s">
        <v>17</v>
      </c>
      <c r="K13" s="4" t="s">
        <v>17</v>
      </c>
    </row>
    <row r="14" spans="1:13" x14ac:dyDescent="0.3">
      <c r="A14" s="3">
        <v>12</v>
      </c>
      <c r="B14" s="4" t="s">
        <v>28</v>
      </c>
      <c r="C14" s="4">
        <v>1</v>
      </c>
      <c r="D14" s="5">
        <v>2500</v>
      </c>
      <c r="E14" s="5">
        <f t="shared" si="0"/>
        <v>2500</v>
      </c>
      <c r="F14" s="4" t="s">
        <v>14</v>
      </c>
      <c r="G14" s="4" t="s">
        <v>15</v>
      </c>
      <c r="H14" s="4" t="s">
        <v>16</v>
      </c>
      <c r="I14" s="4" t="s">
        <v>17</v>
      </c>
      <c r="J14" s="4" t="s">
        <v>17</v>
      </c>
      <c r="K14" s="4" t="s">
        <v>17</v>
      </c>
    </row>
    <row r="15" spans="1:13" x14ac:dyDescent="0.3">
      <c r="A15" s="3">
        <v>13</v>
      </c>
      <c r="B15" s="4" t="s">
        <v>29</v>
      </c>
      <c r="C15" s="4">
        <v>1</v>
      </c>
      <c r="D15" s="5">
        <v>500</v>
      </c>
      <c r="E15" s="5">
        <f t="shared" si="0"/>
        <v>500</v>
      </c>
      <c r="F15" s="4" t="s">
        <v>14</v>
      </c>
      <c r="G15" s="4" t="s">
        <v>15</v>
      </c>
      <c r="H15" s="4" t="s">
        <v>16</v>
      </c>
      <c r="I15" s="4" t="s">
        <v>17</v>
      </c>
      <c r="J15" s="4" t="s">
        <v>17</v>
      </c>
      <c r="K15" s="4" t="s">
        <v>17</v>
      </c>
    </row>
    <row r="16" spans="1:13" x14ac:dyDescent="0.3">
      <c r="A16" s="3">
        <v>14</v>
      </c>
      <c r="B16" s="4" t="s">
        <v>30</v>
      </c>
      <c r="C16" s="4">
        <v>1</v>
      </c>
      <c r="D16" s="5">
        <v>700</v>
      </c>
      <c r="E16" s="5">
        <f t="shared" si="0"/>
        <v>700</v>
      </c>
      <c r="F16" s="4" t="s">
        <v>14</v>
      </c>
      <c r="G16" s="4" t="s">
        <v>15</v>
      </c>
      <c r="H16" s="4" t="s">
        <v>16</v>
      </c>
      <c r="I16" s="4" t="s">
        <v>17</v>
      </c>
      <c r="J16" s="4" t="s">
        <v>17</v>
      </c>
      <c r="K16" s="4" t="s">
        <v>17</v>
      </c>
    </row>
    <row r="17" spans="1:11" x14ac:dyDescent="0.3">
      <c r="A17" s="3">
        <v>15</v>
      </c>
      <c r="B17" s="4" t="s">
        <v>31</v>
      </c>
      <c r="C17" s="4">
        <v>1</v>
      </c>
      <c r="D17" s="5">
        <v>1000</v>
      </c>
      <c r="E17" s="5">
        <f t="shared" si="0"/>
        <v>1000</v>
      </c>
      <c r="F17" s="4" t="s">
        <v>14</v>
      </c>
      <c r="G17" s="4" t="s">
        <v>15</v>
      </c>
      <c r="H17" s="4" t="s">
        <v>16</v>
      </c>
      <c r="I17" s="4" t="s">
        <v>17</v>
      </c>
      <c r="J17" s="4" t="s">
        <v>17</v>
      </c>
      <c r="K17" s="4" t="s">
        <v>17</v>
      </c>
    </row>
    <row r="18" spans="1:11" x14ac:dyDescent="0.3">
      <c r="A18" s="3">
        <v>16</v>
      </c>
      <c r="B18" s="4" t="s">
        <v>32</v>
      </c>
      <c r="C18" s="4">
        <v>1</v>
      </c>
      <c r="D18" s="5">
        <v>10000</v>
      </c>
      <c r="E18" s="5">
        <f t="shared" si="0"/>
        <v>10000</v>
      </c>
      <c r="F18" s="4" t="s">
        <v>14</v>
      </c>
      <c r="G18" s="4" t="s">
        <v>15</v>
      </c>
      <c r="H18" s="4" t="s">
        <v>16</v>
      </c>
      <c r="I18" s="4" t="s">
        <v>17</v>
      </c>
      <c r="J18" s="4" t="s">
        <v>17</v>
      </c>
      <c r="K18" s="4" t="s">
        <v>17</v>
      </c>
    </row>
    <row r="19" spans="1:11" x14ac:dyDescent="0.3">
      <c r="A19" s="3">
        <v>17</v>
      </c>
      <c r="B19" s="4" t="s">
        <v>33</v>
      </c>
      <c r="C19" s="4">
        <v>1</v>
      </c>
      <c r="D19" s="5">
        <v>20000</v>
      </c>
      <c r="E19" s="5">
        <f t="shared" si="0"/>
        <v>20000</v>
      </c>
      <c r="F19" s="4" t="s">
        <v>14</v>
      </c>
      <c r="G19" s="4" t="s">
        <v>15</v>
      </c>
      <c r="H19" s="4" t="s">
        <v>16</v>
      </c>
      <c r="I19" s="4" t="s">
        <v>17</v>
      </c>
      <c r="J19" s="4" t="s">
        <v>17</v>
      </c>
      <c r="K19" s="4" t="s">
        <v>17</v>
      </c>
    </row>
    <row r="20" spans="1:11" x14ac:dyDescent="0.3">
      <c r="A20" s="3">
        <v>18</v>
      </c>
      <c r="B20" s="4" t="s">
        <v>34</v>
      </c>
      <c r="C20" s="4">
        <v>1</v>
      </c>
      <c r="D20" s="5">
        <v>5000</v>
      </c>
      <c r="E20" s="5">
        <f t="shared" si="0"/>
        <v>5000</v>
      </c>
      <c r="F20" s="4" t="s">
        <v>14</v>
      </c>
      <c r="G20" s="4" t="s">
        <v>15</v>
      </c>
      <c r="H20" s="4" t="s">
        <v>16</v>
      </c>
      <c r="I20" s="4" t="s">
        <v>17</v>
      </c>
      <c r="J20" s="4" t="s">
        <v>17</v>
      </c>
      <c r="K20" s="4" t="s">
        <v>17</v>
      </c>
    </row>
    <row r="21" spans="1:11" x14ac:dyDescent="0.3">
      <c r="A21" s="3">
        <v>19</v>
      </c>
      <c r="B21" s="4" t="s">
        <v>35</v>
      </c>
      <c r="C21" s="4">
        <v>1</v>
      </c>
      <c r="D21" s="5">
        <v>5000</v>
      </c>
      <c r="E21" s="5">
        <f t="shared" si="0"/>
        <v>5000</v>
      </c>
      <c r="F21" s="4" t="s">
        <v>14</v>
      </c>
      <c r="G21" s="4" t="s">
        <v>15</v>
      </c>
      <c r="H21" s="4" t="s">
        <v>16</v>
      </c>
      <c r="I21" s="4" t="s">
        <v>17</v>
      </c>
      <c r="J21" s="4" t="s">
        <v>17</v>
      </c>
      <c r="K21" s="4" t="s">
        <v>17</v>
      </c>
    </row>
    <row r="22" spans="1:11" x14ac:dyDescent="0.3">
      <c r="A22" s="3">
        <v>20</v>
      </c>
      <c r="B22" s="4" t="s">
        <v>33</v>
      </c>
      <c r="C22" s="4">
        <v>1</v>
      </c>
      <c r="D22" s="5">
        <v>20000</v>
      </c>
      <c r="E22" s="5">
        <f t="shared" si="0"/>
        <v>20000</v>
      </c>
      <c r="F22" s="4" t="s">
        <v>14</v>
      </c>
      <c r="G22" s="4" t="s">
        <v>15</v>
      </c>
      <c r="H22" s="4" t="s">
        <v>16</v>
      </c>
      <c r="I22" s="4" t="s">
        <v>17</v>
      </c>
      <c r="J22" s="4" t="s">
        <v>17</v>
      </c>
      <c r="K22" s="4" t="s">
        <v>17</v>
      </c>
    </row>
    <row r="23" spans="1:11" x14ac:dyDescent="0.3">
      <c r="A23" s="3">
        <v>21</v>
      </c>
      <c r="B23" s="4" t="s">
        <v>36</v>
      </c>
      <c r="C23" s="4">
        <v>1</v>
      </c>
      <c r="D23" s="5">
        <v>15000</v>
      </c>
      <c r="E23" s="5">
        <f t="shared" si="0"/>
        <v>15000</v>
      </c>
      <c r="F23" s="4" t="s">
        <v>14</v>
      </c>
      <c r="G23" s="4" t="s">
        <v>15</v>
      </c>
      <c r="H23" s="4" t="s">
        <v>16</v>
      </c>
      <c r="I23" s="4" t="s">
        <v>17</v>
      </c>
      <c r="J23" s="4" t="s">
        <v>17</v>
      </c>
      <c r="K23" s="4" t="s">
        <v>17</v>
      </c>
    </row>
    <row r="24" spans="1:11" x14ac:dyDescent="0.3">
      <c r="A24" s="3">
        <v>22</v>
      </c>
      <c r="B24" s="4" t="s">
        <v>37</v>
      </c>
      <c r="C24" s="4">
        <v>4</v>
      </c>
      <c r="D24" s="5">
        <v>2500</v>
      </c>
      <c r="E24" s="5">
        <f t="shared" si="0"/>
        <v>10000</v>
      </c>
      <c r="F24" s="4" t="s">
        <v>14</v>
      </c>
      <c r="G24" s="4" t="s">
        <v>15</v>
      </c>
      <c r="H24" s="4" t="s">
        <v>16</v>
      </c>
      <c r="I24" s="4" t="s">
        <v>17</v>
      </c>
      <c r="J24" s="4" t="s">
        <v>17</v>
      </c>
      <c r="K24" s="4" t="s">
        <v>17</v>
      </c>
    </row>
    <row r="25" spans="1:11" x14ac:dyDescent="0.3">
      <c r="A25" s="3">
        <v>23</v>
      </c>
      <c r="B25" s="4" t="s">
        <v>38</v>
      </c>
      <c r="C25" s="4">
        <v>1</v>
      </c>
      <c r="D25" s="5">
        <v>25000</v>
      </c>
      <c r="E25" s="5">
        <f t="shared" si="0"/>
        <v>25000</v>
      </c>
      <c r="F25" s="4" t="s">
        <v>14</v>
      </c>
      <c r="G25" s="4" t="s">
        <v>15</v>
      </c>
      <c r="H25" s="4" t="s">
        <v>16</v>
      </c>
      <c r="I25" s="4" t="s">
        <v>17</v>
      </c>
      <c r="J25" s="4" t="s">
        <v>17</v>
      </c>
      <c r="K25" s="4" t="s">
        <v>17</v>
      </c>
    </row>
    <row r="26" spans="1:11" x14ac:dyDescent="0.3">
      <c r="A26" s="3">
        <v>24</v>
      </c>
      <c r="B26" s="4" t="s">
        <v>39</v>
      </c>
      <c r="C26" s="4">
        <v>2</v>
      </c>
      <c r="D26" s="5">
        <v>150000</v>
      </c>
      <c r="E26" s="5">
        <f t="shared" si="0"/>
        <v>300000</v>
      </c>
      <c r="F26" s="4" t="s">
        <v>14</v>
      </c>
      <c r="G26" s="4" t="s">
        <v>15</v>
      </c>
      <c r="H26" s="4" t="s">
        <v>16</v>
      </c>
      <c r="I26" s="4" t="s">
        <v>17</v>
      </c>
      <c r="J26" s="4" t="s">
        <v>17</v>
      </c>
      <c r="K26" s="4" t="s">
        <v>17</v>
      </c>
    </row>
    <row r="27" spans="1:11" x14ac:dyDescent="0.3">
      <c r="A27" s="3">
        <v>25</v>
      </c>
      <c r="B27" s="4" t="s">
        <v>40</v>
      </c>
      <c r="C27" s="4">
        <v>1</v>
      </c>
      <c r="D27" s="5">
        <v>130000</v>
      </c>
      <c r="E27" s="5">
        <f t="shared" si="0"/>
        <v>130000</v>
      </c>
      <c r="F27" s="4" t="s">
        <v>14</v>
      </c>
      <c r="G27" s="4" t="s">
        <v>15</v>
      </c>
      <c r="H27" s="4" t="s">
        <v>16</v>
      </c>
      <c r="I27" s="4" t="s">
        <v>17</v>
      </c>
      <c r="J27" s="4" t="s">
        <v>17</v>
      </c>
      <c r="K27" s="4" t="s">
        <v>17</v>
      </c>
    </row>
    <row r="28" spans="1:11" x14ac:dyDescent="0.3">
      <c r="A28" s="3" t="s">
        <v>41</v>
      </c>
      <c r="E28" s="5">
        <f t="shared" si="0"/>
        <v>0</v>
      </c>
      <c r="F28" s="4" t="s">
        <v>14</v>
      </c>
      <c r="G28" s="4" t="s">
        <v>15</v>
      </c>
      <c r="H28" s="4" t="s">
        <v>16</v>
      </c>
      <c r="I28" s="4" t="s">
        <v>17</v>
      </c>
      <c r="J28" s="4" t="s">
        <v>17</v>
      </c>
      <c r="K28" s="4" t="s">
        <v>17</v>
      </c>
    </row>
    <row r="29" spans="1:11" x14ac:dyDescent="0.3">
      <c r="A29" s="3">
        <v>1</v>
      </c>
      <c r="B29" s="4" t="s">
        <v>42</v>
      </c>
      <c r="C29" s="4">
        <v>1</v>
      </c>
      <c r="D29" s="5">
        <v>300000</v>
      </c>
      <c r="E29" s="5">
        <f t="shared" si="0"/>
        <v>300000</v>
      </c>
      <c r="F29" s="4" t="s">
        <v>14</v>
      </c>
      <c r="G29" s="4" t="s">
        <v>15</v>
      </c>
      <c r="H29" s="4" t="s">
        <v>16</v>
      </c>
      <c r="I29" s="4" t="s">
        <v>17</v>
      </c>
      <c r="J29" s="4" t="s">
        <v>17</v>
      </c>
      <c r="K29" s="4" t="s">
        <v>17</v>
      </c>
    </row>
    <row r="30" spans="1:11" x14ac:dyDescent="0.3">
      <c r="A30" s="3">
        <v>2</v>
      </c>
      <c r="B30" s="4" t="s">
        <v>43</v>
      </c>
      <c r="C30" s="4">
        <v>2</v>
      </c>
      <c r="D30" s="5">
        <v>200000</v>
      </c>
      <c r="E30" s="5">
        <f t="shared" si="0"/>
        <v>400000</v>
      </c>
      <c r="F30" s="4" t="s">
        <v>14</v>
      </c>
      <c r="G30" s="4" t="s">
        <v>15</v>
      </c>
      <c r="H30" s="4" t="s">
        <v>16</v>
      </c>
      <c r="I30" s="4" t="s">
        <v>17</v>
      </c>
      <c r="J30" s="4" t="s">
        <v>17</v>
      </c>
      <c r="K30" s="4" t="s">
        <v>17</v>
      </c>
    </row>
    <row r="31" spans="1:11" x14ac:dyDescent="0.3">
      <c r="A31" s="3">
        <v>3</v>
      </c>
      <c r="B31" s="4" t="s">
        <v>109</v>
      </c>
      <c r="C31" s="6">
        <v>1</v>
      </c>
      <c r="D31" s="7">
        <v>2000000</v>
      </c>
      <c r="E31" s="5">
        <f t="shared" si="0"/>
        <v>2000000</v>
      </c>
      <c r="F31" s="4" t="s">
        <v>14</v>
      </c>
      <c r="G31" s="4" t="s">
        <v>15</v>
      </c>
      <c r="H31" s="4" t="s">
        <v>16</v>
      </c>
    </row>
    <row r="32" spans="1:11" x14ac:dyDescent="0.3">
      <c r="A32" s="3">
        <v>4</v>
      </c>
      <c r="B32" s="4" t="s">
        <v>111</v>
      </c>
      <c r="C32" s="6">
        <v>1</v>
      </c>
      <c r="D32" s="7">
        <v>400000</v>
      </c>
      <c r="E32" s="5">
        <f t="shared" si="0"/>
        <v>400000</v>
      </c>
      <c r="F32" s="4" t="s">
        <v>14</v>
      </c>
      <c r="G32" s="4" t="s">
        <v>15</v>
      </c>
      <c r="H32" s="4" t="s">
        <v>16</v>
      </c>
    </row>
    <row r="33" spans="1:13" x14ac:dyDescent="0.3">
      <c r="A33" s="3">
        <v>5</v>
      </c>
      <c r="B33" s="4" t="s">
        <v>44</v>
      </c>
      <c r="C33" s="4">
        <v>1</v>
      </c>
      <c r="D33" s="5">
        <v>40000</v>
      </c>
      <c r="E33" s="5">
        <f t="shared" si="0"/>
        <v>40000</v>
      </c>
      <c r="F33" s="4" t="s">
        <v>14</v>
      </c>
      <c r="G33" s="4" t="s">
        <v>15</v>
      </c>
      <c r="H33" s="4" t="s">
        <v>16</v>
      </c>
      <c r="I33" s="4" t="s">
        <v>17</v>
      </c>
      <c r="J33" s="4" t="s">
        <v>17</v>
      </c>
      <c r="K33" s="4" t="s">
        <v>17</v>
      </c>
    </row>
    <row r="34" spans="1:13" x14ac:dyDescent="0.3">
      <c r="A34" s="3" t="s">
        <v>45</v>
      </c>
      <c r="E34" s="5">
        <f t="shared" si="0"/>
        <v>0</v>
      </c>
      <c r="F34" s="4" t="s">
        <v>14</v>
      </c>
      <c r="G34" s="4" t="s">
        <v>15</v>
      </c>
      <c r="H34" s="4" t="s">
        <v>16</v>
      </c>
    </row>
    <row r="35" spans="1:13" x14ac:dyDescent="0.3">
      <c r="A35" s="3">
        <v>1</v>
      </c>
      <c r="B35" s="4" t="s">
        <v>46</v>
      </c>
      <c r="C35" s="4">
        <v>1</v>
      </c>
      <c r="D35" s="5">
        <v>100000</v>
      </c>
      <c r="E35" s="5">
        <f t="shared" si="0"/>
        <v>100000</v>
      </c>
      <c r="F35" s="4" t="s">
        <v>14</v>
      </c>
      <c r="G35" s="4" t="s">
        <v>15</v>
      </c>
      <c r="H35" s="4" t="s">
        <v>16</v>
      </c>
    </row>
    <row r="36" spans="1:13" x14ac:dyDescent="0.3">
      <c r="A36" s="3">
        <v>2</v>
      </c>
      <c r="B36" s="4" t="s">
        <v>47</v>
      </c>
      <c r="C36" s="4">
        <v>1</v>
      </c>
      <c r="D36" s="5">
        <v>150000</v>
      </c>
      <c r="E36" s="5">
        <f t="shared" si="0"/>
        <v>150000</v>
      </c>
      <c r="F36" s="4" t="s">
        <v>14</v>
      </c>
      <c r="G36" s="4" t="s">
        <v>15</v>
      </c>
      <c r="H36" s="4" t="s">
        <v>16</v>
      </c>
    </row>
    <row r="37" spans="1:13" x14ac:dyDescent="0.3">
      <c r="A37" s="3">
        <v>3</v>
      </c>
      <c r="B37" s="4" t="s">
        <v>48</v>
      </c>
      <c r="C37" s="4">
        <v>1</v>
      </c>
      <c r="D37" s="5">
        <v>100000</v>
      </c>
      <c r="E37" s="5">
        <f t="shared" si="0"/>
        <v>100000</v>
      </c>
      <c r="F37" s="4" t="s">
        <v>14</v>
      </c>
      <c r="G37" s="4" t="s">
        <v>15</v>
      </c>
      <c r="H37" s="4" t="s">
        <v>16</v>
      </c>
      <c r="L37" s="4" t="s">
        <v>17</v>
      </c>
      <c r="M37" s="4">
        <v>1</v>
      </c>
    </row>
    <row r="38" spans="1:13" x14ac:dyDescent="0.3">
      <c r="A38" s="3" t="s">
        <v>49</v>
      </c>
      <c r="E38" s="5">
        <f t="shared" si="0"/>
        <v>0</v>
      </c>
      <c r="F38" s="4" t="s">
        <v>14</v>
      </c>
      <c r="G38" s="4" t="s">
        <v>15</v>
      </c>
      <c r="H38" s="4" t="s">
        <v>16</v>
      </c>
    </row>
    <row r="39" spans="1:13" x14ac:dyDescent="0.3">
      <c r="A39" s="3">
        <v>1</v>
      </c>
      <c r="B39" s="4" t="s">
        <v>50</v>
      </c>
      <c r="C39" s="4">
        <v>2</v>
      </c>
      <c r="D39" s="5">
        <v>3000</v>
      </c>
      <c r="E39" s="5">
        <f t="shared" si="0"/>
        <v>6000</v>
      </c>
      <c r="F39" s="4" t="s">
        <v>14</v>
      </c>
      <c r="G39" s="4" t="s">
        <v>15</v>
      </c>
      <c r="H39" s="4" t="s">
        <v>16</v>
      </c>
      <c r="I39" s="4" t="s">
        <v>17</v>
      </c>
      <c r="J39" s="4" t="s">
        <v>17</v>
      </c>
      <c r="K39" s="4" t="s">
        <v>17</v>
      </c>
      <c r="M39" s="4">
        <v>1</v>
      </c>
    </row>
    <row r="40" spans="1:13" x14ac:dyDescent="0.3">
      <c r="A40" s="3">
        <v>2</v>
      </c>
      <c r="B40" s="4" t="s">
        <v>51</v>
      </c>
      <c r="C40" s="4">
        <v>4</v>
      </c>
      <c r="D40" s="5">
        <v>15000</v>
      </c>
      <c r="E40" s="5">
        <f t="shared" si="0"/>
        <v>60000</v>
      </c>
      <c r="F40" s="4" t="s">
        <v>14</v>
      </c>
      <c r="G40" s="4" t="s">
        <v>15</v>
      </c>
      <c r="H40" s="4" t="s">
        <v>16</v>
      </c>
      <c r="I40" s="4" t="s">
        <v>17</v>
      </c>
      <c r="J40" s="4" t="s">
        <v>17</v>
      </c>
      <c r="K40" s="4" t="s">
        <v>17</v>
      </c>
      <c r="M40" s="4">
        <v>1</v>
      </c>
    </row>
    <row r="41" spans="1:13" x14ac:dyDescent="0.3">
      <c r="A41" s="3" t="s">
        <v>52</v>
      </c>
      <c r="E41" s="5">
        <f t="shared" si="0"/>
        <v>0</v>
      </c>
      <c r="F41" s="4" t="s">
        <v>14</v>
      </c>
      <c r="G41" s="4" t="s">
        <v>15</v>
      </c>
      <c r="H41" s="4" t="s">
        <v>16</v>
      </c>
    </row>
    <row r="42" spans="1:13" x14ac:dyDescent="0.3">
      <c r="A42" s="3">
        <v>1</v>
      </c>
      <c r="B42" s="4" t="s">
        <v>53</v>
      </c>
      <c r="C42" s="4">
        <v>1</v>
      </c>
      <c r="D42" s="5">
        <v>15000</v>
      </c>
      <c r="E42" s="5">
        <f t="shared" si="0"/>
        <v>15000</v>
      </c>
      <c r="F42" s="4" t="s">
        <v>14</v>
      </c>
      <c r="G42" s="4" t="s">
        <v>15</v>
      </c>
      <c r="H42" s="4" t="s">
        <v>16</v>
      </c>
      <c r="L42" s="4" t="s">
        <v>17</v>
      </c>
    </row>
    <row r="43" spans="1:13" x14ac:dyDescent="0.3">
      <c r="A43" s="3">
        <v>2</v>
      </c>
      <c r="B43" s="4" t="s">
        <v>54</v>
      </c>
      <c r="C43" s="4">
        <v>1</v>
      </c>
      <c r="D43" s="5">
        <v>12000</v>
      </c>
      <c r="E43" s="5">
        <f t="shared" si="0"/>
        <v>12000</v>
      </c>
      <c r="F43" s="4" t="s">
        <v>14</v>
      </c>
      <c r="G43" s="4" t="s">
        <v>15</v>
      </c>
      <c r="H43" s="4" t="s">
        <v>16</v>
      </c>
      <c r="L43" s="4" t="s">
        <v>17</v>
      </c>
    </row>
    <row r="44" spans="1:13" x14ac:dyDescent="0.3">
      <c r="A44" s="3">
        <v>3</v>
      </c>
      <c r="B44" s="4" t="s">
        <v>55</v>
      </c>
      <c r="C44" s="4">
        <v>1</v>
      </c>
      <c r="D44" s="5">
        <v>300</v>
      </c>
      <c r="E44" s="5">
        <f t="shared" si="0"/>
        <v>300</v>
      </c>
      <c r="F44" s="4" t="s">
        <v>14</v>
      </c>
      <c r="G44" s="4" t="s">
        <v>15</v>
      </c>
      <c r="H44" s="4" t="s">
        <v>16</v>
      </c>
      <c r="L44" s="4" t="s">
        <v>17</v>
      </c>
    </row>
    <row r="45" spans="1:13" x14ac:dyDescent="0.3">
      <c r="A45" s="3">
        <v>4</v>
      </c>
      <c r="B45" s="4" t="s">
        <v>56</v>
      </c>
      <c r="C45" s="4">
        <v>1</v>
      </c>
      <c r="D45" s="5">
        <v>200</v>
      </c>
      <c r="E45" s="5">
        <f t="shared" si="0"/>
        <v>200</v>
      </c>
      <c r="F45" s="4" t="s">
        <v>14</v>
      </c>
      <c r="G45" s="4" t="s">
        <v>15</v>
      </c>
      <c r="H45" s="4" t="s">
        <v>16</v>
      </c>
      <c r="L45" s="4" t="s">
        <v>17</v>
      </c>
    </row>
    <row r="46" spans="1:13" x14ac:dyDescent="0.3">
      <c r="A46" s="3">
        <v>5</v>
      </c>
      <c r="B46" s="4" t="s">
        <v>57</v>
      </c>
      <c r="C46" s="4">
        <v>1</v>
      </c>
      <c r="D46" s="5">
        <v>100</v>
      </c>
      <c r="E46" s="5">
        <f t="shared" si="0"/>
        <v>100</v>
      </c>
      <c r="F46" s="4" t="s">
        <v>14</v>
      </c>
      <c r="G46" s="4" t="s">
        <v>15</v>
      </c>
      <c r="H46" s="4" t="s">
        <v>16</v>
      </c>
      <c r="L46" s="4" t="s">
        <v>17</v>
      </c>
    </row>
    <row r="47" spans="1:13" x14ac:dyDescent="0.3">
      <c r="A47" s="3">
        <v>6</v>
      </c>
      <c r="B47" s="4" t="s">
        <v>58</v>
      </c>
      <c r="C47" s="4">
        <v>1</v>
      </c>
      <c r="D47" s="5">
        <v>150</v>
      </c>
      <c r="E47" s="5">
        <f t="shared" si="0"/>
        <v>150</v>
      </c>
      <c r="F47" s="4" t="s">
        <v>14</v>
      </c>
      <c r="G47" s="4" t="s">
        <v>15</v>
      </c>
      <c r="H47" s="4" t="s">
        <v>16</v>
      </c>
      <c r="L47" s="4" t="s">
        <v>17</v>
      </c>
    </row>
    <row r="48" spans="1:13" x14ac:dyDescent="0.3">
      <c r="A48" s="3">
        <v>7</v>
      </c>
      <c r="B48" s="4" t="s">
        <v>59</v>
      </c>
      <c r="C48" s="4">
        <v>1</v>
      </c>
      <c r="D48" s="5">
        <v>9500</v>
      </c>
      <c r="E48" s="5">
        <f t="shared" si="0"/>
        <v>9500</v>
      </c>
      <c r="F48" s="4" t="s">
        <v>14</v>
      </c>
      <c r="G48" s="4" t="s">
        <v>15</v>
      </c>
      <c r="H48" s="4" t="s">
        <v>16</v>
      </c>
      <c r="L48" s="4" t="s">
        <v>17</v>
      </c>
    </row>
    <row r="49" spans="1:12" x14ac:dyDescent="0.3">
      <c r="A49" s="3">
        <v>8</v>
      </c>
      <c r="B49" s="4" t="s">
        <v>60</v>
      </c>
      <c r="C49" s="4">
        <v>1</v>
      </c>
      <c r="D49" s="5">
        <v>5000</v>
      </c>
      <c r="E49" s="5">
        <f t="shared" si="0"/>
        <v>5000</v>
      </c>
      <c r="F49" s="4" t="s">
        <v>14</v>
      </c>
      <c r="G49" s="4" t="s">
        <v>15</v>
      </c>
      <c r="H49" s="4" t="s">
        <v>16</v>
      </c>
      <c r="L49" s="4" t="s">
        <v>17</v>
      </c>
    </row>
    <row r="50" spans="1:12" x14ac:dyDescent="0.3">
      <c r="A50" s="3" t="s">
        <v>61</v>
      </c>
      <c r="E50" s="5">
        <f t="shared" si="0"/>
        <v>0</v>
      </c>
      <c r="F50" s="4" t="s">
        <v>14</v>
      </c>
      <c r="G50" s="4" t="s">
        <v>15</v>
      </c>
      <c r="H50" s="4" t="s">
        <v>16</v>
      </c>
      <c r="L50" s="4" t="s">
        <v>17</v>
      </c>
    </row>
    <row r="51" spans="1:12" x14ac:dyDescent="0.3">
      <c r="A51" s="3">
        <v>1</v>
      </c>
      <c r="B51" s="4" t="s">
        <v>62</v>
      </c>
      <c r="C51" s="4">
        <v>1</v>
      </c>
      <c r="D51" s="5">
        <v>20000</v>
      </c>
      <c r="E51" s="5">
        <f t="shared" si="0"/>
        <v>20000</v>
      </c>
      <c r="F51" s="4" t="s">
        <v>14</v>
      </c>
      <c r="G51" s="4" t="s">
        <v>15</v>
      </c>
      <c r="H51" s="4" t="s">
        <v>16</v>
      </c>
      <c r="L51" s="4" t="s">
        <v>17</v>
      </c>
    </row>
    <row r="52" spans="1:12" x14ac:dyDescent="0.3">
      <c r="A52" s="3">
        <v>2</v>
      </c>
      <c r="B52" s="4" t="s">
        <v>63</v>
      </c>
      <c r="C52" s="4">
        <v>1</v>
      </c>
      <c r="D52" s="5">
        <v>50000</v>
      </c>
      <c r="E52" s="5">
        <f t="shared" si="0"/>
        <v>50000</v>
      </c>
      <c r="F52" s="4" t="s">
        <v>14</v>
      </c>
      <c r="G52" s="4" t="s">
        <v>15</v>
      </c>
      <c r="H52" s="4" t="s">
        <v>16</v>
      </c>
      <c r="L52" s="4" t="s">
        <v>17</v>
      </c>
    </row>
    <row r="53" spans="1:12" x14ac:dyDescent="0.3">
      <c r="A53" s="3">
        <v>3</v>
      </c>
      <c r="B53" s="4" t="s">
        <v>64</v>
      </c>
      <c r="C53" s="4">
        <v>1</v>
      </c>
      <c r="D53" s="5">
        <v>20000</v>
      </c>
      <c r="E53" s="5">
        <f t="shared" si="0"/>
        <v>20000</v>
      </c>
      <c r="F53" s="4" t="s">
        <v>14</v>
      </c>
      <c r="G53" s="4" t="s">
        <v>15</v>
      </c>
      <c r="H53" s="4" t="s">
        <v>16</v>
      </c>
      <c r="L53" s="4" t="s">
        <v>17</v>
      </c>
    </row>
    <row r="54" spans="1:12" x14ac:dyDescent="0.3">
      <c r="A54" s="3">
        <v>4</v>
      </c>
      <c r="B54" s="4" t="s">
        <v>65</v>
      </c>
      <c r="C54" s="4">
        <v>1</v>
      </c>
      <c r="D54" s="5">
        <v>1500</v>
      </c>
      <c r="E54" s="5">
        <f t="shared" si="0"/>
        <v>1500</v>
      </c>
      <c r="F54" s="4" t="s">
        <v>14</v>
      </c>
      <c r="G54" s="4" t="s">
        <v>15</v>
      </c>
      <c r="H54" s="4" t="s">
        <v>16</v>
      </c>
      <c r="L54" s="4" t="s">
        <v>17</v>
      </c>
    </row>
    <row r="55" spans="1:12" x14ac:dyDescent="0.3">
      <c r="E55" s="5">
        <f t="shared" si="0"/>
        <v>0</v>
      </c>
      <c r="F55" s="4" t="s">
        <v>14</v>
      </c>
      <c r="G55" s="4" t="s">
        <v>15</v>
      </c>
      <c r="H55" s="4" t="s">
        <v>16</v>
      </c>
    </row>
    <row r="56" spans="1:12" x14ac:dyDescent="0.3">
      <c r="A56" s="3" t="s">
        <v>66</v>
      </c>
      <c r="E56" s="5">
        <f t="shared" si="0"/>
        <v>0</v>
      </c>
      <c r="F56" s="4" t="s">
        <v>14</v>
      </c>
      <c r="G56" s="4" t="s">
        <v>15</v>
      </c>
      <c r="H56" s="4" t="s">
        <v>16</v>
      </c>
    </row>
    <row r="57" spans="1:12" x14ac:dyDescent="0.3">
      <c r="A57" s="3">
        <v>1</v>
      </c>
      <c r="B57" s="4" t="s">
        <v>67</v>
      </c>
      <c r="C57" s="4">
        <v>1</v>
      </c>
      <c r="D57" s="5">
        <v>120000</v>
      </c>
      <c r="E57" s="5">
        <f t="shared" si="0"/>
        <v>120000</v>
      </c>
      <c r="F57" s="4" t="s">
        <v>14</v>
      </c>
      <c r="G57" s="4" t="s">
        <v>15</v>
      </c>
      <c r="H57" s="4" t="s">
        <v>16</v>
      </c>
      <c r="I57" s="4" t="s">
        <v>17</v>
      </c>
      <c r="J57" s="4" t="s">
        <v>17</v>
      </c>
      <c r="K57" s="4" t="s">
        <v>17</v>
      </c>
    </row>
    <row r="58" spans="1:12" x14ac:dyDescent="0.3">
      <c r="A58" s="3">
        <v>2</v>
      </c>
      <c r="B58" s="4" t="s">
        <v>68</v>
      </c>
      <c r="C58" s="4">
        <v>1</v>
      </c>
      <c r="D58" s="5">
        <v>18000</v>
      </c>
      <c r="E58" s="5">
        <f t="shared" si="0"/>
        <v>18000</v>
      </c>
      <c r="F58" s="4" t="s">
        <v>14</v>
      </c>
      <c r="G58" s="4" t="s">
        <v>15</v>
      </c>
      <c r="H58" s="4" t="s">
        <v>16</v>
      </c>
      <c r="I58" s="4" t="s">
        <v>17</v>
      </c>
      <c r="J58" s="4" t="s">
        <v>17</v>
      </c>
      <c r="K58" s="4" t="s">
        <v>17</v>
      </c>
    </row>
    <row r="59" spans="1:12" x14ac:dyDescent="0.3">
      <c r="A59" s="3">
        <v>3</v>
      </c>
      <c r="B59" s="4" t="s">
        <v>69</v>
      </c>
      <c r="C59" s="4">
        <v>1</v>
      </c>
      <c r="D59" s="5">
        <v>45000</v>
      </c>
      <c r="E59" s="5">
        <f t="shared" si="0"/>
        <v>45000</v>
      </c>
      <c r="F59" s="4" t="s">
        <v>14</v>
      </c>
      <c r="G59" s="4" t="s">
        <v>15</v>
      </c>
      <c r="H59" s="4" t="s">
        <v>16</v>
      </c>
      <c r="I59" s="4" t="s">
        <v>17</v>
      </c>
      <c r="J59" s="4" t="s">
        <v>17</v>
      </c>
      <c r="K59" s="4" t="s">
        <v>17</v>
      </c>
    </row>
    <row r="60" spans="1:12" x14ac:dyDescent="0.3">
      <c r="A60" s="3">
        <v>4</v>
      </c>
      <c r="B60" s="4" t="s">
        <v>70</v>
      </c>
      <c r="C60" s="4">
        <v>1</v>
      </c>
      <c r="D60" s="5">
        <v>60000</v>
      </c>
      <c r="E60" s="5">
        <f t="shared" si="0"/>
        <v>60000</v>
      </c>
      <c r="F60" s="4" t="s">
        <v>14</v>
      </c>
      <c r="G60" s="4" t="s">
        <v>15</v>
      </c>
      <c r="H60" s="4" t="s">
        <v>16</v>
      </c>
      <c r="I60" s="4" t="s">
        <v>17</v>
      </c>
      <c r="J60" s="4" t="s">
        <v>17</v>
      </c>
      <c r="K60" s="4" t="s">
        <v>17</v>
      </c>
    </row>
    <row r="61" spans="1:12" x14ac:dyDescent="0.3">
      <c r="A61" s="3">
        <v>5</v>
      </c>
      <c r="B61" s="4" t="s">
        <v>71</v>
      </c>
      <c r="C61" s="4">
        <v>1</v>
      </c>
      <c r="D61" s="5">
        <v>25000</v>
      </c>
      <c r="E61" s="5">
        <f t="shared" si="0"/>
        <v>25000</v>
      </c>
      <c r="F61" s="4" t="s">
        <v>14</v>
      </c>
      <c r="G61" s="4" t="s">
        <v>15</v>
      </c>
      <c r="H61" s="4" t="s">
        <v>16</v>
      </c>
      <c r="I61" s="4" t="s">
        <v>17</v>
      </c>
      <c r="J61" s="4" t="s">
        <v>17</v>
      </c>
      <c r="K61" s="4" t="s">
        <v>17</v>
      </c>
    </row>
    <row r="62" spans="1:12" x14ac:dyDescent="0.3">
      <c r="A62" s="3">
        <v>6</v>
      </c>
      <c r="B62" s="4" t="s">
        <v>72</v>
      </c>
      <c r="C62" s="4">
        <v>1</v>
      </c>
      <c r="D62" s="5">
        <v>30000</v>
      </c>
      <c r="E62" s="5">
        <f t="shared" si="0"/>
        <v>30000</v>
      </c>
      <c r="F62" s="4" t="s">
        <v>14</v>
      </c>
      <c r="G62" s="4" t="s">
        <v>15</v>
      </c>
      <c r="H62" s="4" t="s">
        <v>16</v>
      </c>
      <c r="I62" s="4" t="s">
        <v>17</v>
      </c>
      <c r="J62" s="4" t="s">
        <v>17</v>
      </c>
      <c r="K62" s="4" t="s">
        <v>17</v>
      </c>
    </row>
    <row r="63" spans="1:12" x14ac:dyDescent="0.3">
      <c r="A63" s="3">
        <v>7</v>
      </c>
      <c r="B63" s="4" t="s">
        <v>73</v>
      </c>
      <c r="C63" s="4">
        <v>1</v>
      </c>
      <c r="D63" s="5">
        <v>150000</v>
      </c>
      <c r="E63" s="5">
        <f t="shared" si="0"/>
        <v>150000</v>
      </c>
      <c r="F63" s="4" t="s">
        <v>14</v>
      </c>
      <c r="G63" s="4" t="s">
        <v>15</v>
      </c>
      <c r="H63" s="4" t="s">
        <v>16</v>
      </c>
      <c r="I63" s="4" t="s">
        <v>17</v>
      </c>
      <c r="J63" s="4" t="s">
        <v>17</v>
      </c>
      <c r="K63" s="4" t="s">
        <v>17</v>
      </c>
    </row>
    <row r="64" spans="1:12" x14ac:dyDescent="0.3">
      <c r="A64" s="3">
        <v>8</v>
      </c>
      <c r="B64" s="4" t="s">
        <v>74</v>
      </c>
      <c r="C64" s="4">
        <v>1</v>
      </c>
      <c r="D64" s="5">
        <v>30000</v>
      </c>
      <c r="E64" s="5">
        <f t="shared" si="0"/>
        <v>30000</v>
      </c>
      <c r="F64" s="4" t="s">
        <v>14</v>
      </c>
      <c r="G64" s="4" t="s">
        <v>15</v>
      </c>
      <c r="H64" s="4" t="s">
        <v>16</v>
      </c>
      <c r="I64" s="4" t="s">
        <v>17</v>
      </c>
      <c r="J64" s="4" t="s">
        <v>17</v>
      </c>
      <c r="K64" s="4" t="s">
        <v>17</v>
      </c>
    </row>
    <row r="65" spans="1:13" x14ac:dyDescent="0.3">
      <c r="A65" s="3">
        <v>9</v>
      </c>
      <c r="B65" s="4" t="s">
        <v>75</v>
      </c>
      <c r="C65" s="4">
        <v>1</v>
      </c>
      <c r="D65" s="5">
        <v>50000</v>
      </c>
      <c r="E65" s="5">
        <f t="shared" si="0"/>
        <v>50000</v>
      </c>
      <c r="F65" s="4" t="s">
        <v>14</v>
      </c>
      <c r="G65" s="4" t="s">
        <v>15</v>
      </c>
      <c r="H65" s="4" t="s">
        <v>16</v>
      </c>
      <c r="I65" s="4" t="s">
        <v>17</v>
      </c>
      <c r="J65" s="4" t="s">
        <v>17</v>
      </c>
      <c r="K65" s="4" t="s">
        <v>17</v>
      </c>
    </row>
    <row r="66" spans="1:13" x14ac:dyDescent="0.3">
      <c r="A66" s="3">
        <v>10</v>
      </c>
      <c r="B66" s="4" t="s">
        <v>76</v>
      </c>
      <c r="C66" s="4">
        <v>1</v>
      </c>
      <c r="D66" s="5">
        <v>28000</v>
      </c>
      <c r="E66" s="5">
        <f t="shared" si="0"/>
        <v>28000</v>
      </c>
      <c r="F66" s="4" t="s">
        <v>14</v>
      </c>
      <c r="G66" s="4" t="s">
        <v>15</v>
      </c>
      <c r="H66" s="4" t="s">
        <v>16</v>
      </c>
      <c r="I66" s="4" t="s">
        <v>17</v>
      </c>
      <c r="J66" s="4" t="s">
        <v>17</v>
      </c>
      <c r="K66" s="4" t="s">
        <v>17</v>
      </c>
    </row>
    <row r="67" spans="1:13" x14ac:dyDescent="0.3">
      <c r="A67" s="3">
        <v>11</v>
      </c>
      <c r="B67" s="4" t="s">
        <v>77</v>
      </c>
      <c r="C67" s="4">
        <v>1</v>
      </c>
      <c r="D67" s="5">
        <v>22500</v>
      </c>
      <c r="E67" s="5">
        <f t="shared" si="0"/>
        <v>22500</v>
      </c>
      <c r="F67" s="4" t="s">
        <v>14</v>
      </c>
      <c r="G67" s="4" t="s">
        <v>15</v>
      </c>
      <c r="H67" s="4" t="s">
        <v>16</v>
      </c>
      <c r="I67" s="4" t="s">
        <v>17</v>
      </c>
      <c r="J67" s="4" t="s">
        <v>17</v>
      </c>
      <c r="K67" s="4" t="s">
        <v>17</v>
      </c>
    </row>
    <row r="68" spans="1:13" x14ac:dyDescent="0.3">
      <c r="A68" s="3" t="s">
        <v>78</v>
      </c>
      <c r="C68" s="4">
        <v>1</v>
      </c>
      <c r="E68" s="5">
        <f t="shared" ref="E68:E99" si="1">D68*C68</f>
        <v>0</v>
      </c>
    </row>
    <row r="69" spans="1:13" x14ac:dyDescent="0.3">
      <c r="A69" s="3">
        <v>1</v>
      </c>
      <c r="B69" s="4" t="s">
        <v>79</v>
      </c>
      <c r="C69" s="4">
        <v>1</v>
      </c>
      <c r="D69" s="5">
        <v>6000</v>
      </c>
      <c r="E69" s="5">
        <f t="shared" si="1"/>
        <v>6000</v>
      </c>
      <c r="F69" s="4" t="s">
        <v>14</v>
      </c>
      <c r="G69" s="4" t="s">
        <v>15</v>
      </c>
      <c r="H69" s="4" t="s">
        <v>16</v>
      </c>
      <c r="I69" s="4" t="s">
        <v>17</v>
      </c>
      <c r="J69" s="4" t="s">
        <v>17</v>
      </c>
      <c r="K69" s="4" t="s">
        <v>17</v>
      </c>
      <c r="M69" s="4">
        <v>1</v>
      </c>
    </row>
    <row r="70" spans="1:13" x14ac:dyDescent="0.3">
      <c r="A70" s="3" t="s">
        <v>80</v>
      </c>
      <c r="E70" s="5">
        <f t="shared" si="1"/>
        <v>0</v>
      </c>
    </row>
    <row r="71" spans="1:13" x14ac:dyDescent="0.3">
      <c r="A71" s="3">
        <v>1</v>
      </c>
      <c r="B71" s="4" t="s">
        <v>81</v>
      </c>
      <c r="C71" s="4">
        <v>1</v>
      </c>
      <c r="D71" s="5">
        <v>0</v>
      </c>
      <c r="E71" s="5">
        <f t="shared" si="1"/>
        <v>0</v>
      </c>
      <c r="F71" s="4" t="s">
        <v>14</v>
      </c>
      <c r="G71" s="4" t="s">
        <v>15</v>
      </c>
      <c r="H71" s="4" t="s">
        <v>16</v>
      </c>
    </row>
    <row r="72" spans="1:13" x14ac:dyDescent="0.3">
      <c r="A72" s="3">
        <v>2</v>
      </c>
      <c r="B72" s="4" t="s">
        <v>82</v>
      </c>
      <c r="C72" s="4">
        <v>1</v>
      </c>
      <c r="D72" s="5">
        <v>0</v>
      </c>
      <c r="E72" s="5">
        <f t="shared" si="1"/>
        <v>0</v>
      </c>
      <c r="F72" s="4" t="s">
        <v>14</v>
      </c>
      <c r="G72" s="4" t="s">
        <v>15</v>
      </c>
      <c r="H72" s="4" t="s">
        <v>16</v>
      </c>
    </row>
    <row r="73" spans="1:13" x14ac:dyDescent="0.3">
      <c r="A73" s="3">
        <v>3</v>
      </c>
      <c r="B73" s="4" t="s">
        <v>83</v>
      </c>
      <c r="C73" s="4">
        <v>1</v>
      </c>
      <c r="D73" s="5">
        <v>0</v>
      </c>
      <c r="E73" s="5">
        <f t="shared" si="1"/>
        <v>0</v>
      </c>
      <c r="F73" s="4" t="s">
        <v>14</v>
      </c>
      <c r="G73" s="4" t="s">
        <v>15</v>
      </c>
      <c r="H73" s="4" t="s">
        <v>16</v>
      </c>
    </row>
    <row r="74" spans="1:13" x14ac:dyDescent="0.3">
      <c r="A74" s="3">
        <v>4</v>
      </c>
      <c r="B74" s="4" t="s">
        <v>84</v>
      </c>
      <c r="C74" s="4">
        <v>1</v>
      </c>
      <c r="D74" s="5">
        <v>0</v>
      </c>
      <c r="E74" s="5">
        <f t="shared" si="1"/>
        <v>0</v>
      </c>
      <c r="F74" s="4" t="s">
        <v>14</v>
      </c>
      <c r="G74" s="4" t="s">
        <v>15</v>
      </c>
      <c r="H74" s="4" t="s">
        <v>16</v>
      </c>
    </row>
    <row r="75" spans="1:13" x14ac:dyDescent="0.3">
      <c r="A75" s="3">
        <v>5</v>
      </c>
      <c r="B75" s="4" t="s">
        <v>85</v>
      </c>
      <c r="C75" s="4">
        <v>1</v>
      </c>
      <c r="D75" s="5">
        <v>0</v>
      </c>
      <c r="E75" s="5">
        <f t="shared" si="1"/>
        <v>0</v>
      </c>
      <c r="F75" s="4" t="s">
        <v>14</v>
      </c>
      <c r="G75" s="4" t="s">
        <v>15</v>
      </c>
      <c r="H75" s="4" t="s">
        <v>16</v>
      </c>
    </row>
    <row r="76" spans="1:13" x14ac:dyDescent="0.3">
      <c r="A76" s="3">
        <v>6</v>
      </c>
      <c r="B76" s="4" t="s">
        <v>86</v>
      </c>
      <c r="E76" s="5">
        <f t="shared" si="1"/>
        <v>0</v>
      </c>
      <c r="F76" s="4" t="s">
        <v>14</v>
      </c>
      <c r="G76" s="4" t="s">
        <v>15</v>
      </c>
      <c r="H76" s="4" t="s">
        <v>16</v>
      </c>
    </row>
    <row r="77" spans="1:13" x14ac:dyDescent="0.3">
      <c r="A77" s="3" t="s">
        <v>87</v>
      </c>
      <c r="E77" s="5">
        <f t="shared" si="1"/>
        <v>0</v>
      </c>
      <c r="F77" s="4" t="s">
        <v>14</v>
      </c>
      <c r="G77" s="4" t="s">
        <v>15</v>
      </c>
      <c r="H77" s="4" t="s">
        <v>16</v>
      </c>
    </row>
    <row r="78" spans="1:13" x14ac:dyDescent="0.3">
      <c r="A78" s="3">
        <v>1</v>
      </c>
      <c r="B78" s="4" t="s">
        <v>88</v>
      </c>
      <c r="C78" s="4">
        <v>1</v>
      </c>
      <c r="D78" s="5">
        <v>9200</v>
      </c>
      <c r="E78" s="5">
        <f t="shared" si="1"/>
        <v>9200</v>
      </c>
      <c r="F78" s="4" t="s">
        <v>14</v>
      </c>
      <c r="G78" s="4" t="s">
        <v>15</v>
      </c>
      <c r="H78" s="4" t="s">
        <v>16</v>
      </c>
      <c r="I78" s="4" t="s">
        <v>17</v>
      </c>
      <c r="J78" s="4" t="s">
        <v>17</v>
      </c>
      <c r="K78" s="4" t="s">
        <v>17</v>
      </c>
    </row>
    <row r="79" spans="1:13" x14ac:dyDescent="0.3">
      <c r="A79" s="3">
        <v>2</v>
      </c>
      <c r="B79" s="4" t="s">
        <v>89</v>
      </c>
      <c r="C79" s="4">
        <v>1</v>
      </c>
      <c r="D79" s="5">
        <v>850</v>
      </c>
      <c r="E79" s="5">
        <f t="shared" si="1"/>
        <v>850</v>
      </c>
      <c r="F79" s="4" t="s">
        <v>14</v>
      </c>
      <c r="G79" s="4" t="s">
        <v>15</v>
      </c>
      <c r="H79" s="4" t="s">
        <v>16</v>
      </c>
      <c r="I79" s="4" t="s">
        <v>17</v>
      </c>
      <c r="J79" s="4" t="s">
        <v>17</v>
      </c>
      <c r="K79" s="4" t="s">
        <v>17</v>
      </c>
    </row>
    <row r="80" spans="1:13" x14ac:dyDescent="0.3">
      <c r="A80" s="3">
        <v>3</v>
      </c>
      <c r="B80" s="4" t="s">
        <v>90</v>
      </c>
      <c r="C80" s="4">
        <v>1</v>
      </c>
      <c r="D80" s="5">
        <v>320</v>
      </c>
      <c r="E80" s="5">
        <f t="shared" si="1"/>
        <v>320</v>
      </c>
      <c r="F80" s="4" t="s">
        <v>14</v>
      </c>
      <c r="G80" s="4" t="s">
        <v>15</v>
      </c>
      <c r="H80" s="4" t="s">
        <v>16</v>
      </c>
      <c r="I80" s="4" t="s">
        <v>17</v>
      </c>
      <c r="J80" s="4" t="s">
        <v>17</v>
      </c>
      <c r="K80" s="4" t="s">
        <v>17</v>
      </c>
    </row>
    <row r="81" spans="1:13" x14ac:dyDescent="0.3">
      <c r="A81" s="3">
        <v>4</v>
      </c>
      <c r="B81" s="4" t="s">
        <v>91</v>
      </c>
      <c r="C81" s="4">
        <v>1</v>
      </c>
      <c r="D81" s="5">
        <v>600</v>
      </c>
      <c r="E81" s="5">
        <f t="shared" si="1"/>
        <v>600</v>
      </c>
      <c r="F81" s="4" t="s">
        <v>14</v>
      </c>
      <c r="G81" s="4" t="s">
        <v>15</v>
      </c>
      <c r="H81" s="4" t="s">
        <v>16</v>
      </c>
      <c r="I81" s="4" t="s">
        <v>17</v>
      </c>
      <c r="J81" s="4" t="s">
        <v>17</v>
      </c>
      <c r="K81" s="4" t="s">
        <v>17</v>
      </c>
    </row>
    <row r="82" spans="1:13" x14ac:dyDescent="0.3">
      <c r="A82" s="3">
        <v>5</v>
      </c>
      <c r="B82" s="4" t="s">
        <v>92</v>
      </c>
      <c r="C82" s="4">
        <v>1</v>
      </c>
      <c r="D82" s="5">
        <v>3500</v>
      </c>
      <c r="E82" s="5">
        <f t="shared" si="1"/>
        <v>3500</v>
      </c>
      <c r="F82" s="4" t="s">
        <v>14</v>
      </c>
      <c r="G82" s="4" t="s">
        <v>15</v>
      </c>
      <c r="H82" s="4" t="s">
        <v>16</v>
      </c>
      <c r="I82" s="4" t="s">
        <v>17</v>
      </c>
      <c r="J82" s="4" t="s">
        <v>17</v>
      </c>
      <c r="K82" s="4" t="s">
        <v>17</v>
      </c>
    </row>
    <row r="83" spans="1:13" x14ac:dyDescent="0.3">
      <c r="A83" s="3">
        <v>6</v>
      </c>
      <c r="B83" s="4" t="s">
        <v>93</v>
      </c>
      <c r="C83" s="4">
        <v>1</v>
      </c>
      <c r="D83" s="5">
        <v>5760</v>
      </c>
      <c r="E83" s="5">
        <f t="shared" si="1"/>
        <v>5760</v>
      </c>
      <c r="F83" s="4" t="s">
        <v>14</v>
      </c>
      <c r="G83" s="4" t="s">
        <v>15</v>
      </c>
      <c r="H83" s="4" t="s">
        <v>16</v>
      </c>
      <c r="I83" s="4" t="s">
        <v>17</v>
      </c>
      <c r="J83" s="4" t="s">
        <v>17</v>
      </c>
      <c r="K83" s="4" t="s">
        <v>17</v>
      </c>
    </row>
    <row r="84" spans="1:13" x14ac:dyDescent="0.3">
      <c r="E84" s="5">
        <f t="shared" si="1"/>
        <v>0</v>
      </c>
      <c r="F84" s="4" t="s">
        <v>14</v>
      </c>
      <c r="G84" s="4" t="s">
        <v>15</v>
      </c>
      <c r="H84" s="4" t="s">
        <v>16</v>
      </c>
    </row>
    <row r="85" spans="1:13" x14ac:dyDescent="0.3">
      <c r="A85" s="3" t="s">
        <v>94</v>
      </c>
      <c r="E85" s="5">
        <f t="shared" si="1"/>
        <v>0</v>
      </c>
      <c r="F85" s="4" t="s">
        <v>14</v>
      </c>
      <c r="G85" s="4" t="s">
        <v>15</v>
      </c>
      <c r="H85" s="4" t="s">
        <v>16</v>
      </c>
    </row>
    <row r="86" spans="1:13" x14ac:dyDescent="0.3">
      <c r="A86" s="3">
        <v>1</v>
      </c>
      <c r="B86" s="4" t="s">
        <v>95</v>
      </c>
      <c r="C86" s="4">
        <v>100</v>
      </c>
      <c r="D86" s="5">
        <v>25</v>
      </c>
      <c r="E86" s="5">
        <f t="shared" si="1"/>
        <v>2500</v>
      </c>
      <c r="F86" s="4" t="s">
        <v>14</v>
      </c>
      <c r="G86" s="4" t="s">
        <v>15</v>
      </c>
      <c r="H86" s="4" t="s">
        <v>16</v>
      </c>
      <c r="I86" s="4" t="s">
        <v>17</v>
      </c>
      <c r="J86" s="4" t="s">
        <v>17</v>
      </c>
      <c r="K86" s="4" t="s">
        <v>17</v>
      </c>
    </row>
    <row r="87" spans="1:13" x14ac:dyDescent="0.3">
      <c r="E87" s="5">
        <f t="shared" si="1"/>
        <v>0</v>
      </c>
      <c r="F87" s="4" t="s">
        <v>14</v>
      </c>
      <c r="G87" s="4" t="s">
        <v>15</v>
      </c>
      <c r="H87" s="4" t="s">
        <v>16</v>
      </c>
    </row>
    <row r="88" spans="1:13" ht="28.8" x14ac:dyDescent="0.3">
      <c r="A88" s="9" t="s">
        <v>96</v>
      </c>
      <c r="C88" s="10"/>
      <c r="D88" s="11"/>
      <c r="E88" s="5">
        <f t="shared" si="1"/>
        <v>0</v>
      </c>
      <c r="G88" s="4" t="s">
        <v>15</v>
      </c>
      <c r="H88" s="4" t="s">
        <v>16</v>
      </c>
      <c r="I88" s="12"/>
      <c r="J88" s="12"/>
      <c r="K88" s="12"/>
      <c r="L88" s="12"/>
      <c r="M88" s="10"/>
    </row>
    <row r="89" spans="1:13" x14ac:dyDescent="0.3">
      <c r="A89" s="3">
        <v>1</v>
      </c>
      <c r="B89" s="6" t="s">
        <v>97</v>
      </c>
      <c r="C89" s="4">
        <v>1</v>
      </c>
      <c r="D89" s="5">
        <v>400000</v>
      </c>
      <c r="E89" s="5">
        <f t="shared" si="1"/>
        <v>400000</v>
      </c>
      <c r="F89" s="4" t="s">
        <v>14</v>
      </c>
      <c r="G89" s="4" t="s">
        <v>15</v>
      </c>
      <c r="H89" s="4" t="s">
        <v>16</v>
      </c>
    </row>
    <row r="90" spans="1:13" x14ac:dyDescent="0.3">
      <c r="A90" s="3">
        <v>2</v>
      </c>
      <c r="B90" s="6" t="s">
        <v>98</v>
      </c>
      <c r="C90" s="4">
        <v>1</v>
      </c>
      <c r="D90" s="5">
        <v>400000</v>
      </c>
      <c r="E90" s="5">
        <f t="shared" si="1"/>
        <v>400000</v>
      </c>
      <c r="F90" s="4" t="s">
        <v>14</v>
      </c>
      <c r="G90" s="4" t="s">
        <v>15</v>
      </c>
      <c r="H90" s="4" t="s">
        <v>16</v>
      </c>
    </row>
    <row r="91" spans="1:13" x14ac:dyDescent="0.3">
      <c r="A91" s="3">
        <v>3</v>
      </c>
      <c r="B91" s="6" t="s">
        <v>99</v>
      </c>
      <c r="C91" s="4">
        <v>1</v>
      </c>
      <c r="D91" s="5">
        <v>150000</v>
      </c>
      <c r="E91" s="5">
        <f t="shared" si="1"/>
        <v>150000</v>
      </c>
      <c r="F91" s="4" t="s">
        <v>14</v>
      </c>
      <c r="G91" s="4" t="s">
        <v>15</v>
      </c>
      <c r="H91" s="4" t="s">
        <v>16</v>
      </c>
    </row>
    <row r="92" spans="1:13" x14ac:dyDescent="0.3">
      <c r="A92" s="3">
        <v>4</v>
      </c>
      <c r="B92" s="6" t="s">
        <v>100</v>
      </c>
      <c r="C92" s="4">
        <v>1</v>
      </c>
      <c r="D92" s="5">
        <v>150000</v>
      </c>
      <c r="E92" s="5">
        <f t="shared" si="1"/>
        <v>150000</v>
      </c>
      <c r="F92" s="4" t="s">
        <v>14</v>
      </c>
      <c r="G92" s="4" t="s">
        <v>15</v>
      </c>
      <c r="H92" s="4" t="s">
        <v>16</v>
      </c>
    </row>
    <row r="93" spans="1:13" x14ac:dyDescent="0.3">
      <c r="A93" s="3">
        <v>5</v>
      </c>
      <c r="B93" s="4" t="s">
        <v>101</v>
      </c>
      <c r="C93" s="4">
        <v>1</v>
      </c>
      <c r="D93" s="5">
        <v>150000</v>
      </c>
      <c r="E93" s="5">
        <f t="shared" si="1"/>
        <v>150000</v>
      </c>
      <c r="F93" s="4" t="s">
        <v>14</v>
      </c>
      <c r="G93" s="4" t="s">
        <v>15</v>
      </c>
      <c r="H93" s="4" t="s">
        <v>16</v>
      </c>
    </row>
    <row r="94" spans="1:13" x14ac:dyDescent="0.3">
      <c r="A94" s="3">
        <v>6</v>
      </c>
      <c r="B94" s="6" t="s">
        <v>102</v>
      </c>
      <c r="C94" s="4">
        <v>1</v>
      </c>
      <c r="D94" s="5">
        <v>150000</v>
      </c>
      <c r="E94" s="5">
        <f t="shared" si="1"/>
        <v>150000</v>
      </c>
      <c r="F94" s="4" t="s">
        <v>14</v>
      </c>
      <c r="G94" s="4" t="s">
        <v>15</v>
      </c>
      <c r="H94" s="4" t="s">
        <v>16</v>
      </c>
    </row>
    <row r="95" spans="1:13" x14ac:dyDescent="0.3">
      <c r="A95" s="3">
        <v>7</v>
      </c>
      <c r="B95" s="6" t="s">
        <v>103</v>
      </c>
      <c r="C95" s="4">
        <v>1</v>
      </c>
      <c r="D95" s="5">
        <v>150000</v>
      </c>
      <c r="E95" s="5">
        <f t="shared" si="1"/>
        <v>150000</v>
      </c>
      <c r="F95" s="4" t="s">
        <v>14</v>
      </c>
      <c r="G95" s="4" t="s">
        <v>15</v>
      </c>
      <c r="H95" s="4" t="s">
        <v>16</v>
      </c>
    </row>
    <row r="96" spans="1:13" x14ac:dyDescent="0.3">
      <c r="A96" s="3">
        <v>8</v>
      </c>
      <c r="B96" s="6" t="s">
        <v>104</v>
      </c>
      <c r="C96" s="4">
        <v>1</v>
      </c>
      <c r="D96" s="5">
        <v>150000</v>
      </c>
      <c r="E96" s="5">
        <f t="shared" si="1"/>
        <v>150000</v>
      </c>
      <c r="F96" s="4" t="s">
        <v>14</v>
      </c>
      <c r="G96" s="4" t="s">
        <v>15</v>
      </c>
      <c r="H96" s="4" t="s">
        <v>16</v>
      </c>
    </row>
    <row r="97" spans="1:8" x14ac:dyDescent="0.3">
      <c r="A97" s="3">
        <v>9</v>
      </c>
      <c r="B97" s="6" t="s">
        <v>105</v>
      </c>
      <c r="C97" s="4">
        <v>1</v>
      </c>
      <c r="D97" s="5">
        <v>150000</v>
      </c>
      <c r="E97" s="5">
        <f t="shared" si="1"/>
        <v>150000</v>
      </c>
      <c r="F97" s="4" t="s">
        <v>14</v>
      </c>
      <c r="G97" s="4" t="s">
        <v>15</v>
      </c>
      <c r="H97" s="4" t="s">
        <v>16</v>
      </c>
    </row>
    <row r="98" spans="1:8" x14ac:dyDescent="0.3">
      <c r="A98" s="3">
        <v>10</v>
      </c>
      <c r="B98" s="6" t="s">
        <v>106</v>
      </c>
      <c r="C98" s="4">
        <v>1</v>
      </c>
      <c r="D98" s="5">
        <v>150000</v>
      </c>
      <c r="E98" s="5">
        <f t="shared" si="1"/>
        <v>150000</v>
      </c>
      <c r="F98" s="4" t="s">
        <v>14</v>
      </c>
      <c r="G98" s="4" t="s">
        <v>15</v>
      </c>
      <c r="H98" s="4" t="s">
        <v>16</v>
      </c>
    </row>
    <row r="99" spans="1:8" x14ac:dyDescent="0.3">
      <c r="A99" s="3">
        <v>11</v>
      </c>
      <c r="B99" s="6" t="s">
        <v>107</v>
      </c>
      <c r="C99" s="6">
        <v>1</v>
      </c>
      <c r="D99" s="5">
        <v>2000000</v>
      </c>
      <c r="E99" s="5">
        <f t="shared" si="1"/>
        <v>2000000</v>
      </c>
    </row>
    <row r="100" spans="1:8" s="3" customFormat="1" x14ac:dyDescent="0.3">
      <c r="B100" s="13" t="s">
        <v>108</v>
      </c>
      <c r="D100" s="8"/>
      <c r="E100" s="8">
        <f>SUM(E3:E99)</f>
        <v>9024680</v>
      </c>
    </row>
    <row r="103" spans="1:8" x14ac:dyDescent="0.3">
      <c r="B103" s="14" t="s">
        <v>110</v>
      </c>
    </row>
  </sheetData>
  <hyperlinks>
    <hyperlink ref="B103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Patrick Mwaura</cp:lastModifiedBy>
  <dcterms:created xsi:type="dcterms:W3CDTF">2025-10-23T14:09:42Z</dcterms:created>
  <dcterms:modified xsi:type="dcterms:W3CDTF">2025-11-01T16:44:26Z</dcterms:modified>
</cp:coreProperties>
</file>